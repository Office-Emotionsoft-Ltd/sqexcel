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Repos_MS\East\SQL2Excel\v100\SQL2Excel\SQL2Excel.Help\sample-data\input-sheets\prompt\"/>
    </mc:Choice>
  </mc:AlternateContent>
  <xr:revisionPtr revIDLastSave="0" documentId="13_ncr:1_{14A95CA9-70A3-4B42-8E13-E867E443DB51}" xr6:coauthVersionLast="47" xr6:coauthVersionMax="47" xr10:uidLastSave="{00000000-0000-0000-0000-000000000000}"/>
  <bookViews>
    <workbookView xWindow="340" yWindow="30" windowWidth="21960" windowHeight="14170" xr2:uid="{00000000-000D-0000-FFFF-FFFF00000000}"/>
  </bookViews>
  <sheets>
    <sheet name="departments" sheetId="1" r:id="rId1"/>
    <sheet name="employees" sheetId="2" r:id="rId2"/>
    <sheet name="clients" sheetId="3" r:id="rId3"/>
    <sheet name="services" sheetId="4" r:id="rId4"/>
    <sheet name="common_cod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7" i="4" l="1"/>
  <c r="M37" i="4"/>
  <c r="O37" i="4" s="1"/>
  <c r="P36" i="4"/>
  <c r="M36" i="4"/>
  <c r="O36" i="4" s="1"/>
  <c r="P35" i="4"/>
  <c r="M35" i="4"/>
  <c r="O35" i="4" s="1"/>
  <c r="P34" i="4"/>
  <c r="M34" i="4"/>
  <c r="O34" i="4" s="1"/>
  <c r="P33" i="4"/>
  <c r="M33" i="4"/>
  <c r="O33" i="4" s="1"/>
  <c r="P32" i="4"/>
  <c r="M32" i="4"/>
  <c r="O32" i="4" s="1"/>
  <c r="P31" i="4"/>
  <c r="O31" i="4"/>
  <c r="M31" i="4"/>
  <c r="P30" i="4"/>
  <c r="M30" i="4"/>
  <c r="O30" i="4" s="1"/>
  <c r="P29" i="4"/>
  <c r="M29" i="4"/>
  <c r="O29" i="4" s="1"/>
  <c r="P28" i="4"/>
  <c r="M28" i="4"/>
  <c r="O28" i="4" s="1"/>
  <c r="P27" i="4"/>
  <c r="M27" i="4"/>
  <c r="O27" i="4" s="1"/>
  <c r="P26" i="4"/>
  <c r="M26" i="4"/>
  <c r="O26" i="4" s="1"/>
  <c r="P25" i="4"/>
  <c r="M25" i="4"/>
  <c r="O25" i="4" s="1"/>
  <c r="P24" i="4"/>
  <c r="M24" i="4"/>
  <c r="O24" i="4" s="1"/>
  <c r="P23" i="4"/>
  <c r="M23" i="4"/>
  <c r="O23" i="4" s="1"/>
  <c r="P22" i="4"/>
  <c r="M22" i="4"/>
  <c r="O22" i="4" s="1"/>
  <c r="P21" i="4"/>
  <c r="M21" i="4"/>
  <c r="O21" i="4" s="1"/>
  <c r="P20" i="4"/>
  <c r="M20" i="4"/>
  <c r="O20" i="4" s="1"/>
  <c r="P19" i="4"/>
  <c r="M19" i="4"/>
  <c r="O19" i="4" s="1"/>
  <c r="P18" i="4"/>
  <c r="M18" i="4"/>
  <c r="O18" i="4" s="1"/>
  <c r="P17" i="4"/>
  <c r="M17" i="4"/>
  <c r="O17" i="4" s="1"/>
  <c r="P16" i="4"/>
  <c r="M16" i="4"/>
  <c r="O16" i="4" s="1"/>
  <c r="P15" i="4"/>
  <c r="M15" i="4"/>
  <c r="O15" i="4" s="1"/>
  <c r="P14" i="4"/>
  <c r="M14" i="4"/>
  <c r="O14" i="4" s="1"/>
  <c r="P13" i="4"/>
  <c r="M13" i="4"/>
  <c r="O13" i="4" s="1"/>
  <c r="P12" i="4"/>
  <c r="M12" i="4"/>
  <c r="O12" i="4" s="1"/>
  <c r="P11" i="4"/>
  <c r="M11" i="4"/>
  <c r="O11" i="4" s="1"/>
  <c r="P10" i="4"/>
  <c r="M10" i="4"/>
  <c r="O10" i="4" s="1"/>
  <c r="P9" i="4"/>
  <c r="M9" i="4"/>
  <c r="O9" i="4" s="1"/>
  <c r="P8" i="4"/>
  <c r="M8" i="4"/>
  <c r="O8" i="4" s="1"/>
  <c r="I37" i="4"/>
  <c r="I36" i="4"/>
  <c r="I35" i="4"/>
  <c r="I31" i="4"/>
  <c r="I30" i="4"/>
  <c r="I29" i="4"/>
  <c r="I28" i="4"/>
  <c r="I27" i="4"/>
  <c r="I26" i="4"/>
  <c r="J31" i="4"/>
  <c r="J30" i="4"/>
  <c r="J29" i="4"/>
  <c r="J28" i="4"/>
  <c r="J27" i="4"/>
  <c r="J26" i="4"/>
  <c r="I29" i="5"/>
  <c r="I28" i="5"/>
  <c r="I27" i="5"/>
  <c r="I26" i="5"/>
  <c r="I25" i="5"/>
  <c r="I24" i="5"/>
  <c r="I23" i="5"/>
  <c r="I22" i="5"/>
  <c r="I21" i="5"/>
  <c r="I20" i="5"/>
  <c r="I19" i="5"/>
  <c r="I18" i="5"/>
  <c r="I17" i="5"/>
  <c r="I16" i="5"/>
  <c r="I15" i="5"/>
  <c r="I14" i="5"/>
  <c r="I13" i="5"/>
  <c r="I12" i="5"/>
  <c r="I11" i="5"/>
  <c r="I10" i="5"/>
  <c r="I9" i="5"/>
  <c r="I8" i="5"/>
  <c r="F29" i="5"/>
  <c r="H29" i="5" s="1"/>
  <c r="F28" i="5"/>
  <c r="H28" i="5" s="1"/>
  <c r="F27" i="5"/>
  <c r="H27" i="5" s="1"/>
  <c r="F26" i="5"/>
  <c r="H26" i="5" s="1"/>
  <c r="F25" i="5"/>
  <c r="H25" i="5" s="1"/>
  <c r="F24" i="5"/>
  <c r="H24" i="5" s="1"/>
  <c r="F23" i="5"/>
  <c r="H23" i="5" s="1"/>
  <c r="F22" i="5"/>
  <c r="H22" i="5" s="1"/>
  <c r="F21" i="5"/>
  <c r="H21" i="5" s="1"/>
  <c r="F20" i="5"/>
  <c r="H20" i="5" s="1"/>
  <c r="F19" i="5"/>
  <c r="H19" i="5" s="1"/>
  <c r="F18" i="5"/>
  <c r="H18" i="5" s="1"/>
  <c r="F17" i="5"/>
  <c r="H17" i="5" s="1"/>
  <c r="F16" i="5"/>
  <c r="H16" i="5" s="1"/>
  <c r="F15" i="5"/>
  <c r="H15" i="5" s="1"/>
  <c r="F14" i="5"/>
  <c r="H14" i="5" s="1"/>
  <c r="F13" i="5"/>
  <c r="H13" i="5" s="1"/>
  <c r="F12" i="5"/>
  <c r="H12" i="5" s="1"/>
  <c r="F11" i="5"/>
  <c r="H11" i="5" s="1"/>
  <c r="F10" i="5"/>
  <c r="H10" i="5" s="1"/>
  <c r="F9" i="5"/>
  <c r="H9" i="5" s="1"/>
  <c r="F8" i="5"/>
  <c r="H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000-000001000000}">
      <text>
        <r>
          <rPr>
            <sz val="9"/>
            <color rgb="FF000000"/>
            <rFont val="Tahoma"/>
            <family val="2"/>
          </rPr>
          <t>K=キー項目
A=自動設定項目
N=NULL許容項目
D=既定値設定あり</t>
        </r>
      </text>
    </comment>
    <comment ref="A7" authorId="0" shapeId="0" xr:uid="{00000000-0006-0000-0000-000002000000}">
      <text>
        <r>
          <rPr>
            <sz val="9"/>
            <color rgb="FF000000"/>
            <rFont val="Tahoma"/>
            <family val="2"/>
          </rPr>
          <t>入力対象とする場合は「*」をセットします。
空白にすると入力対象から外されます。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100-000001000000}">
      <text>
        <r>
          <rPr>
            <sz val="9"/>
            <color rgb="FF000000"/>
            <rFont val="Tahoma"/>
            <family val="2"/>
          </rPr>
          <t>K=キー項目
A=自動設定項目
N=NULL許容項目
D=既定値設定あり</t>
        </r>
      </text>
    </comment>
    <comment ref="A7" authorId="0" shapeId="0" xr:uid="{00000000-0006-0000-0100-000002000000}">
      <text>
        <r>
          <rPr>
            <sz val="9"/>
            <color rgb="FF000000"/>
            <rFont val="Tahoma"/>
            <family val="2"/>
          </rPr>
          <t>入力対象とする場合は「*」をセットします。
空白にすると入力対象から外されます。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200-000001000000}">
      <text>
        <r>
          <rPr>
            <sz val="9"/>
            <color rgb="FF000000"/>
            <rFont val="Tahoma"/>
            <family val="2"/>
          </rPr>
          <t>K=キー項目
A=自動設定項目
N=NULL許容項目
D=既定値設定あり</t>
        </r>
      </text>
    </comment>
    <comment ref="A7" authorId="0" shapeId="0" xr:uid="{00000000-0006-0000-0200-000002000000}">
      <text>
        <r>
          <rPr>
            <sz val="9"/>
            <color rgb="FF000000"/>
            <rFont val="Tahoma"/>
            <family val="2"/>
          </rPr>
          <t>入力対象とする場合は「*」をセットします。
空白にすると入力対象から外されます。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300-000001000000}">
      <text>
        <r>
          <rPr>
            <sz val="9"/>
            <color rgb="FF000000"/>
            <rFont val="Tahoma"/>
            <family val="2"/>
          </rPr>
          <t>K=キー項目
A=自動設定項目
N=NULL許容項目
D=既定値設定あり</t>
        </r>
      </text>
    </comment>
    <comment ref="A7" authorId="0" shapeId="0" xr:uid="{00000000-0006-0000-0300-000002000000}">
      <text>
        <r>
          <rPr>
            <sz val="9"/>
            <color rgb="FF000000"/>
            <rFont val="Tahoma"/>
            <family val="2"/>
          </rPr>
          <t>入力対象とする場合は「*」をセットします。
空白にすると入力対象から外されます。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400-000001000000}">
      <text>
        <r>
          <rPr>
            <sz val="9"/>
            <color rgb="FF000000"/>
            <rFont val="Tahoma"/>
            <family val="2"/>
          </rPr>
          <t>K=キー項目
A=自動設定項目
N=NULL許容項目
D=既定値設定あり</t>
        </r>
      </text>
    </comment>
    <comment ref="A7" authorId="0" shapeId="0" xr:uid="{00000000-0006-0000-0400-000002000000}">
      <text>
        <r>
          <rPr>
            <sz val="9"/>
            <color rgb="FF000000"/>
            <rFont val="Tahoma"/>
            <family val="2"/>
          </rPr>
          <t>入力対象とする場合は「*」をセットします。
空白にすると入力対象から外されます。</t>
        </r>
      </text>
    </comment>
  </commentList>
</comments>
</file>

<file path=xl/sharedStrings.xml><?xml version="1.0" encoding="utf-8"?>
<sst xmlns="http://schemas.openxmlformats.org/spreadsheetml/2006/main" count="616" uniqueCount="263">
  <si>
    <t>テーブル名</t>
  </si>
  <si>
    <t>hr.departments</t>
  </si>
  <si>
    <t>論理名</t>
  </si>
  <si>
    <t>部門マスター</t>
  </si>
  <si>
    <t>処理結果</t>
  </si>
  <si>
    <t/>
  </si>
  <si>
    <t>項目名</t>
  </si>
  <si>
    <t>項目論理名</t>
  </si>
  <si>
    <t>データ型</t>
  </si>
  <si>
    <t>項目属性</t>
  </si>
  <si>
    <t>入力対象</t>
  </si>
  <si>
    <t>dept_id</t>
  </si>
  <si>
    <t>部門ID</t>
  </si>
  <si>
    <t>Char(6)</t>
  </si>
  <si>
    <t>K</t>
  </si>
  <si>
    <t>*</t>
  </si>
  <si>
    <t>dept_name</t>
  </si>
  <si>
    <t>部門名</t>
  </si>
  <si>
    <t>NVarChar(100)</t>
  </si>
  <si>
    <t>parent_dept_id</t>
  </si>
  <si>
    <t>親部門ID</t>
  </si>
  <si>
    <t>N</t>
  </si>
  <si>
    <t>created_at</t>
  </si>
  <si>
    <t>作成日時</t>
  </si>
  <si>
    <t>DateTime</t>
  </si>
  <si>
    <t>D</t>
  </si>
  <si>
    <t>created_by</t>
  </si>
  <si>
    <t>作成者ID</t>
  </si>
  <si>
    <t>VarChar(20)</t>
  </si>
  <si>
    <t>updated_at</t>
  </si>
  <si>
    <t>更新日時</t>
  </si>
  <si>
    <t>updated_by</t>
  </si>
  <si>
    <t>更新者ID</t>
  </si>
  <si>
    <t>処理成否</t>
  </si>
  <si>
    <t>処理失敗時メッセージ</t>
  </si>
  <si>
    <t>hr.employees</t>
  </si>
  <si>
    <t>従業員マスター（担当者マスター）</t>
  </si>
  <si>
    <t>employee_id</t>
  </si>
  <si>
    <t>従業員ID（担当者コード）</t>
  </si>
  <si>
    <t>Char(8)</t>
  </si>
  <si>
    <t>last_name</t>
  </si>
  <si>
    <t>姓</t>
  </si>
  <si>
    <t>NVarChar(50)</t>
  </si>
  <si>
    <t>first_name</t>
  </si>
  <si>
    <t>名</t>
  </si>
  <si>
    <t>email</t>
  </si>
  <si>
    <t>業務メールアドレス</t>
  </si>
  <si>
    <t>VarChar(254)</t>
  </si>
  <si>
    <t>is_active</t>
  </si>
  <si>
    <t>有効フラグ（1=有効,0=無効）</t>
  </si>
  <si>
    <t>Bit</t>
  </si>
  <si>
    <t>sales.clients</t>
  </si>
  <si>
    <t>取引先マスター</t>
  </si>
  <si>
    <t>client_id</t>
  </si>
  <si>
    <t>取引先ID</t>
  </si>
  <si>
    <t>client_name</t>
  </si>
  <si>
    <t>取引先名</t>
  </si>
  <si>
    <t>NVarChar(200)</t>
  </si>
  <si>
    <t>client_name_kana</t>
  </si>
  <si>
    <t>取引先名カナ</t>
  </si>
  <si>
    <t>contact_person</t>
  </si>
  <si>
    <t>先方担当者名</t>
  </si>
  <si>
    <t>phone</t>
  </si>
  <si>
    <t>電話番号</t>
  </si>
  <si>
    <t>メールアドレス</t>
  </si>
  <si>
    <t>address_line1</t>
  </si>
  <si>
    <t>住所1：番地・建物（日本: 丁目番地・建物名に相当）</t>
  </si>
  <si>
    <t>address_line2</t>
  </si>
  <si>
    <t>住所2：追加行（日本: 使用頻度低。集合住宅名・部屋番号等）</t>
  </si>
  <si>
    <t>city</t>
  </si>
  <si>
    <t>市区町村（日本: 市区町村に相当）</t>
  </si>
  <si>
    <t>state_province</t>
  </si>
  <si>
    <t>都道府県・州（日本: 都道府県に相当）</t>
  </si>
  <si>
    <t>postal_code</t>
  </si>
  <si>
    <t>郵便番号（日本: ハイフンなし例1500001）</t>
  </si>
  <si>
    <t>country_code</t>
  </si>
  <si>
    <t>国コード（ISO 3166-1 alpha-2）</t>
  </si>
  <si>
    <t>Char(2)</t>
  </si>
  <si>
    <t>有効フラグ</t>
  </si>
  <si>
    <t>sales.services</t>
  </si>
  <si>
    <t>service_id</t>
  </si>
  <si>
    <t>service_name</t>
  </si>
  <si>
    <t>ad_type</t>
  </si>
  <si>
    <t>Char(1)</t>
  </si>
  <si>
    <t>banner_size</t>
  </si>
  <si>
    <t>html_embed_available</t>
  </si>
  <si>
    <t>js_embed_available</t>
  </si>
  <si>
    <t>video_duration_sec</t>
  </si>
  <si>
    <t>Int</t>
  </si>
  <si>
    <t>price_weekly</t>
  </si>
  <si>
    <t>Decimal(15,2)</t>
  </si>
  <si>
    <t>price_monthly</t>
  </si>
  <si>
    <t>currency_code</t>
  </si>
  <si>
    <t>Char(3)</t>
  </si>
  <si>
    <t>sales.common_codes</t>
  </si>
  <si>
    <t>共通コードマスター</t>
  </si>
  <si>
    <t>category_name</t>
  </si>
  <si>
    <t>区分名（DB内のテーブルで使用される各種区分名。実際のテーブル項目の物理名を指定する）</t>
  </si>
  <si>
    <t>category_code</t>
  </si>
  <si>
    <t>区分値（その区分のコード値）</t>
  </si>
  <si>
    <t>category_code_name</t>
  </si>
  <si>
    <t>区分値名（その区分のコード値に割り当てられる名前）</t>
  </si>
  <si>
    <t>category_code_description</t>
  </si>
  <si>
    <t>区分値説明（その区分のコード値の説明）</t>
  </si>
  <si>
    <t>NVarChar(400)</t>
  </si>
  <si>
    <t>ad_type</t>
    <phoneticPr fontId="2"/>
  </si>
  <si>
    <t>B</t>
    <phoneticPr fontId="2"/>
  </si>
  <si>
    <t>動画広告</t>
    <phoneticPr fontId="2"/>
  </si>
  <si>
    <t>バナー広告</t>
    <phoneticPr fontId="2"/>
  </si>
  <si>
    <t>S</t>
    <phoneticPr fontId="2"/>
  </si>
  <si>
    <t>スポット広告</t>
    <rPh sb="4" eb="6">
      <t>コウコク</t>
    </rPh>
    <phoneticPr fontId="2"/>
  </si>
  <si>
    <t>1</t>
  </si>
  <si>
    <t>1</t>
    <phoneticPr fontId="2"/>
  </si>
  <si>
    <t>0</t>
  </si>
  <si>
    <t>0</t>
    <phoneticPr fontId="2"/>
  </si>
  <si>
    <r>
      <t>HTML</t>
    </r>
    <r>
      <rPr>
        <sz val="11"/>
        <color rgb="FF000000"/>
        <rFont val="ＭＳ ゴシック"/>
        <family val="2"/>
        <charset val="128"/>
      </rPr>
      <t>埋め込み可能</t>
    </r>
    <rPh sb="4" eb="5">
      <t>ウ</t>
    </rPh>
    <rPh sb="6" eb="7">
      <t>コ</t>
    </rPh>
    <rPh sb="8" eb="10">
      <t>カノウ</t>
    </rPh>
    <phoneticPr fontId="2"/>
  </si>
  <si>
    <r>
      <t>HTML</t>
    </r>
    <r>
      <rPr>
        <sz val="11"/>
        <color rgb="FF000000"/>
        <rFont val="Noto Sans JP"/>
        <family val="2"/>
        <charset val="128"/>
      </rPr>
      <t>埋め込み不可</t>
    </r>
    <rPh sb="8" eb="10">
      <t>フカ</t>
    </rPh>
    <phoneticPr fontId="2"/>
  </si>
  <si>
    <r>
      <t>JavaScript</t>
    </r>
    <r>
      <rPr>
        <sz val="11"/>
        <color rgb="FF000000"/>
        <rFont val="ＭＳ ゴシック"/>
        <family val="2"/>
        <charset val="128"/>
      </rPr>
      <t>埋め込み可能</t>
    </r>
    <rPh sb="10" eb="11">
      <t>ウ</t>
    </rPh>
    <rPh sb="12" eb="13">
      <t>コ</t>
    </rPh>
    <rPh sb="14" eb="16">
      <t>カノウ</t>
    </rPh>
    <phoneticPr fontId="2"/>
  </si>
  <si>
    <r>
      <t>JavaScript</t>
    </r>
    <r>
      <rPr>
        <sz val="11"/>
        <color rgb="FF000000"/>
        <rFont val="Noto Sans JP"/>
        <family val="2"/>
        <charset val="128"/>
      </rPr>
      <t>埋め込み不可</t>
    </r>
    <rPh sb="14" eb="16">
      <t>フカ</t>
    </rPh>
    <phoneticPr fontId="2"/>
  </si>
  <si>
    <t>画面の所定の箇所に指定されたサイズのバナーを出す</t>
    <rPh sb="0" eb="2">
      <t>ガメン</t>
    </rPh>
    <rPh sb="3" eb="5">
      <t>ショテイ</t>
    </rPh>
    <rPh sb="6" eb="8">
      <t>カショ</t>
    </rPh>
    <rPh sb="9" eb="11">
      <t>シテイ</t>
    </rPh>
    <rPh sb="22" eb="23">
      <t>ダ</t>
    </rPh>
    <phoneticPr fontId="2"/>
  </si>
  <si>
    <t>一定時間ごとにフルサイズのスポット広告画面を表示する。</t>
    <rPh sb="0" eb="4">
      <t>イッテイジカン</t>
    </rPh>
    <rPh sb="17" eb="19">
      <t>コウコク</t>
    </rPh>
    <rPh sb="19" eb="21">
      <t>ガメン</t>
    </rPh>
    <rPh sb="22" eb="24">
      <t>ヒョウジ</t>
    </rPh>
    <phoneticPr fontId="2"/>
  </si>
  <si>
    <t>画面の所定の箇所に指定されたウィンドウサイズの動画広告を表示する。</t>
    <rPh sb="0" eb="2">
      <t>ガメン</t>
    </rPh>
    <rPh sb="3" eb="5">
      <t>ショテイ</t>
    </rPh>
    <rPh sb="6" eb="8">
      <t>カショ</t>
    </rPh>
    <rPh sb="9" eb="11">
      <t>シテイ</t>
    </rPh>
    <rPh sb="23" eb="25">
      <t>ドウガ</t>
    </rPh>
    <rPh sb="25" eb="27">
      <t>コウコク</t>
    </rPh>
    <rPh sb="28" eb="30">
      <t>ヒョウジ</t>
    </rPh>
    <phoneticPr fontId="2"/>
  </si>
  <si>
    <t>V</t>
    <phoneticPr fontId="2"/>
  </si>
  <si>
    <t>デジタルサイネージ</t>
    <phoneticPr fontId="2"/>
  </si>
  <si>
    <t>デジタルサイネージ。電子掲示板などに文字が流れるように表示される広告の形式</t>
    <phoneticPr fontId="2"/>
  </si>
  <si>
    <t>D</t>
    <phoneticPr fontId="2"/>
  </si>
  <si>
    <t>html_embed_available</t>
    <phoneticPr fontId="2"/>
  </si>
  <si>
    <r>
      <rPr>
        <sz val="11"/>
        <color rgb="FF000000"/>
        <rFont val="ＭＳ ゴシック"/>
        <family val="2"/>
        <charset val="128"/>
      </rPr>
      <t>広告コンテンツの</t>
    </r>
    <r>
      <rPr>
        <sz val="11"/>
        <color rgb="FF000000"/>
        <rFont val="Calibri"/>
        <family val="2"/>
      </rPr>
      <t>HTML</t>
    </r>
    <r>
      <rPr>
        <sz val="11"/>
        <color rgb="FF000000"/>
        <rFont val="ＭＳ ゴシック"/>
        <family val="2"/>
        <charset val="128"/>
      </rPr>
      <t>内で</t>
    </r>
    <r>
      <rPr>
        <sz val="11"/>
        <color rgb="FF000000"/>
        <rFont val="Calibri"/>
        <family val="2"/>
      </rPr>
      <t>JavaScript</t>
    </r>
    <r>
      <rPr>
        <sz val="11"/>
        <color rgb="FF000000"/>
        <rFont val="ＭＳ ゴシック"/>
        <family val="2"/>
        <charset val="128"/>
      </rPr>
      <t>の使用を許可する。</t>
    </r>
    <r>
      <rPr>
        <sz val="11"/>
        <color rgb="FF000000"/>
        <rFont val="Calibri"/>
        <family val="2"/>
      </rPr>
      <t xml:space="preserve">
html_embed_available=1</t>
    </r>
    <r>
      <rPr>
        <sz val="11"/>
        <color rgb="FF000000"/>
        <rFont val="ＭＳ ゴシック"/>
        <family val="2"/>
        <charset val="128"/>
      </rPr>
      <t>の場合にのみ評価される。</t>
    </r>
    <rPh sb="0" eb="2">
      <t>コウコク</t>
    </rPh>
    <rPh sb="12" eb="13">
      <t>ナイ</t>
    </rPh>
    <rPh sb="25" eb="27">
      <t>シヨウ</t>
    </rPh>
    <rPh sb="28" eb="30">
      <t>キョカ</t>
    </rPh>
    <rPh sb="57" eb="59">
      <t>バアイ</t>
    </rPh>
    <rPh sb="62" eb="64">
      <t>ヒョウカ</t>
    </rPh>
    <phoneticPr fontId="2"/>
  </si>
  <si>
    <r>
      <rPr>
        <sz val="11"/>
        <color rgb="FF000000"/>
        <rFont val="ＭＳ ゴシック"/>
        <family val="2"/>
        <charset val="128"/>
      </rPr>
      <t>広告コンテンツの</t>
    </r>
    <r>
      <rPr>
        <sz val="11"/>
        <color rgb="FF000000"/>
        <rFont val="Calibri"/>
        <family val="2"/>
      </rPr>
      <t>HTML</t>
    </r>
    <r>
      <rPr>
        <sz val="11"/>
        <color rgb="FF000000"/>
        <rFont val="ＭＳ ゴシック"/>
        <family val="2"/>
        <charset val="128"/>
      </rPr>
      <t>内で</t>
    </r>
    <r>
      <rPr>
        <sz val="11"/>
        <color rgb="FF000000"/>
        <rFont val="Calibri"/>
        <family val="2"/>
      </rPr>
      <t>JavaScript</t>
    </r>
    <r>
      <rPr>
        <sz val="11"/>
        <color rgb="FF000000"/>
        <rFont val="ＭＳ ゴシック"/>
        <family val="2"/>
        <charset val="128"/>
      </rPr>
      <t>の使用を許可しない。</t>
    </r>
    <r>
      <rPr>
        <sz val="11"/>
        <color rgb="FF000000"/>
        <rFont val="Calibri"/>
        <family val="2"/>
      </rPr>
      <t xml:space="preserve">
html_embed_available=1</t>
    </r>
    <r>
      <rPr>
        <sz val="11"/>
        <color rgb="FF000000"/>
        <rFont val="ＭＳ ゴシック"/>
        <family val="2"/>
        <charset val="128"/>
      </rPr>
      <t>の場合にのみ評価される。</t>
    </r>
    <phoneticPr fontId="2"/>
  </si>
  <si>
    <r>
      <rPr>
        <sz val="11"/>
        <color rgb="FF000000"/>
        <rFont val="ＭＳ ゴシック"/>
        <family val="2"/>
        <charset val="128"/>
      </rPr>
      <t>表示する広告コンテンツを</t>
    </r>
    <r>
      <rPr>
        <sz val="11"/>
        <color rgb="FF000000"/>
        <rFont val="Calibri"/>
        <family val="2"/>
      </rPr>
      <t>HTML</t>
    </r>
    <r>
      <rPr>
        <sz val="11"/>
        <color rgb="FF000000"/>
        <rFont val="ＭＳ ゴシック"/>
        <family val="2"/>
        <charset val="128"/>
      </rPr>
      <t>形式で設定することを許可する。</t>
    </r>
    <rPh sb="0" eb="2">
      <t>ヒョウジ</t>
    </rPh>
    <rPh sb="4" eb="6">
      <t>コウコク</t>
    </rPh>
    <rPh sb="16" eb="18">
      <t>ケイシキ</t>
    </rPh>
    <rPh sb="19" eb="21">
      <t>セッテイ</t>
    </rPh>
    <rPh sb="26" eb="28">
      <t>キョカ</t>
    </rPh>
    <phoneticPr fontId="2"/>
  </si>
  <si>
    <r>
      <rPr>
        <sz val="11"/>
        <color rgb="FF000000"/>
        <rFont val="ＭＳ ゴシック"/>
        <family val="2"/>
        <charset val="128"/>
      </rPr>
      <t>表示する広告コンテンツを</t>
    </r>
    <r>
      <rPr>
        <sz val="11"/>
        <color rgb="FF000000"/>
        <rFont val="Calibri"/>
        <family val="2"/>
      </rPr>
      <t>HTML</t>
    </r>
    <r>
      <rPr>
        <sz val="11"/>
        <color rgb="FF000000"/>
        <rFont val="ＭＳ ゴシック"/>
        <family val="2"/>
        <charset val="128"/>
      </rPr>
      <t>形式で設定することを許可しない。（</t>
    </r>
    <r>
      <rPr>
        <sz val="11"/>
        <color rgb="FF000000"/>
        <rFont val="Calibri"/>
        <family val="2"/>
      </rPr>
      <t>ad_type=</t>
    </r>
    <r>
      <rPr>
        <sz val="11"/>
        <color rgb="FF000000"/>
        <rFont val="ＭＳ ゴシック"/>
        <family val="2"/>
        <charset val="128"/>
      </rPr>
      <t>デジタルサイネージの場合などはこれが該当する）</t>
    </r>
    <rPh sb="0" eb="2">
      <t>ヒョウジ</t>
    </rPh>
    <rPh sb="4" eb="6">
      <t>コウコク</t>
    </rPh>
    <rPh sb="16" eb="18">
      <t>ケイシキ</t>
    </rPh>
    <rPh sb="19" eb="21">
      <t>セッテイ</t>
    </rPh>
    <rPh sb="26" eb="28">
      <t>キョカ</t>
    </rPh>
    <rPh sb="51" eb="53">
      <t>バアイ</t>
    </rPh>
    <rPh sb="59" eb="61">
      <t>ガイトウ</t>
    </rPh>
    <phoneticPr fontId="2"/>
  </si>
  <si>
    <t>有効</t>
    <rPh sb="0" eb="2">
      <t>ユウコウ</t>
    </rPh>
    <phoneticPr fontId="2"/>
  </si>
  <si>
    <t>無効</t>
    <rPh sb="0" eb="2">
      <t>ムコウ</t>
    </rPh>
    <phoneticPr fontId="2"/>
  </si>
  <si>
    <t>billing_type</t>
  </si>
  <si>
    <t>2</t>
    <phoneticPr fontId="2"/>
  </si>
  <si>
    <t>月締め請求</t>
    <phoneticPr fontId="2"/>
  </si>
  <si>
    <t>個別請求</t>
    <rPh sb="0" eb="2">
      <t>コベツ</t>
    </rPh>
    <rPh sb="2" eb="4">
      <t>セイキュウ</t>
    </rPh>
    <phoneticPr fontId="2"/>
  </si>
  <si>
    <t>売上がたった段階で個別請求する。</t>
    <rPh sb="0" eb="2">
      <t>ウリアゲ</t>
    </rPh>
    <rPh sb="6" eb="8">
      <t>ダンカイ</t>
    </rPh>
    <rPh sb="9" eb="11">
      <t>コベツ</t>
    </rPh>
    <rPh sb="11" eb="13">
      <t>セイキュウ</t>
    </rPh>
    <phoneticPr fontId="2"/>
  </si>
  <si>
    <t>売上がたった月の締め日に他の請求とまとめて請求する。</t>
    <rPh sb="0" eb="2">
      <t>ウリアゲ</t>
    </rPh>
    <rPh sb="6" eb="7">
      <t>ツキ</t>
    </rPh>
    <rPh sb="8" eb="9">
      <t>シ</t>
    </rPh>
    <rPh sb="10" eb="11">
      <t>ビ</t>
    </rPh>
    <rPh sb="12" eb="13">
      <t>タ</t>
    </rPh>
    <rPh sb="14" eb="16">
      <t>セイキュウ</t>
    </rPh>
    <rPh sb="21" eb="23">
      <t>セイキュウ</t>
    </rPh>
    <phoneticPr fontId="2"/>
  </si>
  <si>
    <t>status</t>
    <phoneticPr fontId="2"/>
  </si>
  <si>
    <t>3</t>
    <phoneticPr fontId="2"/>
  </si>
  <si>
    <t>4</t>
    <phoneticPr fontId="2"/>
  </si>
  <si>
    <t>5</t>
    <phoneticPr fontId="2"/>
  </si>
  <si>
    <t>6</t>
    <phoneticPr fontId="2"/>
  </si>
  <si>
    <t>7</t>
    <phoneticPr fontId="2"/>
  </si>
  <si>
    <t>9</t>
    <phoneticPr fontId="2"/>
  </si>
  <si>
    <t>見積提示前</t>
    <rPh sb="0" eb="2">
      <t>ミツモリ</t>
    </rPh>
    <rPh sb="2" eb="5">
      <t>テイジマエ</t>
    </rPh>
    <phoneticPr fontId="2"/>
  </si>
  <si>
    <t>見積修正中</t>
    <rPh sb="0" eb="2">
      <t>ミツモリ</t>
    </rPh>
    <rPh sb="2" eb="4">
      <t>シュウセイ</t>
    </rPh>
    <rPh sb="4" eb="5">
      <t>チュウ</t>
    </rPh>
    <phoneticPr fontId="2"/>
  </si>
  <si>
    <t>契約済み</t>
    <rPh sb="0" eb="3">
      <t>ケイヤクズ</t>
    </rPh>
    <phoneticPr fontId="2"/>
  </si>
  <si>
    <t>失注</t>
    <rPh sb="0" eb="2">
      <t>シッチュウ</t>
    </rPh>
    <phoneticPr fontId="2"/>
  </si>
  <si>
    <t>広告掲載中</t>
    <rPh sb="0" eb="2">
      <t>コウコク</t>
    </rPh>
    <rPh sb="2" eb="5">
      <t>ケイサイチュウ</t>
    </rPh>
    <phoneticPr fontId="2"/>
  </si>
  <si>
    <t>8</t>
    <phoneticPr fontId="2"/>
  </si>
  <si>
    <t>広告掲載終了</t>
    <rPh sb="0" eb="2">
      <t>コウコク</t>
    </rPh>
    <rPh sb="2" eb="4">
      <t>ケイサイ</t>
    </rPh>
    <rPh sb="4" eb="6">
      <t>シュウリョウ</t>
    </rPh>
    <phoneticPr fontId="2"/>
  </si>
  <si>
    <t>請求データ作成済み</t>
    <rPh sb="0" eb="2">
      <t>セイキュウ</t>
    </rPh>
    <rPh sb="5" eb="7">
      <t>サクセイ</t>
    </rPh>
    <rPh sb="7" eb="8">
      <t>ズ</t>
    </rPh>
    <phoneticPr fontId="2"/>
  </si>
  <si>
    <t>請求書発行済み</t>
    <rPh sb="0" eb="3">
      <t>セイキュウショ</t>
    </rPh>
    <rPh sb="3" eb="6">
      <t>ハッコウズ</t>
    </rPh>
    <phoneticPr fontId="2"/>
  </si>
  <si>
    <t>見積、または契約が無効になった。</t>
    <rPh sb="0" eb="2">
      <t>ミツモリ</t>
    </rPh>
    <rPh sb="6" eb="8">
      <t>ケイヤク</t>
    </rPh>
    <rPh sb="9" eb="11">
      <t>ムコウ</t>
    </rPh>
    <phoneticPr fontId="2"/>
  </si>
  <si>
    <t>見積書の作成中である。</t>
    <rPh sb="0" eb="3">
      <t>ミツモリショ</t>
    </rPh>
    <rPh sb="4" eb="7">
      <t>サクセイチュウ</t>
    </rPh>
    <phoneticPr fontId="2"/>
  </si>
  <si>
    <t>見積書を訂正している（再提示したら「見積提示済み」に戻る。</t>
    <rPh sb="0" eb="3">
      <t>ミツモリショ</t>
    </rPh>
    <rPh sb="4" eb="6">
      <t>テイセイ</t>
    </rPh>
    <rPh sb="11" eb="14">
      <t>サイテイジ</t>
    </rPh>
    <rPh sb="18" eb="20">
      <t>ミツモリ</t>
    </rPh>
    <rPh sb="20" eb="22">
      <t>テイジ</t>
    </rPh>
    <rPh sb="22" eb="23">
      <t>ズ</t>
    </rPh>
    <rPh sb="26" eb="27">
      <t>モド</t>
    </rPh>
    <phoneticPr fontId="2"/>
  </si>
  <si>
    <t>見積提示済み</t>
    <rPh sb="0" eb="2">
      <t>ミツモリ</t>
    </rPh>
    <rPh sb="2" eb="4">
      <t>テイジ</t>
    </rPh>
    <rPh sb="4" eb="5">
      <t>ズ</t>
    </rPh>
    <phoneticPr fontId="2"/>
  </si>
  <si>
    <t>契約が成立したが広告掲載は開始されていない。</t>
    <rPh sb="0" eb="2">
      <t>ケイヤク</t>
    </rPh>
    <rPh sb="3" eb="5">
      <t>セイリツ</t>
    </rPh>
    <rPh sb="8" eb="12">
      <t>コウコクケイサイ</t>
    </rPh>
    <rPh sb="13" eb="15">
      <t>カイシ</t>
    </rPh>
    <phoneticPr fontId="2"/>
  </si>
  <si>
    <t>契約が成立し広告掲載が開始された。</t>
    <rPh sb="0" eb="2">
      <t>ケイヤク</t>
    </rPh>
    <rPh sb="3" eb="5">
      <t>セイリツ</t>
    </rPh>
    <rPh sb="6" eb="10">
      <t>コウコクケイサイ</t>
    </rPh>
    <rPh sb="11" eb="13">
      <t>カイシ</t>
    </rPh>
    <phoneticPr fontId="2"/>
  </si>
  <si>
    <t>契約終了</t>
    <rPh sb="0" eb="2">
      <t>ケイヤク</t>
    </rPh>
    <rPh sb="2" eb="4">
      <t>シュウリョウ</t>
    </rPh>
    <phoneticPr fontId="2"/>
  </si>
  <si>
    <t>広告掲載が終了した。</t>
    <rPh sb="0" eb="4">
      <t>コウコクケイサイ</t>
    </rPh>
    <rPh sb="5" eb="7">
      <t>シュウリョウ</t>
    </rPh>
    <phoneticPr fontId="2"/>
  </si>
  <si>
    <t>契約が終了した。</t>
    <phoneticPr fontId="2"/>
  </si>
  <si>
    <t>当該データが有効であることを示す。</t>
    <rPh sb="0" eb="2">
      <t>トウガイ</t>
    </rPh>
    <rPh sb="6" eb="8">
      <t>ユウコウ</t>
    </rPh>
    <rPh sb="14" eb="15">
      <t>シメ</t>
    </rPh>
    <phoneticPr fontId="2"/>
  </si>
  <si>
    <t>当該データが無効であることを示す。</t>
    <phoneticPr fontId="2"/>
  </si>
  <si>
    <t>見積書を提示済みである。</t>
    <rPh sb="0" eb="3">
      <t>ミツモリショ</t>
    </rPh>
    <rPh sb="4" eb="7">
      <t>テイジズ</t>
    </rPh>
    <phoneticPr fontId="2"/>
  </si>
  <si>
    <t>請求データが作成されたが、まだ請求書は発行されていない。</t>
    <rPh sb="0" eb="2">
      <t>セイキュウ</t>
    </rPh>
    <rPh sb="6" eb="8">
      <t>サクセイ</t>
    </rPh>
    <rPh sb="15" eb="18">
      <t>セイキュウショ</t>
    </rPh>
    <rPh sb="19" eb="21">
      <t>ハッコウ</t>
    </rPh>
    <phoneticPr fontId="2"/>
  </si>
  <si>
    <t>請求書が発行された。</t>
    <rPh sb="0" eb="3">
      <t>セイキュウショ</t>
    </rPh>
    <rPh sb="4" eb="6">
      <t>ハッコウ</t>
    </rPh>
    <phoneticPr fontId="2"/>
  </si>
  <si>
    <t>sys_admin</t>
  </si>
  <si>
    <t>sys_admin</t>
    <phoneticPr fontId="2"/>
  </si>
  <si>
    <t>BNR0001</t>
    <phoneticPr fontId="2"/>
  </si>
  <si>
    <t>BNR0002</t>
    <phoneticPr fontId="2"/>
  </si>
  <si>
    <t>BNR0003</t>
    <phoneticPr fontId="2"/>
  </si>
  <si>
    <t>300x250</t>
    <phoneticPr fontId="2"/>
  </si>
  <si>
    <t>468x60</t>
    <phoneticPr fontId="2"/>
  </si>
  <si>
    <t>728x90</t>
    <phoneticPr fontId="2"/>
  </si>
  <si>
    <t>JPY</t>
    <phoneticPr fontId="2"/>
  </si>
  <si>
    <t>SPT0001</t>
    <phoneticPr fontId="2"/>
  </si>
  <si>
    <t>SPT0002</t>
    <phoneticPr fontId="2"/>
  </si>
  <si>
    <t>SPT0003</t>
    <phoneticPr fontId="2"/>
  </si>
  <si>
    <r>
      <rPr>
        <sz val="11"/>
        <color rgb="FF000000"/>
        <rFont val="Calibri"/>
        <family val="2"/>
      </rPr>
      <t>テーブル名</t>
    </r>
  </si>
  <si>
    <r>
      <rPr>
        <sz val="11"/>
        <color rgb="FF000000"/>
        <rFont val="Calibri"/>
        <family val="2"/>
      </rPr>
      <t>論理名</t>
    </r>
  </si>
  <si>
    <r>
      <rPr>
        <sz val="11"/>
        <color rgb="FF000000"/>
        <rFont val="Calibri"/>
        <family val="2"/>
      </rPr>
      <t>サービスマスター（広告種別・料金定義）</t>
    </r>
  </si>
  <si>
    <r>
      <rPr>
        <sz val="11"/>
        <color rgb="FF000000"/>
        <rFont val="Calibri"/>
        <family val="2"/>
      </rPr>
      <t>処理結果</t>
    </r>
  </si>
  <si>
    <r>
      <rPr>
        <sz val="11"/>
        <color rgb="FF000000"/>
        <rFont val="Calibri"/>
        <family val="2"/>
      </rPr>
      <t>項目名</t>
    </r>
  </si>
  <si>
    <r>
      <rPr>
        <sz val="11"/>
        <color rgb="FF000000"/>
        <rFont val="Calibri"/>
        <family val="2"/>
      </rPr>
      <t>処理成否</t>
    </r>
  </si>
  <si>
    <r>
      <rPr>
        <sz val="11"/>
        <color rgb="FF000000"/>
        <rFont val="Calibri"/>
        <family val="2"/>
      </rPr>
      <t>処理失敗時メッセージ</t>
    </r>
  </si>
  <si>
    <r>
      <rPr>
        <sz val="11"/>
        <color rgb="FF000000"/>
        <rFont val="Calibri"/>
        <family val="2"/>
      </rPr>
      <t>項目論理名</t>
    </r>
  </si>
  <si>
    <r>
      <rPr>
        <sz val="11"/>
        <color rgb="FF000000"/>
        <rFont val="Calibri"/>
        <family val="2"/>
      </rPr>
      <t>サービスID</t>
    </r>
  </si>
  <si>
    <r>
      <rPr>
        <sz val="11"/>
        <color rgb="FF000000"/>
        <rFont val="Calibri"/>
        <family val="2"/>
      </rPr>
      <t>サービス名</t>
    </r>
  </si>
  <si>
    <r>
      <rPr>
        <sz val="11"/>
        <color rgb="FF000000"/>
        <rFont val="Calibri"/>
        <family val="2"/>
      </rPr>
      <t>広告種別（B=バナー広告,V=動画広告）</t>
    </r>
  </si>
  <si>
    <r>
      <rPr>
        <sz val="11"/>
        <color rgb="FF000000"/>
        <rFont val="Noto Sans JP"/>
        <family val="2"/>
        <charset val="128"/>
      </rPr>
      <t>バナーサイズ（バナー広告のみ。例</t>
    </r>
    <r>
      <rPr>
        <sz val="11"/>
        <color rgb="FF000000"/>
        <rFont val="Calibri"/>
        <family val="2"/>
      </rPr>
      <t>:468x60,728x90,300x250</t>
    </r>
    <r>
      <rPr>
        <sz val="11"/>
        <color rgb="FF000000"/>
        <rFont val="Noto Sans JP"/>
        <family val="2"/>
        <charset val="128"/>
      </rPr>
      <t>）</t>
    </r>
    <phoneticPr fontId="2"/>
  </si>
  <si>
    <r>
      <t>HTML</t>
    </r>
    <r>
      <rPr>
        <sz val="11"/>
        <color rgb="FF000000"/>
        <rFont val="Calibri"/>
        <family val="2"/>
      </rPr>
      <t>埋め込み可否（バナー広告のみ）</t>
    </r>
  </si>
  <si>
    <r>
      <t>JavaScript</t>
    </r>
    <r>
      <rPr>
        <sz val="11"/>
        <color rgb="FF000000"/>
        <rFont val="Calibri"/>
        <family val="2"/>
      </rPr>
      <t>埋め込み可否（バナー広告のみ）</t>
    </r>
  </si>
  <si>
    <r>
      <rPr>
        <sz val="11"/>
        <color rgb="FF000000"/>
        <rFont val="Calibri"/>
        <family val="2"/>
      </rPr>
      <t>動画表示時間（秒）（動画広告のみ）</t>
    </r>
  </si>
  <si>
    <r>
      <rPr>
        <sz val="11"/>
        <color rgb="FF000000"/>
        <rFont val="Calibri"/>
        <family val="2"/>
      </rPr>
      <t>週単位料金（税抜）</t>
    </r>
  </si>
  <si>
    <r>
      <rPr>
        <sz val="11"/>
        <color rgb="FF000000"/>
        <rFont val="Calibri"/>
        <family val="2"/>
      </rPr>
      <t>月単位料金（税抜）</t>
    </r>
  </si>
  <si>
    <r>
      <rPr>
        <sz val="11"/>
        <color rgb="FF000000"/>
        <rFont val="Calibri"/>
        <family val="2"/>
      </rPr>
      <t>料金通貨コード（ISO 4217）</t>
    </r>
  </si>
  <si>
    <r>
      <rPr>
        <sz val="11"/>
        <color rgb="FF000000"/>
        <rFont val="Calibri"/>
        <family val="2"/>
      </rPr>
      <t>有効フラグ</t>
    </r>
  </si>
  <si>
    <r>
      <rPr>
        <sz val="11"/>
        <color rgb="FF000000"/>
        <rFont val="Calibri"/>
        <family val="2"/>
      </rPr>
      <t>作成日時</t>
    </r>
  </si>
  <si>
    <r>
      <rPr>
        <sz val="11"/>
        <color rgb="FF000000"/>
        <rFont val="Calibri"/>
        <family val="2"/>
      </rPr>
      <t>作成者ID</t>
    </r>
  </si>
  <si>
    <r>
      <rPr>
        <sz val="11"/>
        <color rgb="FF000000"/>
        <rFont val="Calibri"/>
        <family val="2"/>
      </rPr>
      <t>更新日時</t>
    </r>
  </si>
  <si>
    <r>
      <rPr>
        <sz val="11"/>
        <color rgb="FF000000"/>
        <rFont val="Calibri"/>
        <family val="2"/>
      </rPr>
      <t>更新者ID</t>
    </r>
  </si>
  <si>
    <r>
      <rPr>
        <sz val="11"/>
        <color rgb="FF000000"/>
        <rFont val="Calibri"/>
        <family val="2"/>
      </rPr>
      <t>データ型</t>
    </r>
  </si>
  <si>
    <r>
      <rPr>
        <sz val="11"/>
        <color rgb="FF000000"/>
        <rFont val="Calibri"/>
        <family val="2"/>
      </rPr>
      <t>項目属性</t>
    </r>
  </si>
  <si>
    <r>
      <rPr>
        <sz val="11"/>
        <color rgb="FF000000"/>
        <rFont val="Calibri"/>
        <family val="2"/>
      </rPr>
      <t>入力対象</t>
    </r>
  </si>
  <si>
    <t>DSG0001</t>
    <phoneticPr fontId="2"/>
  </si>
  <si>
    <t>DSG0002</t>
    <phoneticPr fontId="2"/>
  </si>
  <si>
    <t>DSG0003</t>
    <phoneticPr fontId="2"/>
  </si>
  <si>
    <t>DSG0011</t>
    <phoneticPr fontId="2"/>
  </si>
  <si>
    <t>DSG0012</t>
    <phoneticPr fontId="2"/>
  </si>
  <si>
    <t>DSG0013</t>
    <phoneticPr fontId="2"/>
  </si>
  <si>
    <r>
      <rPr>
        <sz val="11"/>
        <color rgb="FF000000"/>
        <rFont val="Noto Sans JP"/>
        <family val="2"/>
        <charset val="128"/>
      </rPr>
      <t>バナー広告小</t>
    </r>
    <r>
      <rPr>
        <sz val="11"/>
        <color rgb="FF000000"/>
        <rFont val="Calibri"/>
        <family val="2"/>
      </rPr>
      <t>(</t>
    </r>
    <r>
      <rPr>
        <sz val="11"/>
        <color rgb="FF000000"/>
        <rFont val="ＭＳ ゴシック"/>
        <family val="2"/>
        <charset val="128"/>
      </rPr>
      <t>最大</t>
    </r>
    <r>
      <rPr>
        <sz val="11"/>
        <color rgb="FF000000"/>
        <rFont val="Calibri"/>
        <family val="2"/>
      </rPr>
      <t>5</t>
    </r>
    <r>
      <rPr>
        <sz val="11"/>
        <color rgb="FF000000"/>
        <rFont val="ＭＳ ゴシック"/>
        <family val="2"/>
        <charset val="128"/>
      </rPr>
      <t>社共有)</t>
    </r>
    <rPh sb="3" eb="5">
      <t>コウコク</t>
    </rPh>
    <rPh sb="5" eb="6">
      <t>ショウ</t>
    </rPh>
    <rPh sb="7" eb="9">
      <t>サイダイ</t>
    </rPh>
    <rPh sb="10" eb="11">
      <t>シャ</t>
    </rPh>
    <rPh sb="11" eb="13">
      <t>キョウユウ</t>
    </rPh>
    <phoneticPr fontId="2"/>
  </si>
  <si>
    <r>
      <rPr>
        <sz val="11"/>
        <color rgb="FF000000"/>
        <rFont val="Noto Sans JP"/>
        <family val="2"/>
        <charset val="128"/>
      </rPr>
      <t>バナー広告中</t>
    </r>
    <r>
      <rPr>
        <sz val="11"/>
        <color rgb="FF000000"/>
        <rFont val="Calibri"/>
        <family val="2"/>
      </rPr>
      <t>(</t>
    </r>
    <r>
      <rPr>
        <sz val="11"/>
        <color rgb="FF000000"/>
        <rFont val="ＭＳ ゴシック"/>
        <family val="2"/>
        <charset val="128"/>
      </rPr>
      <t>最大</t>
    </r>
    <r>
      <rPr>
        <sz val="11"/>
        <color rgb="FF000000"/>
        <rFont val="Calibri"/>
        <family val="2"/>
      </rPr>
      <t>5</t>
    </r>
    <r>
      <rPr>
        <sz val="11"/>
        <color rgb="FF000000"/>
        <rFont val="ＭＳ ゴシック"/>
        <family val="2"/>
        <charset val="128"/>
      </rPr>
      <t>社共有</t>
    </r>
    <r>
      <rPr>
        <sz val="11"/>
        <color rgb="FF000000"/>
        <rFont val="Calibri"/>
        <family val="2"/>
      </rPr>
      <t>)</t>
    </r>
    <rPh sb="5" eb="6">
      <t>チュウ</t>
    </rPh>
    <phoneticPr fontId="2"/>
  </si>
  <si>
    <r>
      <rPr>
        <sz val="11"/>
        <color rgb="FF000000"/>
        <rFont val="Noto Sans JP"/>
        <family val="2"/>
        <charset val="128"/>
      </rPr>
      <t>バナー広告大</t>
    </r>
    <r>
      <rPr>
        <sz val="11"/>
        <color rgb="FF000000"/>
        <rFont val="Calibri"/>
        <family val="2"/>
      </rPr>
      <t>(</t>
    </r>
    <r>
      <rPr>
        <sz val="11"/>
        <color rgb="FF000000"/>
        <rFont val="ＭＳ ゴシック"/>
        <family val="2"/>
        <charset val="128"/>
      </rPr>
      <t>最大</t>
    </r>
    <r>
      <rPr>
        <sz val="11"/>
        <color rgb="FF000000"/>
        <rFont val="Calibri"/>
        <family val="2"/>
      </rPr>
      <t>5</t>
    </r>
    <r>
      <rPr>
        <sz val="11"/>
        <color rgb="FF000000"/>
        <rFont val="ＭＳ ゴシック"/>
        <family val="2"/>
        <charset val="128"/>
      </rPr>
      <t>社共有</t>
    </r>
    <r>
      <rPr>
        <sz val="11"/>
        <color rgb="FF000000"/>
        <rFont val="Calibri"/>
        <family val="2"/>
      </rPr>
      <t>)</t>
    </r>
    <rPh sb="5" eb="6">
      <t>ダイ</t>
    </rPh>
    <phoneticPr fontId="2"/>
  </si>
  <si>
    <r>
      <rPr>
        <sz val="11"/>
        <color rgb="FF000000"/>
        <rFont val="Noto Sans JP"/>
        <family val="2"/>
        <charset val="128"/>
      </rPr>
      <t>バナー広告小</t>
    </r>
    <r>
      <rPr>
        <sz val="11"/>
        <color rgb="FF000000"/>
        <rFont val="Calibri"/>
        <family val="2"/>
      </rPr>
      <t>(1</t>
    </r>
    <r>
      <rPr>
        <sz val="11"/>
        <color rgb="FF000000"/>
        <rFont val="ＭＳ ゴシック"/>
        <family val="2"/>
        <charset val="128"/>
      </rPr>
      <t>社占有</t>
    </r>
    <r>
      <rPr>
        <sz val="11"/>
        <color rgb="FF000000"/>
        <rFont val="Calibri"/>
        <family val="2"/>
      </rPr>
      <t>)</t>
    </r>
    <rPh sb="3" eb="5">
      <t>コウコク</t>
    </rPh>
    <rPh sb="5" eb="6">
      <t>ショウ</t>
    </rPh>
    <rPh sb="8" eb="9">
      <t>シャ</t>
    </rPh>
    <rPh sb="9" eb="11">
      <t>センユウ</t>
    </rPh>
    <phoneticPr fontId="2"/>
  </si>
  <si>
    <r>
      <rPr>
        <sz val="11"/>
        <color rgb="FF000000"/>
        <rFont val="Noto Sans JP"/>
        <family val="2"/>
        <charset val="128"/>
      </rPr>
      <t>バナー広告中</t>
    </r>
    <r>
      <rPr>
        <sz val="11"/>
        <color rgb="FF000000"/>
        <rFont val="Calibri"/>
        <family val="2"/>
      </rPr>
      <t>(1</t>
    </r>
    <r>
      <rPr>
        <sz val="11"/>
        <color rgb="FF000000"/>
        <rFont val="ＭＳ ゴシック"/>
        <family val="2"/>
        <charset val="128"/>
      </rPr>
      <t>社占有</t>
    </r>
    <r>
      <rPr>
        <sz val="11"/>
        <color rgb="FF000000"/>
        <rFont val="Calibri"/>
        <family val="2"/>
      </rPr>
      <t>)</t>
    </r>
    <rPh sb="5" eb="6">
      <t>チュウ</t>
    </rPh>
    <phoneticPr fontId="2"/>
  </si>
  <si>
    <r>
      <rPr>
        <sz val="11"/>
        <color rgb="FF000000"/>
        <rFont val="Noto Sans JP"/>
        <family val="2"/>
        <charset val="128"/>
      </rPr>
      <t>バナー広告大</t>
    </r>
    <r>
      <rPr>
        <sz val="11"/>
        <color rgb="FF000000"/>
        <rFont val="Calibri"/>
        <family val="2"/>
      </rPr>
      <t>(1</t>
    </r>
    <r>
      <rPr>
        <sz val="11"/>
        <color rgb="FF000000"/>
        <rFont val="ＭＳ ゴシック"/>
        <family val="2"/>
        <charset val="128"/>
      </rPr>
      <t>社占有</t>
    </r>
    <r>
      <rPr>
        <sz val="11"/>
        <color rgb="FF000000"/>
        <rFont val="Calibri"/>
        <family val="2"/>
      </rPr>
      <t>)</t>
    </r>
    <rPh sb="5" eb="6">
      <t>ダイ</t>
    </rPh>
    <phoneticPr fontId="2"/>
  </si>
  <si>
    <t>BNR0011</t>
    <phoneticPr fontId="2"/>
  </si>
  <si>
    <t>BNR0012</t>
    <phoneticPr fontId="2"/>
  </si>
  <si>
    <t>BNR0013</t>
    <phoneticPr fontId="2"/>
  </si>
  <si>
    <t>DSG0004</t>
    <phoneticPr fontId="2"/>
  </si>
  <si>
    <t>DSG0005</t>
    <phoneticPr fontId="2"/>
  </si>
  <si>
    <t>DSG0006</t>
    <phoneticPr fontId="2"/>
  </si>
  <si>
    <r>
      <rPr>
        <sz val="11"/>
        <color rgb="FF000000"/>
        <rFont val="ＭＳ ゴシック"/>
        <family val="2"/>
        <charset val="128"/>
      </rPr>
      <t>スポット広告</t>
    </r>
    <r>
      <rPr>
        <sz val="11"/>
        <color rgb="FF000000"/>
        <rFont val="Calibri"/>
        <family val="2"/>
      </rPr>
      <t>(30</t>
    </r>
    <r>
      <rPr>
        <sz val="11"/>
        <color rgb="FF000000"/>
        <rFont val="ＭＳ ゴシック"/>
        <family val="2"/>
        <charset val="128"/>
      </rPr>
      <t>分毎・</t>
    </r>
    <r>
      <rPr>
        <sz val="11"/>
        <color rgb="FF000000"/>
        <rFont val="Calibri"/>
        <family val="2"/>
      </rPr>
      <t>1</t>
    </r>
    <r>
      <rPr>
        <sz val="11"/>
        <color rgb="FF000000"/>
        <rFont val="ＭＳ ゴシック"/>
        <family val="2"/>
        <charset val="128"/>
      </rPr>
      <t>社占有）</t>
    </r>
    <rPh sb="4" eb="6">
      <t>コウコク</t>
    </rPh>
    <rPh sb="9" eb="10">
      <t>プン</t>
    </rPh>
    <rPh sb="10" eb="11">
      <t>ゴト</t>
    </rPh>
    <phoneticPr fontId="2"/>
  </si>
  <si>
    <r>
      <rPr>
        <sz val="11"/>
        <color rgb="FF000000"/>
        <rFont val="ＭＳ ゴシック"/>
        <family val="2"/>
        <charset val="128"/>
      </rPr>
      <t>スポット広告</t>
    </r>
    <r>
      <rPr>
        <sz val="11"/>
        <color rgb="FF000000"/>
        <rFont val="Calibri"/>
        <family val="2"/>
      </rPr>
      <t>(20</t>
    </r>
    <r>
      <rPr>
        <sz val="11"/>
        <color rgb="FF000000"/>
        <rFont val="ＭＳ ゴシック"/>
        <family val="2"/>
        <charset val="128"/>
      </rPr>
      <t>分毎・</t>
    </r>
    <r>
      <rPr>
        <sz val="11"/>
        <color rgb="FF000000"/>
        <rFont val="Calibri"/>
        <family val="2"/>
      </rPr>
      <t>1</t>
    </r>
    <r>
      <rPr>
        <sz val="11"/>
        <color rgb="FF000000"/>
        <rFont val="ＭＳ ゴシック"/>
        <family val="2"/>
        <charset val="128"/>
      </rPr>
      <t>社占有）</t>
    </r>
    <rPh sb="4" eb="6">
      <t>コウコク</t>
    </rPh>
    <rPh sb="9" eb="10">
      <t>プン</t>
    </rPh>
    <rPh sb="10" eb="11">
      <t>ゴト</t>
    </rPh>
    <phoneticPr fontId="2"/>
  </si>
  <si>
    <r>
      <rPr>
        <sz val="11"/>
        <color rgb="FF000000"/>
        <rFont val="ＭＳ ゴシック"/>
        <family val="2"/>
        <charset val="128"/>
      </rPr>
      <t>スポット広告</t>
    </r>
    <r>
      <rPr>
        <sz val="11"/>
        <color rgb="FF000000"/>
        <rFont val="Calibri"/>
        <family val="2"/>
      </rPr>
      <t>(10</t>
    </r>
    <r>
      <rPr>
        <sz val="11"/>
        <color rgb="FF000000"/>
        <rFont val="ＭＳ ゴシック"/>
        <family val="2"/>
        <charset val="128"/>
      </rPr>
      <t>分毎・</t>
    </r>
    <r>
      <rPr>
        <sz val="11"/>
        <color rgb="FF000000"/>
        <rFont val="Calibri"/>
        <family val="2"/>
      </rPr>
      <t>1</t>
    </r>
    <r>
      <rPr>
        <sz val="11"/>
        <color rgb="FF000000"/>
        <rFont val="ＭＳ ゴシック"/>
        <family val="2"/>
        <charset val="128"/>
      </rPr>
      <t>社占有）</t>
    </r>
    <rPh sb="4" eb="6">
      <t>コウコク</t>
    </rPh>
    <rPh sb="9" eb="10">
      <t>プン</t>
    </rPh>
    <rPh sb="10" eb="11">
      <t>ゴト</t>
    </rPh>
    <phoneticPr fontId="2"/>
  </si>
  <si>
    <r>
      <rPr>
        <sz val="11"/>
        <color rgb="FF000000"/>
        <rFont val="ＭＳ ゴシック"/>
        <family val="2"/>
        <charset val="128"/>
      </rPr>
      <t>スポット広告</t>
    </r>
    <r>
      <rPr>
        <sz val="11"/>
        <color rgb="FF000000"/>
        <rFont val="Calibri"/>
        <family val="2"/>
      </rPr>
      <t>(30</t>
    </r>
    <r>
      <rPr>
        <sz val="11"/>
        <color rgb="FF000000"/>
        <rFont val="ＭＳ ゴシック"/>
        <family val="2"/>
        <charset val="128"/>
      </rPr>
      <t>分毎・最大</t>
    </r>
    <r>
      <rPr>
        <sz val="11"/>
        <color rgb="FF000000"/>
        <rFont val="Calibri"/>
        <family val="2"/>
      </rPr>
      <t>5</t>
    </r>
    <r>
      <rPr>
        <sz val="11"/>
        <color rgb="FF000000"/>
        <rFont val="ＭＳ ゴシック"/>
        <family val="2"/>
        <charset val="128"/>
      </rPr>
      <t>社共有）</t>
    </r>
    <rPh sb="4" eb="6">
      <t>コウコク</t>
    </rPh>
    <rPh sb="9" eb="10">
      <t>プン</t>
    </rPh>
    <rPh sb="10" eb="11">
      <t>ゴト</t>
    </rPh>
    <phoneticPr fontId="2"/>
  </si>
  <si>
    <r>
      <rPr>
        <sz val="11"/>
        <color rgb="FF000000"/>
        <rFont val="ＭＳ ゴシック"/>
        <family val="2"/>
        <charset val="128"/>
      </rPr>
      <t>スポット広告</t>
    </r>
    <r>
      <rPr>
        <sz val="11"/>
        <color rgb="FF000000"/>
        <rFont val="Calibri"/>
        <family val="2"/>
      </rPr>
      <t>(20</t>
    </r>
    <r>
      <rPr>
        <sz val="11"/>
        <color rgb="FF000000"/>
        <rFont val="ＭＳ ゴシック"/>
        <family val="2"/>
        <charset val="128"/>
      </rPr>
      <t>分毎・最大</t>
    </r>
    <r>
      <rPr>
        <sz val="11"/>
        <color rgb="FF000000"/>
        <rFont val="Calibri"/>
        <family val="2"/>
      </rPr>
      <t>5</t>
    </r>
    <r>
      <rPr>
        <sz val="11"/>
        <color rgb="FF000000"/>
        <rFont val="ＭＳ ゴシック"/>
        <family val="2"/>
        <charset val="128"/>
      </rPr>
      <t>社共有）</t>
    </r>
    <rPh sb="4" eb="6">
      <t>コウコク</t>
    </rPh>
    <rPh sb="9" eb="10">
      <t>プン</t>
    </rPh>
    <rPh sb="10" eb="11">
      <t>ゴト</t>
    </rPh>
    <phoneticPr fontId="2"/>
  </si>
  <si>
    <r>
      <rPr>
        <sz val="11"/>
        <color rgb="FF000000"/>
        <rFont val="ＭＳ ゴシック"/>
        <family val="2"/>
        <charset val="128"/>
      </rPr>
      <t>スポット広告</t>
    </r>
    <r>
      <rPr>
        <sz val="11"/>
        <color rgb="FF000000"/>
        <rFont val="Calibri"/>
        <family val="2"/>
      </rPr>
      <t>(10</t>
    </r>
    <r>
      <rPr>
        <sz val="11"/>
        <color rgb="FF000000"/>
        <rFont val="ＭＳ ゴシック"/>
        <family val="2"/>
        <charset val="128"/>
      </rPr>
      <t>分毎・最大</t>
    </r>
    <r>
      <rPr>
        <sz val="11"/>
        <color rgb="FF000000"/>
        <rFont val="Calibri"/>
        <family val="2"/>
      </rPr>
      <t>5</t>
    </r>
    <r>
      <rPr>
        <sz val="11"/>
        <color rgb="FF000000"/>
        <rFont val="ＭＳ ゴシック"/>
        <family val="2"/>
        <charset val="128"/>
      </rPr>
      <t>社共有）</t>
    </r>
    <rPh sb="4" eb="6">
      <t>コウコク</t>
    </rPh>
    <rPh sb="9" eb="10">
      <t>プン</t>
    </rPh>
    <rPh sb="10" eb="11">
      <t>ゴト</t>
    </rPh>
    <phoneticPr fontId="2"/>
  </si>
  <si>
    <t>SPT0011</t>
    <phoneticPr fontId="2"/>
  </si>
  <si>
    <t>SPT0012</t>
    <phoneticPr fontId="2"/>
  </si>
  <si>
    <t>SPT0013</t>
    <phoneticPr fontId="2"/>
  </si>
  <si>
    <t>DSG0014</t>
    <phoneticPr fontId="2"/>
  </si>
  <si>
    <t>DSG0015</t>
    <phoneticPr fontId="2"/>
  </si>
  <si>
    <t>DSG0016</t>
    <phoneticPr fontId="2"/>
  </si>
  <si>
    <r>
      <rPr>
        <sz val="11"/>
        <color rgb="FF000000"/>
        <rFont val="Noto Sans JP"/>
        <family val="2"/>
        <charset val="128"/>
      </rPr>
      <t>デジタルサイネージ</t>
    </r>
    <r>
      <rPr>
        <sz val="11"/>
        <color rgb="FF000000"/>
        <rFont val="Calibri"/>
        <family val="2"/>
      </rPr>
      <t>(100</t>
    </r>
    <r>
      <rPr>
        <sz val="11"/>
        <color rgb="FF000000"/>
        <rFont val="Noto Sans JP"/>
        <family val="2"/>
        <charset val="128"/>
      </rPr>
      <t>文字・</t>
    </r>
    <r>
      <rPr>
        <sz val="11"/>
        <color rgb="FF000000"/>
        <rFont val="Calibri"/>
        <family val="2"/>
      </rPr>
      <t>1</t>
    </r>
    <r>
      <rPr>
        <sz val="11"/>
        <color rgb="FF000000"/>
        <rFont val="ＭＳ ゴシック"/>
        <family val="2"/>
        <charset val="128"/>
      </rPr>
      <t>社占有</t>
    </r>
    <r>
      <rPr>
        <sz val="11"/>
        <color rgb="FF000000"/>
        <rFont val="Calibri"/>
        <family val="2"/>
      </rPr>
      <t>)</t>
    </r>
    <rPh sb="13" eb="15">
      <t>モジ</t>
    </rPh>
    <phoneticPr fontId="2"/>
  </si>
  <si>
    <r>
      <rPr>
        <sz val="11"/>
        <color rgb="FF000000"/>
        <rFont val="Noto Sans JP"/>
        <family val="2"/>
        <charset val="128"/>
      </rPr>
      <t>デジタルサイネージ</t>
    </r>
    <r>
      <rPr>
        <sz val="11"/>
        <color rgb="FF000000"/>
        <rFont val="Calibri"/>
        <family val="2"/>
      </rPr>
      <t>(150</t>
    </r>
    <r>
      <rPr>
        <sz val="11"/>
        <color rgb="FF000000"/>
        <rFont val="Noto Sans JP"/>
        <family val="2"/>
        <charset val="128"/>
      </rPr>
      <t>文字・</t>
    </r>
    <r>
      <rPr>
        <sz val="11"/>
        <color rgb="FF000000"/>
        <rFont val="Calibri"/>
        <family val="2"/>
      </rPr>
      <t>1</t>
    </r>
    <r>
      <rPr>
        <sz val="11"/>
        <color rgb="FF000000"/>
        <rFont val="ＭＳ ゴシック"/>
        <family val="2"/>
        <charset val="128"/>
      </rPr>
      <t>社占有</t>
    </r>
    <r>
      <rPr>
        <sz val="11"/>
        <color rgb="FF000000"/>
        <rFont val="Calibri"/>
        <family val="2"/>
      </rPr>
      <t>)</t>
    </r>
    <rPh sb="13" eb="15">
      <t>モジ</t>
    </rPh>
    <phoneticPr fontId="2"/>
  </si>
  <si>
    <r>
      <rPr>
        <sz val="11"/>
        <color rgb="FF000000"/>
        <rFont val="Noto Sans JP"/>
        <family val="2"/>
        <charset val="128"/>
      </rPr>
      <t>デジタルサイネージ</t>
    </r>
    <r>
      <rPr>
        <sz val="11"/>
        <color rgb="FF000000"/>
        <rFont val="Calibri"/>
        <family val="2"/>
      </rPr>
      <t>(200</t>
    </r>
    <r>
      <rPr>
        <sz val="11"/>
        <color rgb="FF000000"/>
        <rFont val="Noto Sans JP"/>
        <family val="2"/>
        <charset val="128"/>
      </rPr>
      <t>文字・</t>
    </r>
    <r>
      <rPr>
        <sz val="11"/>
        <color rgb="FF000000"/>
        <rFont val="Calibri"/>
        <family val="2"/>
      </rPr>
      <t>1</t>
    </r>
    <r>
      <rPr>
        <sz val="11"/>
        <color rgb="FF000000"/>
        <rFont val="ＭＳ ゴシック"/>
        <family val="2"/>
        <charset val="128"/>
      </rPr>
      <t>社占有</t>
    </r>
    <r>
      <rPr>
        <sz val="11"/>
        <color rgb="FF000000"/>
        <rFont val="Calibri"/>
        <family val="2"/>
      </rPr>
      <t>)</t>
    </r>
    <rPh sb="13" eb="15">
      <t>モジ</t>
    </rPh>
    <phoneticPr fontId="2"/>
  </si>
  <si>
    <r>
      <rPr>
        <sz val="11"/>
        <color rgb="FF000000"/>
        <rFont val="Noto Sans JP"/>
        <family val="2"/>
        <charset val="128"/>
      </rPr>
      <t>デジタルサイネージ</t>
    </r>
    <r>
      <rPr>
        <sz val="11"/>
        <color rgb="FF000000"/>
        <rFont val="Calibri"/>
        <family val="2"/>
      </rPr>
      <t>(100</t>
    </r>
    <r>
      <rPr>
        <sz val="11"/>
        <color rgb="FF000000"/>
        <rFont val="Noto Sans JP"/>
        <family val="2"/>
        <charset val="128"/>
      </rPr>
      <t>文字・リンク有り・</t>
    </r>
    <r>
      <rPr>
        <sz val="11"/>
        <color rgb="FF000000"/>
        <rFont val="Calibri"/>
        <family val="2"/>
      </rPr>
      <t>1</t>
    </r>
    <r>
      <rPr>
        <sz val="11"/>
        <color rgb="FF000000"/>
        <rFont val="ＭＳ ゴシック"/>
        <family val="2"/>
        <charset val="128"/>
      </rPr>
      <t>社占有</t>
    </r>
    <r>
      <rPr>
        <sz val="11"/>
        <color rgb="FF000000"/>
        <rFont val="Calibri"/>
        <family val="2"/>
      </rPr>
      <t>)</t>
    </r>
    <rPh sb="13" eb="15">
      <t>モジ</t>
    </rPh>
    <rPh sb="19" eb="20">
      <t>ア</t>
    </rPh>
    <phoneticPr fontId="2"/>
  </si>
  <si>
    <r>
      <rPr>
        <sz val="11"/>
        <color rgb="FF000000"/>
        <rFont val="Noto Sans JP"/>
        <family val="2"/>
        <charset val="128"/>
      </rPr>
      <t>デジタルサイネージ</t>
    </r>
    <r>
      <rPr>
        <sz val="11"/>
        <color rgb="FF000000"/>
        <rFont val="Calibri"/>
        <family val="2"/>
      </rPr>
      <t>(150</t>
    </r>
    <r>
      <rPr>
        <sz val="11"/>
        <color rgb="FF000000"/>
        <rFont val="Noto Sans JP"/>
        <family val="2"/>
        <charset val="128"/>
      </rPr>
      <t>文字・リンク有り・</t>
    </r>
    <r>
      <rPr>
        <sz val="11"/>
        <color rgb="FF000000"/>
        <rFont val="Calibri"/>
        <family val="2"/>
      </rPr>
      <t>1</t>
    </r>
    <r>
      <rPr>
        <sz val="11"/>
        <color rgb="FF000000"/>
        <rFont val="ＭＳ ゴシック"/>
        <family val="2"/>
        <charset val="128"/>
      </rPr>
      <t>社占有</t>
    </r>
    <r>
      <rPr>
        <sz val="11"/>
        <color rgb="FF000000"/>
        <rFont val="Calibri"/>
        <family val="2"/>
      </rPr>
      <t>)</t>
    </r>
    <rPh sb="13" eb="15">
      <t>モジ</t>
    </rPh>
    <phoneticPr fontId="2"/>
  </si>
  <si>
    <r>
      <rPr>
        <sz val="11"/>
        <color rgb="FF000000"/>
        <rFont val="Noto Sans JP"/>
        <family val="2"/>
        <charset val="128"/>
      </rPr>
      <t>デジタルサイネージ</t>
    </r>
    <r>
      <rPr>
        <sz val="11"/>
        <color rgb="FF000000"/>
        <rFont val="Calibri"/>
        <family val="2"/>
      </rPr>
      <t>(200</t>
    </r>
    <r>
      <rPr>
        <sz val="11"/>
        <color rgb="FF000000"/>
        <rFont val="Noto Sans JP"/>
        <family val="2"/>
        <charset val="128"/>
      </rPr>
      <t>文字・リンク有り・</t>
    </r>
    <r>
      <rPr>
        <sz val="11"/>
        <color rgb="FF000000"/>
        <rFont val="Calibri"/>
        <family val="2"/>
      </rPr>
      <t>1</t>
    </r>
    <r>
      <rPr>
        <sz val="11"/>
        <color rgb="FF000000"/>
        <rFont val="ＭＳ ゴシック"/>
        <family val="2"/>
        <charset val="128"/>
      </rPr>
      <t>社占有</t>
    </r>
    <r>
      <rPr>
        <sz val="11"/>
        <color rgb="FF000000"/>
        <rFont val="Calibri"/>
        <family val="2"/>
      </rPr>
      <t>)</t>
    </r>
    <rPh sb="13" eb="15">
      <t>モジ</t>
    </rPh>
    <phoneticPr fontId="2"/>
  </si>
  <si>
    <r>
      <rPr>
        <sz val="11"/>
        <color rgb="FF000000"/>
        <rFont val="Noto Sans JP"/>
        <family val="2"/>
        <charset val="128"/>
      </rPr>
      <t>デジタルサイネージ</t>
    </r>
    <r>
      <rPr>
        <sz val="11"/>
        <color rgb="FF000000"/>
        <rFont val="Calibri"/>
        <family val="2"/>
      </rPr>
      <t>(100</t>
    </r>
    <r>
      <rPr>
        <sz val="11"/>
        <color rgb="FF000000"/>
        <rFont val="Noto Sans JP"/>
        <family val="2"/>
        <charset val="128"/>
      </rPr>
      <t>文字・最大</t>
    </r>
    <r>
      <rPr>
        <sz val="11"/>
        <color rgb="FF000000"/>
        <rFont val="Calibri"/>
        <family val="2"/>
      </rPr>
      <t>5</t>
    </r>
    <r>
      <rPr>
        <sz val="11"/>
        <color rgb="FF000000"/>
        <rFont val="ＭＳ ゴシック"/>
        <family val="2"/>
        <charset val="128"/>
      </rPr>
      <t>社共有</t>
    </r>
    <r>
      <rPr>
        <sz val="11"/>
        <color rgb="FF000000"/>
        <rFont val="Calibri"/>
        <family val="2"/>
      </rPr>
      <t>)</t>
    </r>
    <rPh sb="13" eb="15">
      <t>モジ</t>
    </rPh>
    <phoneticPr fontId="2"/>
  </si>
  <si>
    <r>
      <rPr>
        <sz val="11"/>
        <color rgb="FF000000"/>
        <rFont val="Noto Sans JP"/>
        <family val="2"/>
        <charset val="128"/>
      </rPr>
      <t>デジタルサイネージ</t>
    </r>
    <r>
      <rPr>
        <sz val="11"/>
        <color rgb="FF000000"/>
        <rFont val="Calibri"/>
        <family val="2"/>
      </rPr>
      <t>(150</t>
    </r>
    <r>
      <rPr>
        <sz val="11"/>
        <color rgb="FF000000"/>
        <rFont val="Noto Sans JP"/>
        <family val="2"/>
        <charset val="128"/>
      </rPr>
      <t>文字・最大</t>
    </r>
    <r>
      <rPr>
        <sz val="11"/>
        <color rgb="FF000000"/>
        <rFont val="Calibri"/>
        <family val="2"/>
      </rPr>
      <t>5</t>
    </r>
    <r>
      <rPr>
        <sz val="11"/>
        <color rgb="FF000000"/>
        <rFont val="ＭＳ ゴシック"/>
        <family val="2"/>
        <charset val="128"/>
      </rPr>
      <t>社共有</t>
    </r>
    <r>
      <rPr>
        <sz val="11"/>
        <color rgb="FF000000"/>
        <rFont val="Calibri"/>
        <family val="2"/>
      </rPr>
      <t>)</t>
    </r>
    <rPh sb="13" eb="15">
      <t>モジ</t>
    </rPh>
    <phoneticPr fontId="2"/>
  </si>
  <si>
    <r>
      <rPr>
        <sz val="11"/>
        <color rgb="FF000000"/>
        <rFont val="Noto Sans JP"/>
        <family val="2"/>
        <charset val="128"/>
      </rPr>
      <t>デジタルサイネージ</t>
    </r>
    <r>
      <rPr>
        <sz val="11"/>
        <color rgb="FF000000"/>
        <rFont val="Calibri"/>
        <family val="2"/>
      </rPr>
      <t>(200</t>
    </r>
    <r>
      <rPr>
        <sz val="11"/>
        <color rgb="FF000000"/>
        <rFont val="Noto Sans JP"/>
        <family val="2"/>
        <charset val="128"/>
      </rPr>
      <t>文字・最大</t>
    </r>
    <r>
      <rPr>
        <sz val="11"/>
        <color rgb="FF000000"/>
        <rFont val="Calibri"/>
        <family val="2"/>
      </rPr>
      <t>5</t>
    </r>
    <r>
      <rPr>
        <sz val="11"/>
        <color rgb="FF000000"/>
        <rFont val="ＭＳ ゴシック"/>
        <family val="2"/>
        <charset val="128"/>
      </rPr>
      <t>社共有</t>
    </r>
    <r>
      <rPr>
        <sz val="11"/>
        <color rgb="FF000000"/>
        <rFont val="Calibri"/>
        <family val="2"/>
      </rPr>
      <t>)</t>
    </r>
    <rPh sb="13" eb="15">
      <t>モジ</t>
    </rPh>
    <phoneticPr fontId="2"/>
  </si>
  <si>
    <r>
      <rPr>
        <sz val="11"/>
        <color rgb="FF000000"/>
        <rFont val="Noto Sans JP"/>
        <family val="2"/>
        <charset val="128"/>
      </rPr>
      <t>デジタルサイネージ</t>
    </r>
    <r>
      <rPr>
        <sz val="11"/>
        <color rgb="FF000000"/>
        <rFont val="Calibri"/>
        <family val="2"/>
      </rPr>
      <t>(100</t>
    </r>
    <r>
      <rPr>
        <sz val="11"/>
        <color rgb="FF000000"/>
        <rFont val="Noto Sans JP"/>
        <family val="2"/>
        <charset val="128"/>
      </rPr>
      <t>文字・リンク有り・最大</t>
    </r>
    <r>
      <rPr>
        <sz val="11"/>
        <color rgb="FF000000"/>
        <rFont val="Calibri"/>
        <family val="2"/>
      </rPr>
      <t>5</t>
    </r>
    <r>
      <rPr>
        <sz val="11"/>
        <color rgb="FF000000"/>
        <rFont val="ＭＳ ゴシック"/>
        <family val="2"/>
        <charset val="128"/>
      </rPr>
      <t>社共有</t>
    </r>
    <r>
      <rPr>
        <sz val="11"/>
        <color rgb="FF000000"/>
        <rFont val="Calibri"/>
        <family val="2"/>
      </rPr>
      <t>)</t>
    </r>
    <rPh sb="13" eb="15">
      <t>モジ</t>
    </rPh>
    <rPh sb="19" eb="20">
      <t>ア</t>
    </rPh>
    <phoneticPr fontId="2"/>
  </si>
  <si>
    <r>
      <rPr>
        <sz val="11"/>
        <color rgb="FF000000"/>
        <rFont val="Noto Sans JP"/>
        <family val="2"/>
        <charset val="128"/>
      </rPr>
      <t>デジタルサイネージ</t>
    </r>
    <r>
      <rPr>
        <sz val="11"/>
        <color rgb="FF000000"/>
        <rFont val="Calibri"/>
        <family val="2"/>
      </rPr>
      <t>(150</t>
    </r>
    <r>
      <rPr>
        <sz val="11"/>
        <color rgb="FF000000"/>
        <rFont val="Noto Sans JP"/>
        <family val="2"/>
        <charset val="128"/>
      </rPr>
      <t>文字・リンク有り・最大</t>
    </r>
    <r>
      <rPr>
        <sz val="11"/>
        <color rgb="FF000000"/>
        <rFont val="Calibri"/>
        <family val="2"/>
      </rPr>
      <t>5</t>
    </r>
    <r>
      <rPr>
        <sz val="11"/>
        <color rgb="FF000000"/>
        <rFont val="ＭＳ ゴシック"/>
        <family val="2"/>
        <charset val="128"/>
      </rPr>
      <t>社共有</t>
    </r>
    <r>
      <rPr>
        <sz val="11"/>
        <color rgb="FF000000"/>
        <rFont val="Calibri"/>
        <family val="2"/>
      </rPr>
      <t>)</t>
    </r>
    <rPh sb="13" eb="15">
      <t>モジ</t>
    </rPh>
    <phoneticPr fontId="2"/>
  </si>
  <si>
    <r>
      <rPr>
        <sz val="11"/>
        <color rgb="FF000000"/>
        <rFont val="Noto Sans JP"/>
        <family val="2"/>
        <charset val="128"/>
      </rPr>
      <t>デジタルサイネージ</t>
    </r>
    <r>
      <rPr>
        <sz val="11"/>
        <color rgb="FF000000"/>
        <rFont val="Calibri"/>
        <family val="2"/>
      </rPr>
      <t>(200</t>
    </r>
    <r>
      <rPr>
        <sz val="11"/>
        <color rgb="FF000000"/>
        <rFont val="Noto Sans JP"/>
        <family val="2"/>
        <charset val="128"/>
      </rPr>
      <t>文字・リンク有り・最大</t>
    </r>
    <r>
      <rPr>
        <sz val="11"/>
        <color rgb="FF000000"/>
        <rFont val="Calibri"/>
        <family val="2"/>
      </rPr>
      <t>5</t>
    </r>
    <r>
      <rPr>
        <sz val="11"/>
        <color rgb="FF000000"/>
        <rFont val="ＭＳ ゴシック"/>
        <family val="2"/>
        <charset val="128"/>
      </rPr>
      <t>社共有</t>
    </r>
    <r>
      <rPr>
        <sz val="11"/>
        <color rgb="FF000000"/>
        <rFont val="Calibri"/>
        <family val="2"/>
      </rPr>
      <t>)</t>
    </r>
    <rPh sb="13" eb="15">
      <t>モジ</t>
    </rPh>
    <phoneticPr fontId="2"/>
  </si>
  <si>
    <t>VID0001</t>
    <phoneticPr fontId="2"/>
  </si>
  <si>
    <t>VID0002</t>
    <phoneticPr fontId="2"/>
  </si>
  <si>
    <t>VID0003</t>
    <phoneticPr fontId="2"/>
  </si>
  <si>
    <t>VID0011</t>
    <phoneticPr fontId="2"/>
  </si>
  <si>
    <t>VID0012</t>
    <phoneticPr fontId="2"/>
  </si>
  <si>
    <t>VID0013</t>
    <phoneticPr fontId="2"/>
  </si>
  <si>
    <t>ビデオ広告小(1社占有)</t>
    <rPh sb="3" eb="5">
      <t>コウコク</t>
    </rPh>
    <rPh sb="5" eb="6">
      <t>ショウ</t>
    </rPh>
    <phoneticPr fontId="2"/>
  </si>
  <si>
    <t>ビデオ広告中(1社占有)</t>
    <rPh sb="3" eb="5">
      <t>コウコク</t>
    </rPh>
    <rPh sb="5" eb="6">
      <t>チュウ</t>
    </rPh>
    <phoneticPr fontId="2"/>
  </si>
  <si>
    <t>ビデオ広告大(1社占有)</t>
    <rPh sb="3" eb="5">
      <t>コウコク</t>
    </rPh>
    <rPh sb="5" eb="6">
      <t>ダイ</t>
    </rPh>
    <phoneticPr fontId="2"/>
  </si>
  <si>
    <t>ビデオ広告小(最大5社共有)</t>
    <rPh sb="3" eb="5">
      <t>コウコク</t>
    </rPh>
    <rPh sb="5" eb="6">
      <t>ショウ</t>
    </rPh>
    <phoneticPr fontId="2"/>
  </si>
  <si>
    <t>ビデオ広告中(最大5社共有)</t>
    <rPh sb="3" eb="5">
      <t>コウコク</t>
    </rPh>
    <rPh sb="5" eb="6">
      <t>チュウ</t>
    </rPh>
    <phoneticPr fontId="2"/>
  </si>
  <si>
    <t>ビデオ広告大(最大5社共有)</t>
    <rPh sb="3" eb="5">
      <t>コウコク</t>
    </rPh>
    <rPh sb="5" eb="6">
      <t>ダイ</t>
    </rPh>
    <phoneticPr fontId="2"/>
  </si>
  <si>
    <t>sys_operator</t>
  </si>
  <si>
    <t>sys_operator</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</si>
</sst>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9">
    <font>
      <sz val="11"/>
      <color rgb="FF000000"/>
      <name val="Calibri"/>
      <family val="2"/>
    </font>
    <font>
      <sz val="9"/>
      <color rgb="FF000000"/>
      <name val="Tahoma"/>
      <family val="2"/>
    </font>
    <font>
      <sz val="6"/>
      <name val="ＭＳ ゴシック"/>
      <family val="3"/>
      <charset val="128"/>
    </font>
    <font>
      <sz val="11"/>
      <color rgb="FF000000"/>
      <name val="ＭＳ ゴシック"/>
      <family val="3"/>
      <charset val="128"/>
    </font>
    <font>
      <sz val="11"/>
      <color rgb="FF000000"/>
      <name val="游ゴシック"/>
      <family val="2"/>
      <charset val="128"/>
    </font>
    <font>
      <sz val="11"/>
      <color rgb="FF000000"/>
      <name val="ＭＳ ゴシック"/>
      <family val="2"/>
      <charset val="128"/>
    </font>
    <font>
      <sz val="11"/>
      <color rgb="FF000000"/>
      <name val="Noto Sans JP"/>
      <family val="2"/>
      <charset val="128"/>
    </font>
    <font>
      <sz val="11"/>
      <color rgb="FF000000"/>
      <name val="Calibri"/>
      <family val="2"/>
      <charset val="128"/>
    </font>
    <font>
      <sz val="11"/>
      <name val="MS Gothic"/>
      <family val="3"/>
    </font>
  </fonts>
  <fills count="7">
    <fill>
      <patternFill patternType="none"/>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s>
  <borders count="2">
    <border>
      <left/>
      <right/>
      <top/>
      <bottom/>
      <diagonal/>
    </border>
    <border>
      <left/>
      <right style="thin">
        <color rgb="FFD9D9D9"/>
      </right>
      <top/>
      <bottom style="thin">
        <color rgb="FFD9D9D9"/>
      </bottom>
      <diagonal/>
    </border>
  </borders>
  <cellStyleXfs count="1">
    <xf numFmtId="0" fontId="0" fillId="0" borderId="0" applyBorder="0"/>
  </cellStyleXfs>
  <cellXfs count="40">
    <xf numFmtId="0" fontId="0" fillId="0" borderId="0" xfId="0"/>
    <xf numFmtId="0" fontId="0" fillId="0" borderId="0" xfId="0" applyAlignment="1" applyProtection="1">
      <alignment vertical="top"/>
      <protection locked="0"/>
    </xf>
    <xf numFmtId="49" fontId="0" fillId="0" borderId="0" xfId="0" applyNumberFormat="1" applyAlignment="1" applyProtection="1">
      <alignment vertical="top" wrapText="1"/>
      <protection locked="0"/>
    </xf>
    <xf numFmtId="176" fontId="0" fillId="0" borderId="0" xfId="0" applyNumberFormat="1" applyAlignment="1" applyProtection="1">
      <alignment vertical="top"/>
      <protection locked="0"/>
    </xf>
    <xf numFmtId="0" fontId="0" fillId="0" borderId="0" xfId="0" applyAlignment="1">
      <alignment vertical="top"/>
    </xf>
    <xf numFmtId="0" fontId="0" fillId="2" borderId="0" xfId="0" applyFill="1" applyAlignment="1">
      <alignment vertical="top"/>
    </xf>
    <xf numFmtId="49" fontId="0" fillId="3" borderId="0" xfId="0" applyNumberFormat="1" applyFill="1" applyAlignment="1">
      <alignment vertical="top"/>
    </xf>
    <xf numFmtId="49" fontId="0" fillId="2" borderId="0" xfId="0" applyNumberFormat="1" applyFill="1" applyAlignment="1">
      <alignment vertical="top"/>
    </xf>
    <xf numFmtId="176" fontId="0" fillId="0" borderId="0" xfId="0" applyNumberFormat="1" applyAlignment="1">
      <alignment vertical="top"/>
    </xf>
    <xf numFmtId="49" fontId="0" fillId="0" borderId="0" xfId="0" applyNumberFormat="1" applyAlignment="1">
      <alignment vertical="top"/>
    </xf>
    <xf numFmtId="49" fontId="0" fillId="0" borderId="0" xfId="0" applyNumberFormat="1" applyAlignment="1" applyProtection="1">
      <alignment vertical="top"/>
      <protection locked="0"/>
    </xf>
    <xf numFmtId="49" fontId="0" fillId="2" borderId="0" xfId="0" applyNumberFormat="1" applyFill="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176" fontId="0" fillId="5" borderId="0" xfId="0" applyNumberFormat="1" applyFill="1" applyAlignment="1">
      <alignment vertical="top" wrapText="1"/>
    </xf>
    <xf numFmtId="49" fontId="0" fillId="5" borderId="0" xfId="0" applyNumberFormat="1" applyFill="1" applyAlignment="1">
      <alignment vertical="top" wrapText="1"/>
    </xf>
    <xf numFmtId="176" fontId="0" fillId="5" borderId="0" xfId="0" applyNumberFormat="1" applyFill="1" applyAlignment="1">
      <alignment vertical="top"/>
    </xf>
    <xf numFmtId="0" fontId="0" fillId="5" borderId="0" xfId="0" applyFill="1" applyAlignment="1">
      <alignment vertical="top"/>
    </xf>
    <xf numFmtId="0" fontId="0" fillId="2" borderId="0" xfId="0" applyFill="1" applyAlignment="1" applyProtection="1">
      <alignment vertical="top"/>
      <protection locked="0"/>
    </xf>
    <xf numFmtId="49" fontId="0" fillId="4" borderId="0" xfId="0" applyNumberFormat="1" applyFill="1" applyAlignment="1" applyProtection="1">
      <alignment vertical="top"/>
      <protection locked="0"/>
    </xf>
    <xf numFmtId="49" fontId="0" fillId="5" borderId="0" xfId="0" applyNumberFormat="1" applyFill="1" applyAlignment="1" applyProtection="1">
      <alignment vertical="top"/>
      <protection locked="0"/>
    </xf>
    <xf numFmtId="176" fontId="0" fillId="5" borderId="0" xfId="0" applyNumberFormat="1" applyFill="1" applyAlignment="1" applyProtection="1">
      <alignment vertical="top"/>
      <protection locked="0"/>
    </xf>
    <xf numFmtId="0" fontId="0" fillId="6" borderId="0" xfId="0" applyFill="1" applyAlignment="1" applyProtection="1">
      <alignment vertical="top"/>
      <protection locked="0"/>
    </xf>
    <xf numFmtId="0" fontId="0" fillId="5" borderId="0" xfId="0" applyFill="1" applyAlignment="1">
      <alignment vertical="top" wrapText="1"/>
    </xf>
    <xf numFmtId="0" fontId="0" fillId="5" borderId="0" xfId="0" applyFill="1" applyAlignment="1" applyProtection="1">
      <alignment vertical="top"/>
      <protection locked="0"/>
    </xf>
    <xf numFmtId="49" fontId="3" fillId="0" borderId="0" xfId="0" applyNumberFormat="1" applyFont="1" applyAlignment="1" applyProtection="1">
      <alignment vertical="top" wrapText="1"/>
      <protection locked="0"/>
    </xf>
    <xf numFmtId="49" fontId="4" fillId="0" borderId="0" xfId="0" applyNumberFormat="1" applyFont="1" applyAlignment="1" applyProtection="1">
      <alignment vertical="top" wrapText="1"/>
      <protection locked="0"/>
    </xf>
    <xf numFmtId="49" fontId="5" fillId="0" borderId="0" xfId="0" applyNumberFormat="1" applyFont="1" applyAlignment="1" applyProtection="1">
      <alignment vertical="top" wrapText="1"/>
      <protection locked="0"/>
    </xf>
    <xf numFmtId="49" fontId="7" fillId="0" borderId="0" xfId="0" applyNumberFormat="1" applyFont="1" applyAlignment="1" applyProtection="1">
      <alignment vertical="top" wrapText="1"/>
      <protection locked="0"/>
    </xf>
    <xf numFmtId="0" fontId="8" fillId="0" borderId="1" xfId="0" applyFont="1" applyBorder="1" applyAlignment="1" applyProtection="1">
      <alignment vertical="top"/>
      <protection locked="0"/>
    </xf>
    <xf numFmtId="2" fontId="0" fillId="0" borderId="0" xfId="0" applyNumberFormat="1" applyAlignment="1">
      <alignment vertical="top"/>
    </xf>
    <xf numFmtId="2" fontId="0" fillId="5" borderId="0" xfId="0" applyNumberFormat="1" applyFill="1" applyAlignment="1">
      <alignment vertical="top" wrapText="1"/>
    </xf>
    <xf numFmtId="2" fontId="0" fillId="5" borderId="0" xfId="0" applyNumberFormat="1" applyFill="1" applyAlignment="1">
      <alignment vertical="top"/>
    </xf>
    <xf numFmtId="2" fontId="0" fillId="5" borderId="0" xfId="0" applyNumberFormat="1" applyFill="1" applyAlignment="1" applyProtection="1">
      <alignment vertical="top"/>
      <protection locked="0"/>
    </xf>
    <xf numFmtId="2" fontId="0" fillId="0" borderId="0" xfId="0" applyNumberFormat="1" applyAlignment="1" applyProtection="1">
      <alignment vertical="top"/>
      <protection locked="0"/>
    </xf>
    <xf numFmtId="49" fontId="0" fillId="0" borderId="0" xfId="0" applyNumberFormat="1" applyBorder="1" applyAlignment="1" applyProtection="1">
      <alignment vertical="top" wrapText="1"/>
      <protection locked="0"/>
    </xf>
    <xf numFmtId="49" fontId="7" fillId="0" borderId="0" xfId="0" applyNumberFormat="1" applyFont="1" applyBorder="1" applyAlignment="1" applyProtection="1">
      <alignment vertical="top" wrapText="1"/>
      <protection locked="0"/>
    </xf>
    <xf numFmtId="0" fontId="0" fillId="0" borderId="0" xfId="0" applyBorder="1" applyAlignment="1" applyProtection="1">
      <alignment vertical="top"/>
      <protection locked="0"/>
    </xf>
    <xf numFmtId="2" fontId="0" fillId="0" borderId="0" xfId="0" applyNumberFormat="1" applyBorder="1" applyAlignment="1" applyProtection="1">
      <alignment vertical="top"/>
      <protection locked="0"/>
    </xf>
    <xf numFmtId="176" fontId="0" fillId="0" borderId="0" xfId="0" applyNumberFormat="1" applyBorder="1" applyAlignment="1" applyProtection="1">
      <alignment vertical="top"/>
      <protection locked="0"/>
    </xf>
  </cellXfs>
  <cellStyles count="1">
    <cellStyle name="標準" xfId="0" builtinId="0"/>
  </cellStyles>
  <dxfs count="20">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workbookViewId="0"/>
  </sheetViews>
  <sheetFormatPr defaultColWidth="9.1796875" defaultRowHeight="14.5"/>
  <cols>
    <col min="1" max="1" width="18.7265625" style="1" customWidth="1"/>
    <col min="2" max="2" width="24.7265625" style="2" customWidth="1"/>
    <col min="3" max="3" width="18.7265625" style="2" customWidth="1"/>
    <col min="4" max="4" width="16.7265625" style="2" customWidth="1"/>
    <col min="5" max="5" width="22.7265625" style="3" customWidth="1"/>
    <col min="6" max="6" width="30.7265625" style="2" customWidth="1"/>
    <col min="7" max="7" width="22.7265625" style="3" customWidth="1"/>
    <col min="8" max="8" width="30.7265625" style="2" customWidth="1"/>
    <col min="9" max="9" width="10.7265625" style="1" customWidth="1"/>
    <col min="10" max="10" width="48.7265625" style="1" customWidth="1"/>
    <col min="11" max="11" width="9.1796875" style="1" customWidth="1"/>
    <col min="12" max="16384" width="9.1796875" style="1"/>
  </cols>
  <sheetData>
    <row r="1" spans="1:10" s="4" customFormat="1">
      <c r="A1" s="5" t="s">
        <v>0</v>
      </c>
      <c r="B1" s="6" t="s">
        <v>1</v>
      </c>
      <c r="C1" s="7" t="s">
        <v>2</v>
      </c>
      <c r="D1" s="6" t="s">
        <v>3</v>
      </c>
      <c r="E1" s="8"/>
      <c r="F1" s="9"/>
      <c r="G1" s="8"/>
      <c r="H1" s="9"/>
    </row>
    <row r="2" spans="1:10" s="4" customFormat="1">
      <c r="A2" s="5" t="s">
        <v>4</v>
      </c>
      <c r="B2" s="10" t="s">
        <v>5</v>
      </c>
      <c r="C2" s="9"/>
      <c r="D2" s="9"/>
      <c r="E2" s="8"/>
      <c r="F2" s="9"/>
      <c r="G2" s="8"/>
      <c r="H2" s="9"/>
    </row>
    <row r="3" spans="1:10" s="4" customFormat="1">
      <c r="A3" s="11" t="s">
        <v>6</v>
      </c>
      <c r="B3" s="12" t="s">
        <v>11</v>
      </c>
      <c r="C3" s="13" t="s">
        <v>16</v>
      </c>
      <c r="D3" s="13" t="s">
        <v>19</v>
      </c>
      <c r="E3" s="14" t="s">
        <v>22</v>
      </c>
      <c r="F3" s="13" t="s">
        <v>26</v>
      </c>
      <c r="G3" s="14" t="s">
        <v>29</v>
      </c>
      <c r="H3" s="13" t="s">
        <v>31</v>
      </c>
      <c r="I3" s="15" t="s">
        <v>33</v>
      </c>
      <c r="J3" s="15" t="s">
        <v>34</v>
      </c>
    </row>
    <row r="4" spans="1:10" s="4" customFormat="1">
      <c r="A4" s="11" t="s">
        <v>7</v>
      </c>
      <c r="B4" s="12" t="s">
        <v>12</v>
      </c>
      <c r="C4" s="13" t="s">
        <v>17</v>
      </c>
      <c r="D4" s="13" t="s">
        <v>20</v>
      </c>
      <c r="E4" s="16" t="s">
        <v>23</v>
      </c>
      <c r="F4" s="13" t="s">
        <v>27</v>
      </c>
      <c r="G4" s="16" t="s">
        <v>30</v>
      </c>
      <c r="H4" s="13" t="s">
        <v>32</v>
      </c>
      <c r="I4" s="17"/>
      <c r="J4" s="17"/>
    </row>
    <row r="5" spans="1:10" s="4" customFormat="1">
      <c r="A5" s="11" t="s">
        <v>8</v>
      </c>
      <c r="B5" s="12" t="s">
        <v>13</v>
      </c>
      <c r="C5" s="13" t="s">
        <v>18</v>
      </c>
      <c r="D5" s="13" t="s">
        <v>13</v>
      </c>
      <c r="E5" s="14" t="s">
        <v>24</v>
      </c>
      <c r="F5" s="13" t="s">
        <v>28</v>
      </c>
      <c r="G5" s="14" t="s">
        <v>24</v>
      </c>
      <c r="H5" s="13" t="s">
        <v>28</v>
      </c>
      <c r="I5" s="17"/>
      <c r="J5" s="17"/>
    </row>
    <row r="6" spans="1:10" s="4" customFormat="1">
      <c r="A6" s="5" t="s">
        <v>9</v>
      </c>
      <c r="B6" s="12" t="s">
        <v>14</v>
      </c>
      <c r="C6" s="13" t="s">
        <v>5</v>
      </c>
      <c r="D6" s="13" t="s">
        <v>21</v>
      </c>
      <c r="E6" s="14" t="s">
        <v>25</v>
      </c>
      <c r="F6" s="13" t="s">
        <v>5</v>
      </c>
      <c r="G6" s="14" t="s">
        <v>25</v>
      </c>
      <c r="H6" s="13" t="s">
        <v>5</v>
      </c>
      <c r="I6" s="17"/>
      <c r="J6" s="17"/>
    </row>
    <row r="7" spans="1:10">
      <c r="A7" s="18" t="s">
        <v>10</v>
      </c>
      <c r="B7" s="19" t="s">
        <v>15</v>
      </c>
      <c r="C7" s="20" t="s">
        <v>15</v>
      </c>
      <c r="D7" s="20" t="s">
        <v>15</v>
      </c>
      <c r="E7" s="21" t="s">
        <v>15</v>
      </c>
      <c r="F7" s="20" t="s">
        <v>15</v>
      </c>
      <c r="G7" s="21" t="s">
        <v>15</v>
      </c>
      <c r="H7" s="20" t="s">
        <v>15</v>
      </c>
      <c r="I7" s="22"/>
      <c r="J7" s="22"/>
    </row>
  </sheetData>
  <sheetProtection sheet="1" objects="1" formatCells="0" formatColumns="0" formatRows="0" insertColumns="0" insertRows="0" insertHyperlinks="0" deleteColumns="0" deleteRows="0" sort="0" autoFilter="0"/>
  <phoneticPr fontId="2"/>
  <conditionalFormatting sqref="B7:H7">
    <cfRule type="expression" dxfId="19" priority="1">
      <formula>AND(ISNUMBER(FIND("K",B6)),B7="*")</formula>
    </cfRule>
    <cfRule type="expression" dxfId="18" priority="2">
      <formula>AND(ISNUMBER(FIND("N",B6)),B7="*")</formula>
    </cfRule>
    <cfRule type="expression" dxfId="17" priority="3">
      <formula>B7="*"</formula>
    </cfRule>
    <cfRule type="expression" dxfId="16" priority="4">
      <formula>B7=""</formula>
    </cfRule>
  </conditionalFormatting>
  <dataValidations count="1">
    <dataValidation type="list" allowBlank="1" showInputMessage="1" showErrorMessage="1" sqref="B7:H7" xr:uid="{00000000-0002-0000-0000-000000000000}">
      <formula1>"*,"</formula1>
    </dataValidation>
  </dataValidations>
  <pageMargins left="0.75" right="0.75" top="0.75" bottom="0.5" header="0.5" footer="0.7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
  <sheetViews>
    <sheetView workbookViewId="0"/>
  </sheetViews>
  <sheetFormatPr defaultColWidth="9.1796875" defaultRowHeight="14.5"/>
  <cols>
    <col min="1" max="1" width="18.7265625" style="1" customWidth="1"/>
    <col min="2" max="2" width="24.7265625" style="2" customWidth="1"/>
    <col min="3" max="3" width="18.7265625" style="2" customWidth="1"/>
    <col min="4" max="6" width="50.7265625" style="2" customWidth="1"/>
    <col min="7" max="7" width="14.7265625" style="1" customWidth="1"/>
    <col min="8" max="8" width="22.7265625" style="3" customWidth="1"/>
    <col min="9" max="9" width="30.7265625" style="2" customWidth="1"/>
    <col min="10" max="10" width="22.7265625" style="3" customWidth="1"/>
    <col min="11" max="11" width="30.7265625" style="2" customWidth="1"/>
    <col min="12" max="12" width="10.7265625" style="1" customWidth="1"/>
    <col min="13" max="13" width="48.7265625" style="1" customWidth="1"/>
    <col min="14" max="14" width="9.1796875" style="1" customWidth="1"/>
    <col min="15" max="16384" width="9.1796875" style="1"/>
  </cols>
  <sheetData>
    <row r="1" spans="1:13" s="4" customFormat="1">
      <c r="A1" s="5" t="s">
        <v>0</v>
      </c>
      <c r="B1" s="6" t="s">
        <v>35</v>
      </c>
      <c r="C1" s="7" t="s">
        <v>2</v>
      </c>
      <c r="D1" s="6" t="s">
        <v>36</v>
      </c>
      <c r="E1" s="9"/>
      <c r="F1" s="9"/>
      <c r="H1" s="8"/>
      <c r="I1" s="9"/>
      <c r="J1" s="8"/>
      <c r="K1" s="9"/>
    </row>
    <row r="2" spans="1:13" s="4" customFormat="1">
      <c r="A2" s="5" t="s">
        <v>4</v>
      </c>
      <c r="B2" s="10" t="s">
        <v>5</v>
      </c>
      <c r="C2" s="9"/>
      <c r="D2" s="9"/>
      <c r="E2" s="9"/>
      <c r="F2" s="9"/>
      <c r="H2" s="8"/>
      <c r="I2" s="9"/>
      <c r="J2" s="8"/>
      <c r="K2" s="9"/>
    </row>
    <row r="3" spans="1:13" s="4" customFormat="1">
      <c r="A3" s="11" t="s">
        <v>6</v>
      </c>
      <c r="B3" s="12" t="s">
        <v>37</v>
      </c>
      <c r="C3" s="13" t="s">
        <v>11</v>
      </c>
      <c r="D3" s="13" t="s">
        <v>40</v>
      </c>
      <c r="E3" s="13" t="s">
        <v>43</v>
      </c>
      <c r="F3" s="13" t="s">
        <v>45</v>
      </c>
      <c r="G3" s="23" t="s">
        <v>48</v>
      </c>
      <c r="H3" s="14" t="s">
        <v>22</v>
      </c>
      <c r="I3" s="13" t="s">
        <v>26</v>
      </c>
      <c r="J3" s="14" t="s">
        <v>29</v>
      </c>
      <c r="K3" s="13" t="s">
        <v>31</v>
      </c>
      <c r="L3" s="15" t="s">
        <v>33</v>
      </c>
      <c r="M3" s="15" t="s">
        <v>34</v>
      </c>
    </row>
    <row r="4" spans="1:13" s="4" customFormat="1">
      <c r="A4" s="11" t="s">
        <v>7</v>
      </c>
      <c r="B4" s="12" t="s">
        <v>38</v>
      </c>
      <c r="C4" s="13" t="s">
        <v>12</v>
      </c>
      <c r="D4" s="13" t="s">
        <v>41</v>
      </c>
      <c r="E4" s="13" t="s">
        <v>44</v>
      </c>
      <c r="F4" s="13" t="s">
        <v>46</v>
      </c>
      <c r="G4" s="17" t="s">
        <v>49</v>
      </c>
      <c r="H4" s="16" t="s">
        <v>23</v>
      </c>
      <c r="I4" s="13" t="s">
        <v>27</v>
      </c>
      <c r="J4" s="16" t="s">
        <v>30</v>
      </c>
      <c r="K4" s="13" t="s">
        <v>32</v>
      </c>
      <c r="L4" s="17"/>
      <c r="M4" s="17"/>
    </row>
    <row r="5" spans="1:13" s="4" customFormat="1">
      <c r="A5" s="11" t="s">
        <v>8</v>
      </c>
      <c r="B5" s="12" t="s">
        <v>39</v>
      </c>
      <c r="C5" s="13" t="s">
        <v>13</v>
      </c>
      <c r="D5" s="13" t="s">
        <v>42</v>
      </c>
      <c r="E5" s="13" t="s">
        <v>42</v>
      </c>
      <c r="F5" s="13" t="s">
        <v>47</v>
      </c>
      <c r="G5" s="23" t="s">
        <v>50</v>
      </c>
      <c r="H5" s="14" t="s">
        <v>24</v>
      </c>
      <c r="I5" s="13" t="s">
        <v>28</v>
      </c>
      <c r="J5" s="14" t="s">
        <v>24</v>
      </c>
      <c r="K5" s="13" t="s">
        <v>28</v>
      </c>
      <c r="L5" s="17"/>
      <c r="M5" s="17"/>
    </row>
    <row r="6" spans="1:13" s="4" customFormat="1">
      <c r="A6" s="5" t="s">
        <v>9</v>
      </c>
      <c r="B6" s="12" t="s">
        <v>14</v>
      </c>
      <c r="C6" s="13" t="s">
        <v>5</v>
      </c>
      <c r="D6" s="13" t="s">
        <v>5</v>
      </c>
      <c r="E6" s="13" t="s">
        <v>5</v>
      </c>
      <c r="F6" s="13" t="s">
        <v>21</v>
      </c>
      <c r="G6" s="23" t="s">
        <v>25</v>
      </c>
      <c r="H6" s="14" t="s">
        <v>25</v>
      </c>
      <c r="I6" s="13" t="s">
        <v>5</v>
      </c>
      <c r="J6" s="14" t="s">
        <v>25</v>
      </c>
      <c r="K6" s="13" t="s">
        <v>5</v>
      </c>
      <c r="L6" s="17"/>
      <c r="M6" s="17"/>
    </row>
    <row r="7" spans="1:13">
      <c r="A7" s="18" t="s">
        <v>10</v>
      </c>
      <c r="B7" s="19" t="s">
        <v>15</v>
      </c>
      <c r="C7" s="20" t="s">
        <v>15</v>
      </c>
      <c r="D7" s="20" t="s">
        <v>15</v>
      </c>
      <c r="E7" s="20" t="s">
        <v>15</v>
      </c>
      <c r="F7" s="20" t="s">
        <v>15</v>
      </c>
      <c r="G7" s="24" t="s">
        <v>15</v>
      </c>
      <c r="H7" s="21" t="s">
        <v>15</v>
      </c>
      <c r="I7" s="20" t="s">
        <v>15</v>
      </c>
      <c r="J7" s="21" t="s">
        <v>15</v>
      </c>
      <c r="K7" s="20" t="s">
        <v>15</v>
      </c>
      <c r="L7" s="22"/>
      <c r="M7" s="22"/>
    </row>
  </sheetData>
  <sheetProtection sheet="1" objects="1" formatCells="0" formatColumns="0" formatRows="0" insertColumns="0" insertRows="0" insertHyperlinks="0" deleteColumns="0" deleteRows="0" sort="0" autoFilter="0"/>
  <phoneticPr fontId="2"/>
  <conditionalFormatting sqref="B7:K7">
    <cfRule type="expression" dxfId="15" priority="1">
      <formula>AND(ISNUMBER(FIND("K",B6)),B7="*")</formula>
    </cfRule>
    <cfRule type="expression" dxfId="14" priority="2">
      <formula>AND(ISNUMBER(FIND("N",B6)),B7="*")</formula>
    </cfRule>
    <cfRule type="expression" dxfId="13" priority="3">
      <formula>B7="*"</formula>
    </cfRule>
    <cfRule type="expression" dxfId="12" priority="4">
      <formula>B7=""</formula>
    </cfRule>
  </conditionalFormatting>
  <dataValidations count="1">
    <dataValidation type="list" allowBlank="1" showInputMessage="1" showErrorMessage="1" sqref="B7:K7" xr:uid="{00000000-0002-0000-0100-000000000000}">
      <formula1>"*,"</formula1>
    </dataValidation>
  </dataValidations>
  <pageMargins left="0.75" right="0.75" top="0.75" bottom="0.5" header="0.5" footer="0.7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7"/>
  <sheetViews>
    <sheetView workbookViewId="0"/>
  </sheetViews>
  <sheetFormatPr defaultColWidth="9.1796875" defaultRowHeight="14.5"/>
  <cols>
    <col min="1" max="1" width="18.7265625" style="1" customWidth="1"/>
    <col min="2" max="2" width="24.7265625" style="2" customWidth="1"/>
    <col min="3" max="3" width="18.7265625" style="2" customWidth="1"/>
    <col min="4" max="5" width="50.7265625" style="2" customWidth="1"/>
    <col min="6" max="6" width="30.7265625" style="2" customWidth="1"/>
    <col min="7" max="11" width="50.7265625" style="2" customWidth="1"/>
    <col min="12" max="12" width="30.7265625" style="2" customWidth="1"/>
    <col min="13" max="13" width="16.7265625" style="2" customWidth="1"/>
    <col min="14" max="14" width="14.7265625" style="1" customWidth="1"/>
    <col min="15" max="15" width="22.7265625" style="3" customWidth="1"/>
    <col min="16" max="16" width="30.7265625" style="2" customWidth="1"/>
    <col min="17" max="17" width="22.7265625" style="3" customWidth="1"/>
    <col min="18" max="18" width="30.7265625" style="2" customWidth="1"/>
    <col min="19" max="19" width="10.7265625" style="1" customWidth="1"/>
    <col min="20" max="20" width="48.7265625" style="1" customWidth="1"/>
    <col min="21" max="21" width="9.1796875" style="1" customWidth="1"/>
    <col min="22" max="16384" width="9.1796875" style="1"/>
  </cols>
  <sheetData>
    <row r="1" spans="1:20" s="4" customFormat="1">
      <c r="A1" s="5" t="s">
        <v>0</v>
      </c>
      <c r="B1" s="6" t="s">
        <v>51</v>
      </c>
      <c r="C1" s="7" t="s">
        <v>2</v>
      </c>
      <c r="D1" s="6" t="s">
        <v>52</v>
      </c>
      <c r="E1" s="9"/>
      <c r="F1" s="9"/>
      <c r="G1" s="9"/>
      <c r="H1" s="9"/>
      <c r="I1" s="9"/>
      <c r="J1" s="9"/>
      <c r="K1" s="9"/>
      <c r="L1" s="9"/>
      <c r="M1" s="9"/>
      <c r="O1" s="8"/>
      <c r="P1" s="9"/>
      <c r="Q1" s="8"/>
      <c r="R1" s="9"/>
    </row>
    <row r="2" spans="1:20" s="4" customFormat="1">
      <c r="A2" s="5" t="s">
        <v>4</v>
      </c>
      <c r="B2" s="10" t="s">
        <v>5</v>
      </c>
      <c r="C2" s="9"/>
      <c r="D2" s="9"/>
      <c r="E2" s="9"/>
      <c r="F2" s="9"/>
      <c r="G2" s="9"/>
      <c r="H2" s="9"/>
      <c r="I2" s="9"/>
      <c r="J2" s="9"/>
      <c r="K2" s="9"/>
      <c r="L2" s="9"/>
      <c r="M2" s="9"/>
      <c r="O2" s="8"/>
      <c r="P2" s="9"/>
      <c r="Q2" s="8"/>
      <c r="R2" s="9"/>
    </row>
    <row r="3" spans="1:20" s="4" customFormat="1">
      <c r="A3" s="11" t="s">
        <v>6</v>
      </c>
      <c r="B3" s="12" t="s">
        <v>53</v>
      </c>
      <c r="C3" s="13" t="s">
        <v>55</v>
      </c>
      <c r="D3" s="13" t="s">
        <v>58</v>
      </c>
      <c r="E3" s="13" t="s">
        <v>60</v>
      </c>
      <c r="F3" s="13" t="s">
        <v>62</v>
      </c>
      <c r="G3" s="13" t="s">
        <v>45</v>
      </c>
      <c r="H3" s="13" t="s">
        <v>65</v>
      </c>
      <c r="I3" s="13" t="s">
        <v>67</v>
      </c>
      <c r="J3" s="13" t="s">
        <v>69</v>
      </c>
      <c r="K3" s="13" t="s">
        <v>71</v>
      </c>
      <c r="L3" s="13" t="s">
        <v>73</v>
      </c>
      <c r="M3" s="13" t="s">
        <v>75</v>
      </c>
      <c r="N3" s="23" t="s">
        <v>48</v>
      </c>
      <c r="O3" s="14" t="s">
        <v>22</v>
      </c>
      <c r="P3" s="13" t="s">
        <v>26</v>
      </c>
      <c r="Q3" s="14" t="s">
        <v>29</v>
      </c>
      <c r="R3" s="13" t="s">
        <v>31</v>
      </c>
      <c r="S3" s="15" t="s">
        <v>33</v>
      </c>
      <c r="T3" s="15" t="s">
        <v>34</v>
      </c>
    </row>
    <row r="4" spans="1:20" s="4" customFormat="1">
      <c r="A4" s="11" t="s">
        <v>7</v>
      </c>
      <c r="B4" s="12" t="s">
        <v>54</v>
      </c>
      <c r="C4" s="13" t="s">
        <v>56</v>
      </c>
      <c r="D4" s="13" t="s">
        <v>59</v>
      </c>
      <c r="E4" s="13" t="s">
        <v>61</v>
      </c>
      <c r="F4" s="13" t="s">
        <v>63</v>
      </c>
      <c r="G4" s="13" t="s">
        <v>64</v>
      </c>
      <c r="H4" s="13" t="s">
        <v>66</v>
      </c>
      <c r="I4" s="13" t="s">
        <v>68</v>
      </c>
      <c r="J4" s="13" t="s">
        <v>70</v>
      </c>
      <c r="K4" s="13" t="s">
        <v>72</v>
      </c>
      <c r="L4" s="13" t="s">
        <v>74</v>
      </c>
      <c r="M4" s="13" t="s">
        <v>76</v>
      </c>
      <c r="N4" s="17" t="s">
        <v>78</v>
      </c>
      <c r="O4" s="16" t="s">
        <v>23</v>
      </c>
      <c r="P4" s="13" t="s">
        <v>27</v>
      </c>
      <c r="Q4" s="16" t="s">
        <v>30</v>
      </c>
      <c r="R4" s="13" t="s">
        <v>32</v>
      </c>
      <c r="S4" s="17"/>
      <c r="T4" s="17"/>
    </row>
    <row r="5" spans="1:20" s="4" customFormat="1">
      <c r="A5" s="11" t="s">
        <v>8</v>
      </c>
      <c r="B5" s="12" t="s">
        <v>39</v>
      </c>
      <c r="C5" s="13" t="s">
        <v>57</v>
      </c>
      <c r="D5" s="13" t="s">
        <v>57</v>
      </c>
      <c r="E5" s="13" t="s">
        <v>18</v>
      </c>
      <c r="F5" s="13" t="s">
        <v>28</v>
      </c>
      <c r="G5" s="13" t="s">
        <v>47</v>
      </c>
      <c r="H5" s="13" t="s">
        <v>57</v>
      </c>
      <c r="I5" s="13" t="s">
        <v>57</v>
      </c>
      <c r="J5" s="13" t="s">
        <v>18</v>
      </c>
      <c r="K5" s="13" t="s">
        <v>18</v>
      </c>
      <c r="L5" s="13" t="s">
        <v>28</v>
      </c>
      <c r="M5" s="13" t="s">
        <v>77</v>
      </c>
      <c r="N5" s="23" t="s">
        <v>50</v>
      </c>
      <c r="O5" s="14" t="s">
        <v>24</v>
      </c>
      <c r="P5" s="13" t="s">
        <v>28</v>
      </c>
      <c r="Q5" s="14" t="s">
        <v>24</v>
      </c>
      <c r="R5" s="13" t="s">
        <v>28</v>
      </c>
      <c r="S5" s="17"/>
      <c r="T5" s="17"/>
    </row>
    <row r="6" spans="1:20" s="4" customFormat="1">
      <c r="A6" s="5" t="s">
        <v>9</v>
      </c>
      <c r="B6" s="12" t="s">
        <v>14</v>
      </c>
      <c r="C6" s="13" t="s">
        <v>5</v>
      </c>
      <c r="D6" s="13" t="s">
        <v>21</v>
      </c>
      <c r="E6" s="13" t="s">
        <v>21</v>
      </c>
      <c r="F6" s="13" t="s">
        <v>21</v>
      </c>
      <c r="G6" s="13" t="s">
        <v>21</v>
      </c>
      <c r="H6" s="13" t="s">
        <v>21</v>
      </c>
      <c r="I6" s="13" t="s">
        <v>21</v>
      </c>
      <c r="J6" s="13" t="s">
        <v>21</v>
      </c>
      <c r="K6" s="13" t="s">
        <v>21</v>
      </c>
      <c r="L6" s="13" t="s">
        <v>21</v>
      </c>
      <c r="M6" s="13" t="s">
        <v>25</v>
      </c>
      <c r="N6" s="23" t="s">
        <v>25</v>
      </c>
      <c r="O6" s="14" t="s">
        <v>25</v>
      </c>
      <c r="P6" s="13" t="s">
        <v>5</v>
      </c>
      <c r="Q6" s="14" t="s">
        <v>25</v>
      </c>
      <c r="R6" s="13" t="s">
        <v>5</v>
      </c>
      <c r="S6" s="17"/>
      <c r="T6" s="17"/>
    </row>
    <row r="7" spans="1:20">
      <c r="A7" s="18" t="s">
        <v>10</v>
      </c>
      <c r="B7" s="19" t="s">
        <v>15</v>
      </c>
      <c r="C7" s="20" t="s">
        <v>15</v>
      </c>
      <c r="D7" s="20" t="s">
        <v>15</v>
      </c>
      <c r="E7" s="20" t="s">
        <v>15</v>
      </c>
      <c r="F7" s="20" t="s">
        <v>15</v>
      </c>
      <c r="G7" s="20" t="s">
        <v>15</v>
      </c>
      <c r="H7" s="20" t="s">
        <v>15</v>
      </c>
      <c r="I7" s="20" t="s">
        <v>15</v>
      </c>
      <c r="J7" s="20" t="s">
        <v>15</v>
      </c>
      <c r="K7" s="20" t="s">
        <v>15</v>
      </c>
      <c r="L7" s="20" t="s">
        <v>15</v>
      </c>
      <c r="M7" s="20" t="s">
        <v>15</v>
      </c>
      <c r="N7" s="24" t="s">
        <v>15</v>
      </c>
      <c r="O7" s="21" t="s">
        <v>15</v>
      </c>
      <c r="P7" s="20" t="s">
        <v>15</v>
      </c>
      <c r="Q7" s="21" t="s">
        <v>15</v>
      </c>
      <c r="R7" s="20" t="s">
        <v>15</v>
      </c>
      <c r="S7" s="22"/>
      <c r="T7" s="22"/>
    </row>
  </sheetData>
  <sheetProtection sheet="1" objects="1" formatCells="0" formatColumns="0" formatRows="0" insertColumns="0" insertRows="0" insertHyperlinks="0" deleteColumns="0" deleteRows="0" sort="0" autoFilter="0"/>
  <phoneticPr fontId="2"/>
  <conditionalFormatting sqref="B7:R7">
    <cfRule type="expression" dxfId="11" priority="1">
      <formula>AND(ISNUMBER(FIND("K",B6)),B7="*")</formula>
    </cfRule>
    <cfRule type="expression" dxfId="10" priority="2">
      <formula>AND(ISNUMBER(FIND("N",B6)),B7="*")</formula>
    </cfRule>
    <cfRule type="expression" dxfId="9" priority="3">
      <formula>B7="*"</formula>
    </cfRule>
    <cfRule type="expression" dxfId="8" priority="4">
      <formula>B7=""</formula>
    </cfRule>
  </conditionalFormatting>
  <dataValidations count="1">
    <dataValidation type="list" allowBlank="1" showInputMessage="1" showErrorMessage="1" sqref="B7:R7" xr:uid="{00000000-0002-0000-0200-000000000000}">
      <formula1>"*,"</formula1>
    </dataValidation>
  </dataValidations>
  <pageMargins left="0.75" right="0.75" top="0.75" bottom="0.5" header="0.5" footer="0.7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3"/>
  <sheetViews>
    <sheetView zoomScale="85" zoomScaleNormal="85" workbookViewId="0">
      <pane xSplit="3" ySplit="7" topLeftCell="K21" activePane="bottomRight" state="frozen"/>
      <selection pane="topRight" activeCell="D1" sqref="D1"/>
      <selection pane="bottomLeft" activeCell="A8" sqref="A8"/>
      <selection pane="bottomRight" activeCell="P30" sqref="P30"/>
    </sheetView>
  </sheetViews>
  <sheetFormatPr defaultColWidth="9.1796875" defaultRowHeight="14.5"/>
  <cols>
    <col min="1" max="1" width="18.7265625" style="1" customWidth="1"/>
    <col min="2" max="2" width="20" style="2" customWidth="1"/>
    <col min="3" max="3" width="41.81640625" style="2" customWidth="1"/>
    <col min="4" max="4" width="16.7265625" style="2" customWidth="1"/>
    <col min="5" max="5" width="25.26953125" style="2" customWidth="1"/>
    <col min="6" max="8" width="14.7265625" style="1" customWidth="1"/>
    <col min="9" max="9" width="21.6328125" style="34" customWidth="1"/>
    <col min="10" max="10" width="20.36328125" style="34" customWidth="1"/>
    <col min="11" max="11" width="16.7265625" style="2" customWidth="1"/>
    <col min="12" max="12" width="11.453125" style="1" customWidth="1"/>
    <col min="13" max="13" width="22.7265625" style="3" customWidth="1"/>
    <col min="14" max="14" width="30.7265625" style="2" customWidth="1"/>
    <col min="15" max="15" width="22.7265625" style="3" customWidth="1"/>
    <col min="16" max="16" width="30.7265625" style="2" customWidth="1"/>
    <col min="17" max="17" width="10.7265625" style="1" customWidth="1"/>
    <col min="18" max="18" width="48.7265625" style="1" customWidth="1"/>
    <col min="19" max="19" width="9.1796875" style="1" customWidth="1"/>
    <col min="20" max="16384" width="9.1796875" style="1"/>
  </cols>
  <sheetData>
    <row r="1" spans="1:18" s="4" customFormat="1">
      <c r="A1" s="5" t="s">
        <v>181</v>
      </c>
      <c r="B1" s="6" t="s">
        <v>79</v>
      </c>
      <c r="C1" s="7" t="s">
        <v>182</v>
      </c>
      <c r="D1" s="6" t="s">
        <v>183</v>
      </c>
      <c r="E1" s="9"/>
      <c r="I1" s="30"/>
      <c r="J1" s="30"/>
      <c r="K1" s="9"/>
      <c r="M1" s="8"/>
      <c r="N1" s="9"/>
      <c r="O1" s="8"/>
      <c r="P1" s="9"/>
    </row>
    <row r="2" spans="1:18" s="4" customFormat="1">
      <c r="A2" s="5" t="s">
        <v>184</v>
      </c>
      <c r="B2" s="10" t="s">
        <v>5</v>
      </c>
      <c r="C2" s="9"/>
      <c r="D2" s="9"/>
      <c r="E2" s="9"/>
      <c r="I2" s="30"/>
      <c r="J2" s="30"/>
      <c r="K2" s="9"/>
      <c r="M2" s="8"/>
      <c r="N2" s="9"/>
      <c r="O2" s="8"/>
      <c r="P2" s="9"/>
    </row>
    <row r="3" spans="1:18" s="4" customFormat="1" ht="29">
      <c r="A3" s="11" t="s">
        <v>185</v>
      </c>
      <c r="B3" s="12" t="s">
        <v>80</v>
      </c>
      <c r="C3" s="13" t="s">
        <v>81</v>
      </c>
      <c r="D3" s="13" t="s">
        <v>82</v>
      </c>
      <c r="E3" s="13" t="s">
        <v>84</v>
      </c>
      <c r="F3" s="23" t="s">
        <v>85</v>
      </c>
      <c r="G3" s="23" t="s">
        <v>86</v>
      </c>
      <c r="H3" s="23" t="s">
        <v>87</v>
      </c>
      <c r="I3" s="31" t="s">
        <v>89</v>
      </c>
      <c r="J3" s="31" t="s">
        <v>91</v>
      </c>
      <c r="K3" s="13" t="s">
        <v>92</v>
      </c>
      <c r="L3" s="23" t="s">
        <v>48</v>
      </c>
      <c r="M3" s="14" t="s">
        <v>22</v>
      </c>
      <c r="N3" s="13" t="s">
        <v>26</v>
      </c>
      <c r="O3" s="14" t="s">
        <v>29</v>
      </c>
      <c r="P3" s="13" t="s">
        <v>31</v>
      </c>
      <c r="Q3" s="15" t="s">
        <v>186</v>
      </c>
      <c r="R3" s="15" t="s">
        <v>187</v>
      </c>
    </row>
    <row r="4" spans="1:18" s="4" customFormat="1" ht="18.5">
      <c r="A4" s="11" t="s">
        <v>188</v>
      </c>
      <c r="B4" s="12" t="s">
        <v>189</v>
      </c>
      <c r="C4" s="13" t="s">
        <v>190</v>
      </c>
      <c r="D4" s="13" t="s">
        <v>191</v>
      </c>
      <c r="E4" s="13" t="s">
        <v>192</v>
      </c>
      <c r="F4" s="17" t="s">
        <v>193</v>
      </c>
      <c r="G4" s="17" t="s">
        <v>194</v>
      </c>
      <c r="H4" s="17" t="s">
        <v>195</v>
      </c>
      <c r="I4" s="32" t="s">
        <v>196</v>
      </c>
      <c r="J4" s="32" t="s">
        <v>197</v>
      </c>
      <c r="K4" s="13" t="s">
        <v>198</v>
      </c>
      <c r="L4" s="17" t="s">
        <v>199</v>
      </c>
      <c r="M4" s="16" t="s">
        <v>200</v>
      </c>
      <c r="N4" s="13" t="s">
        <v>201</v>
      </c>
      <c r="O4" s="16" t="s">
        <v>202</v>
      </c>
      <c r="P4" s="13" t="s">
        <v>203</v>
      </c>
      <c r="Q4" s="17"/>
      <c r="R4" s="17"/>
    </row>
    <row r="5" spans="1:18" s="4" customFormat="1">
      <c r="A5" s="11" t="s">
        <v>204</v>
      </c>
      <c r="B5" s="12" t="s">
        <v>39</v>
      </c>
      <c r="C5" s="13" t="s">
        <v>57</v>
      </c>
      <c r="D5" s="13" t="s">
        <v>83</v>
      </c>
      <c r="E5" s="13" t="s">
        <v>28</v>
      </c>
      <c r="F5" s="23" t="s">
        <v>50</v>
      </c>
      <c r="G5" s="23" t="s">
        <v>50</v>
      </c>
      <c r="H5" s="23" t="s">
        <v>88</v>
      </c>
      <c r="I5" s="31" t="s">
        <v>90</v>
      </c>
      <c r="J5" s="31" t="s">
        <v>90</v>
      </c>
      <c r="K5" s="13" t="s">
        <v>93</v>
      </c>
      <c r="L5" s="23" t="s">
        <v>50</v>
      </c>
      <c r="M5" s="14" t="s">
        <v>24</v>
      </c>
      <c r="N5" s="13" t="s">
        <v>28</v>
      </c>
      <c r="O5" s="14" t="s">
        <v>24</v>
      </c>
      <c r="P5" s="13" t="s">
        <v>28</v>
      </c>
      <c r="Q5" s="17"/>
      <c r="R5" s="17"/>
    </row>
    <row r="6" spans="1:18" s="4" customFormat="1">
      <c r="A6" s="5" t="s">
        <v>205</v>
      </c>
      <c r="B6" s="12" t="s">
        <v>14</v>
      </c>
      <c r="C6" s="13" t="s">
        <v>5</v>
      </c>
      <c r="D6" s="13" t="s">
        <v>5</v>
      </c>
      <c r="E6" s="13" t="s">
        <v>21</v>
      </c>
      <c r="F6" s="23" t="s">
        <v>25</v>
      </c>
      <c r="G6" s="23" t="s">
        <v>25</v>
      </c>
      <c r="H6" s="23" t="s">
        <v>21</v>
      </c>
      <c r="I6" s="31" t="s">
        <v>25</v>
      </c>
      <c r="J6" s="31" t="s">
        <v>25</v>
      </c>
      <c r="K6" s="13" t="s">
        <v>25</v>
      </c>
      <c r="L6" s="23" t="s">
        <v>25</v>
      </c>
      <c r="M6" s="14" t="s">
        <v>25</v>
      </c>
      <c r="N6" s="13" t="s">
        <v>5</v>
      </c>
      <c r="O6" s="14" t="s">
        <v>25</v>
      </c>
      <c r="P6" s="13" t="s">
        <v>5</v>
      </c>
      <c r="Q6" s="17"/>
      <c r="R6" s="17"/>
    </row>
    <row r="7" spans="1:18">
      <c r="A7" s="18" t="s">
        <v>206</v>
      </c>
      <c r="B7" s="19" t="s">
        <v>15</v>
      </c>
      <c r="C7" s="20" t="s">
        <v>15</v>
      </c>
      <c r="D7" s="20" t="s">
        <v>15</v>
      </c>
      <c r="E7" s="20" t="s">
        <v>15</v>
      </c>
      <c r="F7" s="24" t="s">
        <v>15</v>
      </c>
      <c r="G7" s="24" t="s">
        <v>15</v>
      </c>
      <c r="H7" s="24" t="s">
        <v>15</v>
      </c>
      <c r="I7" s="33" t="s">
        <v>15</v>
      </c>
      <c r="J7" s="33" t="s">
        <v>15</v>
      </c>
      <c r="K7" s="20" t="s">
        <v>15</v>
      </c>
      <c r="L7" s="24" t="s">
        <v>15</v>
      </c>
      <c r="M7" s="21" t="s">
        <v>15</v>
      </c>
      <c r="N7" s="20" t="s">
        <v>15</v>
      </c>
      <c r="O7" s="21" t="s">
        <v>15</v>
      </c>
      <c r="P7" s="20" t="s">
        <v>15</v>
      </c>
      <c r="Q7" s="22"/>
      <c r="R7" s="22"/>
    </row>
    <row r="8" spans="1:18" ht="18.5">
      <c r="B8" s="2" t="s">
        <v>171</v>
      </c>
      <c r="C8" s="28" t="s">
        <v>216</v>
      </c>
      <c r="D8" s="2" t="s">
        <v>106</v>
      </c>
      <c r="E8" s="2" t="s">
        <v>175</v>
      </c>
      <c r="F8" s="1">
        <v>1</v>
      </c>
      <c r="G8" s="1">
        <v>1</v>
      </c>
      <c r="I8" s="34">
        <v>12500</v>
      </c>
      <c r="J8" s="34">
        <v>35000</v>
      </c>
      <c r="K8" s="2" t="s">
        <v>177</v>
      </c>
      <c r="L8" s="1">
        <v>1</v>
      </c>
      <c r="M8" s="3">
        <f ca="1">NOW()</f>
        <v>46216.643746412039</v>
      </c>
      <c r="N8" s="2" t="s">
        <v>262</v>
      </c>
      <c r="O8" s="3">
        <f ca="1">M8</f>
        <v>46216.643746412039</v>
      </c>
      <c r="P8" s="2" t="str">
        <f t="shared" ref="P8:P29" si="0">N8</f>
        <v>sys_operator</v>
      </c>
    </row>
    <row r="9" spans="1:18" ht="18.5">
      <c r="B9" s="2" t="s">
        <v>172</v>
      </c>
      <c r="C9" s="28" t="s">
        <v>217</v>
      </c>
      <c r="D9" s="2" t="s">
        <v>106</v>
      </c>
      <c r="E9" s="2" t="s">
        <v>176</v>
      </c>
      <c r="F9" s="1">
        <v>1</v>
      </c>
      <c r="G9" s="1">
        <v>1</v>
      </c>
      <c r="I9" s="34">
        <v>15000</v>
      </c>
      <c r="J9" s="34">
        <v>42500</v>
      </c>
      <c r="K9" s="2" t="s">
        <v>177</v>
      </c>
      <c r="L9" s="1">
        <v>1</v>
      </c>
      <c r="M9" s="3">
        <f t="shared" ref="M9:M37" ca="1" si="1">NOW()</f>
        <v>46216.643746412039</v>
      </c>
      <c r="N9" s="2" t="s">
        <v>261</v>
      </c>
      <c r="O9" s="3">
        <f t="shared" ref="O9:O29" ca="1" si="2">M9</f>
        <v>46216.643746412039</v>
      </c>
      <c r="P9" s="2" t="str">
        <f t="shared" si="0"/>
        <v>sys_operator</v>
      </c>
    </row>
    <row r="10" spans="1:18" ht="18.5">
      <c r="B10" s="2" t="s">
        <v>173</v>
      </c>
      <c r="C10" s="28" t="s">
        <v>218</v>
      </c>
      <c r="D10" s="2" t="s">
        <v>106</v>
      </c>
      <c r="E10" s="2" t="s">
        <v>174</v>
      </c>
      <c r="F10" s="1">
        <v>1</v>
      </c>
      <c r="G10" s="1">
        <v>1</v>
      </c>
      <c r="I10" s="34">
        <v>17500</v>
      </c>
      <c r="J10" s="34">
        <v>50000</v>
      </c>
      <c r="K10" s="2" t="s">
        <v>177</v>
      </c>
      <c r="L10" s="1">
        <v>1</v>
      </c>
      <c r="M10" s="3">
        <f t="shared" ca="1" si="1"/>
        <v>46216.643746412039</v>
      </c>
      <c r="N10" s="2" t="s">
        <v>261</v>
      </c>
      <c r="O10" s="3">
        <f t="shared" ca="1" si="2"/>
        <v>46216.643746412039</v>
      </c>
      <c r="P10" s="2" t="str">
        <f t="shared" si="0"/>
        <v>sys_operator</v>
      </c>
    </row>
    <row r="11" spans="1:18" ht="18.5">
      <c r="B11" s="2" t="s">
        <v>219</v>
      </c>
      <c r="C11" s="28" t="s">
        <v>213</v>
      </c>
      <c r="D11" s="2" t="s">
        <v>106</v>
      </c>
      <c r="E11" s="2" t="s">
        <v>175</v>
      </c>
      <c r="F11" s="1">
        <v>1</v>
      </c>
      <c r="G11" s="1">
        <v>1</v>
      </c>
      <c r="I11" s="34">
        <v>7500</v>
      </c>
      <c r="J11" s="34">
        <v>25000</v>
      </c>
      <c r="K11" s="2" t="s">
        <v>177</v>
      </c>
      <c r="L11" s="1">
        <v>1</v>
      </c>
      <c r="M11" s="3">
        <f t="shared" ca="1" si="1"/>
        <v>46216.643746412039</v>
      </c>
      <c r="N11" s="2" t="s">
        <v>261</v>
      </c>
      <c r="O11" s="3">
        <f t="shared" ca="1" si="2"/>
        <v>46216.643746412039</v>
      </c>
      <c r="P11" s="2" t="str">
        <f t="shared" si="0"/>
        <v>sys_operator</v>
      </c>
    </row>
    <row r="12" spans="1:18" ht="18.5">
      <c r="B12" s="2" t="s">
        <v>220</v>
      </c>
      <c r="C12" s="28" t="s">
        <v>214</v>
      </c>
      <c r="D12" s="2" t="s">
        <v>106</v>
      </c>
      <c r="E12" s="2" t="s">
        <v>176</v>
      </c>
      <c r="F12" s="1">
        <v>1</v>
      </c>
      <c r="G12" s="1">
        <v>1</v>
      </c>
      <c r="I12" s="34">
        <v>10000</v>
      </c>
      <c r="J12" s="34">
        <v>32000</v>
      </c>
      <c r="K12" s="2" t="s">
        <v>177</v>
      </c>
      <c r="L12" s="1">
        <v>1</v>
      </c>
      <c r="M12" s="3">
        <f t="shared" ca="1" si="1"/>
        <v>46216.643746412039</v>
      </c>
      <c r="N12" s="2" t="s">
        <v>261</v>
      </c>
      <c r="O12" s="3">
        <f t="shared" ca="1" si="2"/>
        <v>46216.643746412039</v>
      </c>
      <c r="P12" s="2" t="str">
        <f t="shared" si="0"/>
        <v>sys_operator</v>
      </c>
    </row>
    <row r="13" spans="1:18" ht="18.5">
      <c r="B13" s="2" t="s">
        <v>221</v>
      </c>
      <c r="C13" s="28" t="s">
        <v>215</v>
      </c>
      <c r="D13" s="2" t="s">
        <v>106</v>
      </c>
      <c r="E13" s="2" t="s">
        <v>174</v>
      </c>
      <c r="F13" s="1">
        <v>1</v>
      </c>
      <c r="G13" s="1">
        <v>1</v>
      </c>
      <c r="I13" s="34">
        <v>12500</v>
      </c>
      <c r="J13" s="34">
        <v>40000</v>
      </c>
      <c r="K13" s="2" t="s">
        <v>177</v>
      </c>
      <c r="L13" s="1">
        <v>1</v>
      </c>
      <c r="M13" s="3">
        <f t="shared" ca="1" si="1"/>
        <v>46216.643746412039</v>
      </c>
      <c r="N13" s="2" t="s">
        <v>261</v>
      </c>
      <c r="O13" s="3">
        <f t="shared" ca="1" si="2"/>
        <v>46216.643746412039</v>
      </c>
      <c r="P13" s="2" t="str">
        <f t="shared" si="0"/>
        <v>sys_operator</v>
      </c>
    </row>
    <row r="14" spans="1:18">
      <c r="B14" s="2" t="s">
        <v>178</v>
      </c>
      <c r="C14" s="28" t="s">
        <v>225</v>
      </c>
      <c r="D14" s="2" t="s">
        <v>109</v>
      </c>
      <c r="F14" s="1">
        <v>1</v>
      </c>
      <c r="G14" s="1">
        <v>1</v>
      </c>
      <c r="I14" s="34">
        <v>12500</v>
      </c>
      <c r="J14" s="34">
        <v>35000</v>
      </c>
      <c r="K14" s="2" t="s">
        <v>177</v>
      </c>
      <c r="L14" s="1">
        <v>1</v>
      </c>
      <c r="M14" s="3">
        <f t="shared" ca="1" si="1"/>
        <v>46216.643746412039</v>
      </c>
      <c r="N14" s="2" t="s">
        <v>261</v>
      </c>
      <c r="O14" s="3">
        <f t="shared" ca="1" si="2"/>
        <v>46216.643746412039</v>
      </c>
      <c r="P14" s="2" t="str">
        <f t="shared" si="0"/>
        <v>sys_operator</v>
      </c>
    </row>
    <row r="15" spans="1:18">
      <c r="B15" s="2" t="s">
        <v>179</v>
      </c>
      <c r="C15" s="28" t="s">
        <v>226</v>
      </c>
      <c r="D15" s="2" t="s">
        <v>109</v>
      </c>
      <c r="F15" s="1">
        <v>1</v>
      </c>
      <c r="G15" s="1">
        <v>1</v>
      </c>
      <c r="I15" s="34">
        <v>15000</v>
      </c>
      <c r="J15" s="34">
        <v>42500</v>
      </c>
      <c r="K15" s="2" t="s">
        <v>177</v>
      </c>
      <c r="L15" s="1">
        <v>1</v>
      </c>
      <c r="M15" s="3">
        <f t="shared" ca="1" si="1"/>
        <v>46216.643746412039</v>
      </c>
      <c r="N15" s="2" t="s">
        <v>261</v>
      </c>
      <c r="O15" s="3">
        <f t="shared" ca="1" si="2"/>
        <v>46216.643746412039</v>
      </c>
      <c r="P15" s="2" t="str">
        <f t="shared" si="0"/>
        <v>sys_operator</v>
      </c>
    </row>
    <row r="16" spans="1:18">
      <c r="B16" s="2" t="s">
        <v>180</v>
      </c>
      <c r="C16" s="28" t="s">
        <v>227</v>
      </c>
      <c r="D16" s="2" t="s">
        <v>109</v>
      </c>
      <c r="F16" s="1">
        <v>1</v>
      </c>
      <c r="G16" s="1">
        <v>1</v>
      </c>
      <c r="I16" s="34">
        <v>17500</v>
      </c>
      <c r="J16" s="34">
        <v>50000</v>
      </c>
      <c r="K16" s="2" t="s">
        <v>177</v>
      </c>
      <c r="L16" s="1">
        <v>1</v>
      </c>
      <c r="M16" s="3">
        <f t="shared" ca="1" si="1"/>
        <v>46216.643746412039</v>
      </c>
      <c r="N16" s="2" t="s">
        <v>261</v>
      </c>
      <c r="O16" s="3">
        <f t="shared" ca="1" si="2"/>
        <v>46216.643746412039</v>
      </c>
      <c r="P16" s="2" t="str">
        <f t="shared" si="0"/>
        <v>sys_operator</v>
      </c>
    </row>
    <row r="17" spans="2:16">
      <c r="B17" s="2" t="s">
        <v>231</v>
      </c>
      <c r="C17" s="28" t="s">
        <v>228</v>
      </c>
      <c r="D17" s="2" t="s">
        <v>109</v>
      </c>
      <c r="F17" s="1">
        <v>1</v>
      </c>
      <c r="G17" s="1">
        <v>1</v>
      </c>
      <c r="I17" s="34">
        <v>10000</v>
      </c>
      <c r="J17" s="34">
        <v>30000</v>
      </c>
      <c r="K17" s="2" t="s">
        <v>177</v>
      </c>
      <c r="L17" s="1">
        <v>1</v>
      </c>
      <c r="M17" s="3">
        <f t="shared" ca="1" si="1"/>
        <v>46216.643746412039</v>
      </c>
      <c r="N17" s="2" t="s">
        <v>261</v>
      </c>
      <c r="O17" s="3">
        <f t="shared" ca="1" si="2"/>
        <v>46216.643746412039</v>
      </c>
      <c r="P17" s="2" t="str">
        <f t="shared" si="0"/>
        <v>sys_operator</v>
      </c>
    </row>
    <row r="18" spans="2:16">
      <c r="B18" s="2" t="s">
        <v>232</v>
      </c>
      <c r="C18" s="28" t="s">
        <v>229</v>
      </c>
      <c r="D18" s="2" t="s">
        <v>109</v>
      </c>
      <c r="F18" s="1">
        <v>1</v>
      </c>
      <c r="G18" s="1">
        <v>1</v>
      </c>
      <c r="I18" s="34">
        <v>12500</v>
      </c>
      <c r="J18" s="34">
        <v>40000</v>
      </c>
      <c r="K18" s="2" t="s">
        <v>177</v>
      </c>
      <c r="L18" s="1">
        <v>1</v>
      </c>
      <c r="M18" s="3">
        <f t="shared" ca="1" si="1"/>
        <v>46216.643746412039</v>
      </c>
      <c r="N18" s="2" t="s">
        <v>261</v>
      </c>
      <c r="O18" s="3">
        <f t="shared" ca="1" si="2"/>
        <v>46216.643746412039</v>
      </c>
      <c r="P18" s="2" t="str">
        <f t="shared" si="0"/>
        <v>sys_operator</v>
      </c>
    </row>
    <row r="19" spans="2:16" s="37" customFormat="1">
      <c r="B19" s="35" t="s">
        <v>233</v>
      </c>
      <c r="C19" s="36" t="s">
        <v>230</v>
      </c>
      <c r="D19" s="35" t="s">
        <v>109</v>
      </c>
      <c r="E19" s="35"/>
      <c r="F19" s="37">
        <v>1</v>
      </c>
      <c r="G19" s="37">
        <v>1</v>
      </c>
      <c r="I19" s="38">
        <v>15000</v>
      </c>
      <c r="J19" s="38">
        <v>50000</v>
      </c>
      <c r="K19" s="35" t="s">
        <v>177</v>
      </c>
      <c r="L19" s="37">
        <v>1</v>
      </c>
      <c r="M19" s="39">
        <f t="shared" ca="1" si="1"/>
        <v>46216.643746412039</v>
      </c>
      <c r="N19" s="35" t="s">
        <v>261</v>
      </c>
      <c r="O19" s="39">
        <f t="shared" ca="1" si="2"/>
        <v>46216.643746412039</v>
      </c>
      <c r="P19" s="35" t="str">
        <f t="shared" si="0"/>
        <v>sys_operator</v>
      </c>
    </row>
    <row r="20" spans="2:16" s="37" customFormat="1" ht="18.5">
      <c r="B20" s="35" t="s">
        <v>207</v>
      </c>
      <c r="C20" s="36" t="s">
        <v>237</v>
      </c>
      <c r="D20" s="35" t="s">
        <v>125</v>
      </c>
      <c r="E20" s="35"/>
      <c r="F20" s="37">
        <v>0</v>
      </c>
      <c r="G20" s="37">
        <v>0</v>
      </c>
      <c r="I20" s="38">
        <v>3000</v>
      </c>
      <c r="J20" s="38">
        <v>15000</v>
      </c>
      <c r="K20" s="35" t="s">
        <v>177</v>
      </c>
      <c r="L20" s="37">
        <v>1</v>
      </c>
      <c r="M20" s="39">
        <f t="shared" ca="1" si="1"/>
        <v>46216.643746412039</v>
      </c>
      <c r="N20" s="35" t="s">
        <v>261</v>
      </c>
      <c r="O20" s="39">
        <f t="shared" ca="1" si="2"/>
        <v>46216.643746412039</v>
      </c>
      <c r="P20" s="35" t="str">
        <f t="shared" si="0"/>
        <v>sys_operator</v>
      </c>
    </row>
    <row r="21" spans="2:16" s="37" customFormat="1" ht="18.5">
      <c r="B21" s="35" t="s">
        <v>208</v>
      </c>
      <c r="C21" s="36" t="s">
        <v>238</v>
      </c>
      <c r="D21" s="35" t="s">
        <v>125</v>
      </c>
      <c r="E21" s="35"/>
      <c r="F21" s="37">
        <v>0</v>
      </c>
      <c r="G21" s="37">
        <v>0</v>
      </c>
      <c r="I21" s="38">
        <v>5000</v>
      </c>
      <c r="J21" s="38">
        <v>20000</v>
      </c>
      <c r="K21" s="35" t="s">
        <v>177</v>
      </c>
      <c r="L21" s="37">
        <v>1</v>
      </c>
      <c r="M21" s="39">
        <f t="shared" ca="1" si="1"/>
        <v>46216.643746412039</v>
      </c>
      <c r="N21" s="35" t="s">
        <v>261</v>
      </c>
      <c r="O21" s="39">
        <f t="shared" ca="1" si="2"/>
        <v>46216.643746412039</v>
      </c>
      <c r="P21" s="35" t="str">
        <f t="shared" si="0"/>
        <v>sys_operator</v>
      </c>
    </row>
    <row r="22" spans="2:16" s="37" customFormat="1" ht="18.5">
      <c r="B22" s="35" t="s">
        <v>209</v>
      </c>
      <c r="C22" s="36" t="s">
        <v>239</v>
      </c>
      <c r="D22" s="35" t="s">
        <v>125</v>
      </c>
      <c r="E22" s="35"/>
      <c r="F22" s="37">
        <v>0</v>
      </c>
      <c r="G22" s="37">
        <v>0</v>
      </c>
      <c r="I22" s="38">
        <v>7000</v>
      </c>
      <c r="J22" s="38">
        <v>25000</v>
      </c>
      <c r="K22" s="35" t="s">
        <v>177</v>
      </c>
      <c r="L22" s="37">
        <v>1</v>
      </c>
      <c r="M22" s="39">
        <f t="shared" ca="1" si="1"/>
        <v>46216.643746412039</v>
      </c>
      <c r="N22" s="35" t="s">
        <v>261</v>
      </c>
      <c r="O22" s="39">
        <f t="shared" ca="1" si="2"/>
        <v>46216.643746412039</v>
      </c>
      <c r="P22" s="35" t="str">
        <f t="shared" si="0"/>
        <v>sys_operator</v>
      </c>
    </row>
    <row r="23" spans="2:16" s="37" customFormat="1" ht="33">
      <c r="B23" s="35" t="s">
        <v>222</v>
      </c>
      <c r="C23" s="36" t="s">
        <v>240</v>
      </c>
      <c r="D23" s="35" t="s">
        <v>125</v>
      </c>
      <c r="E23" s="35"/>
      <c r="F23" s="37">
        <v>1</v>
      </c>
      <c r="G23" s="37">
        <v>0</v>
      </c>
      <c r="I23" s="38">
        <v>6000</v>
      </c>
      <c r="J23" s="38">
        <v>20000</v>
      </c>
      <c r="K23" s="35" t="s">
        <v>177</v>
      </c>
      <c r="L23" s="37">
        <v>1</v>
      </c>
      <c r="M23" s="39">
        <f t="shared" ca="1" si="1"/>
        <v>46216.643746412039</v>
      </c>
      <c r="N23" s="35" t="s">
        <v>261</v>
      </c>
      <c r="O23" s="39">
        <f t="shared" ca="1" si="2"/>
        <v>46216.643746412039</v>
      </c>
      <c r="P23" s="35" t="str">
        <f t="shared" si="0"/>
        <v>sys_operator</v>
      </c>
    </row>
    <row r="24" spans="2:16" s="37" customFormat="1" ht="33">
      <c r="B24" s="35" t="s">
        <v>223</v>
      </c>
      <c r="C24" s="36" t="s">
        <v>241</v>
      </c>
      <c r="D24" s="35" t="s">
        <v>125</v>
      </c>
      <c r="E24" s="35"/>
      <c r="F24" s="37">
        <v>1</v>
      </c>
      <c r="G24" s="37">
        <v>0</v>
      </c>
      <c r="I24" s="38">
        <v>8000</v>
      </c>
      <c r="J24" s="38">
        <v>30000</v>
      </c>
      <c r="K24" s="35" t="s">
        <v>177</v>
      </c>
      <c r="L24" s="37">
        <v>1</v>
      </c>
      <c r="M24" s="39">
        <f t="shared" ca="1" si="1"/>
        <v>46216.643746412039</v>
      </c>
      <c r="N24" s="35" t="s">
        <v>261</v>
      </c>
      <c r="O24" s="39">
        <f t="shared" ca="1" si="2"/>
        <v>46216.643746412039</v>
      </c>
      <c r="P24" s="35" t="str">
        <f t="shared" si="0"/>
        <v>sys_operator</v>
      </c>
    </row>
    <row r="25" spans="2:16" s="37" customFormat="1" ht="33">
      <c r="B25" s="35" t="s">
        <v>224</v>
      </c>
      <c r="C25" s="36" t="s">
        <v>242</v>
      </c>
      <c r="D25" s="35" t="s">
        <v>125</v>
      </c>
      <c r="E25" s="35"/>
      <c r="F25" s="37">
        <v>1</v>
      </c>
      <c r="G25" s="37">
        <v>0</v>
      </c>
      <c r="I25" s="38">
        <v>12000</v>
      </c>
      <c r="J25" s="38">
        <v>40000</v>
      </c>
      <c r="K25" s="35" t="s">
        <v>177</v>
      </c>
      <c r="L25" s="37">
        <v>1</v>
      </c>
      <c r="M25" s="39">
        <f t="shared" ca="1" si="1"/>
        <v>46216.643746412039</v>
      </c>
      <c r="N25" s="35" t="s">
        <v>261</v>
      </c>
      <c r="O25" s="39">
        <f t="shared" ca="1" si="2"/>
        <v>46216.643746412039</v>
      </c>
      <c r="P25" s="35" t="str">
        <f t="shared" si="0"/>
        <v>sys_operator</v>
      </c>
    </row>
    <row r="26" spans="2:16" s="37" customFormat="1" ht="18.5">
      <c r="B26" s="35" t="s">
        <v>210</v>
      </c>
      <c r="C26" s="36" t="s">
        <v>243</v>
      </c>
      <c r="D26" s="35" t="s">
        <v>125</v>
      </c>
      <c r="E26" s="35"/>
      <c r="F26" s="37">
        <v>0</v>
      </c>
      <c r="G26" s="37">
        <v>0</v>
      </c>
      <c r="I26" s="38">
        <f>I20-1250</f>
        <v>1750</v>
      </c>
      <c r="J26" s="38">
        <f>J20-5000</f>
        <v>10000</v>
      </c>
      <c r="K26" s="35" t="s">
        <v>177</v>
      </c>
      <c r="L26" s="37">
        <v>1</v>
      </c>
      <c r="M26" s="39">
        <f t="shared" ca="1" si="1"/>
        <v>46216.643746412039</v>
      </c>
      <c r="N26" s="35" t="s">
        <v>261</v>
      </c>
      <c r="O26" s="39">
        <f t="shared" ca="1" si="2"/>
        <v>46216.643746412039</v>
      </c>
      <c r="P26" s="35" t="str">
        <f t="shared" si="0"/>
        <v>sys_operator</v>
      </c>
    </row>
    <row r="27" spans="2:16" s="37" customFormat="1" ht="18.5">
      <c r="B27" s="35" t="s">
        <v>211</v>
      </c>
      <c r="C27" s="36" t="s">
        <v>244</v>
      </c>
      <c r="D27" s="35" t="s">
        <v>125</v>
      </c>
      <c r="E27" s="35"/>
      <c r="F27" s="37">
        <v>0</v>
      </c>
      <c r="G27" s="37">
        <v>0</v>
      </c>
      <c r="I27" s="38">
        <f t="shared" ref="I27:I28" si="3">I21-1250</f>
        <v>3750</v>
      </c>
      <c r="J27" s="38">
        <f t="shared" ref="J27:J31" si="4">J21-5000</f>
        <v>15000</v>
      </c>
      <c r="K27" s="35" t="s">
        <v>177</v>
      </c>
      <c r="L27" s="37">
        <v>1</v>
      </c>
      <c r="M27" s="39">
        <f t="shared" ca="1" si="1"/>
        <v>46216.643746412039</v>
      </c>
      <c r="N27" s="35" t="s">
        <v>261</v>
      </c>
      <c r="O27" s="39">
        <f t="shared" ca="1" si="2"/>
        <v>46216.643746412039</v>
      </c>
      <c r="P27" s="35" t="str">
        <f t="shared" si="0"/>
        <v>sys_operator</v>
      </c>
    </row>
    <row r="28" spans="2:16" ht="18.5">
      <c r="B28" s="2" t="s">
        <v>212</v>
      </c>
      <c r="C28" s="28" t="s">
        <v>245</v>
      </c>
      <c r="D28" s="2" t="s">
        <v>125</v>
      </c>
      <c r="F28" s="1">
        <v>0</v>
      </c>
      <c r="G28" s="1">
        <v>0</v>
      </c>
      <c r="I28" s="34">
        <f t="shared" si="3"/>
        <v>5750</v>
      </c>
      <c r="J28" s="34">
        <f t="shared" si="4"/>
        <v>20000</v>
      </c>
      <c r="K28" s="2" t="s">
        <v>177</v>
      </c>
      <c r="L28" s="1">
        <v>1</v>
      </c>
      <c r="M28" s="3">
        <f t="shared" ca="1" si="1"/>
        <v>46216.643746412039</v>
      </c>
      <c r="N28" s="2" t="s">
        <v>261</v>
      </c>
      <c r="O28" s="3">
        <f t="shared" ca="1" si="2"/>
        <v>46216.643746412039</v>
      </c>
      <c r="P28" s="2" t="str">
        <f t="shared" si="0"/>
        <v>sys_operator</v>
      </c>
    </row>
    <row r="29" spans="2:16" ht="37">
      <c r="B29" s="2" t="s">
        <v>234</v>
      </c>
      <c r="C29" s="28" t="s">
        <v>246</v>
      </c>
      <c r="D29" s="2" t="s">
        <v>125</v>
      </c>
      <c r="F29" s="1">
        <v>1</v>
      </c>
      <c r="G29" s="1">
        <v>0</v>
      </c>
      <c r="I29" s="34">
        <f>I23-1200</f>
        <v>4800</v>
      </c>
      <c r="J29" s="34">
        <f t="shared" si="4"/>
        <v>15000</v>
      </c>
      <c r="K29" s="2" t="s">
        <v>177</v>
      </c>
      <c r="L29" s="1">
        <v>1</v>
      </c>
      <c r="M29" s="3">
        <f t="shared" ca="1" si="1"/>
        <v>46216.643746412039</v>
      </c>
      <c r="N29" s="2" t="s">
        <v>261</v>
      </c>
      <c r="O29" s="3">
        <f t="shared" ca="1" si="2"/>
        <v>46216.643746412039</v>
      </c>
      <c r="P29" s="2" t="str">
        <f t="shared" si="0"/>
        <v>sys_operator</v>
      </c>
    </row>
    <row r="30" spans="2:16" ht="37">
      <c r="B30" s="2" t="s">
        <v>235</v>
      </c>
      <c r="C30" s="28" t="s">
        <v>247</v>
      </c>
      <c r="D30" s="2" t="s">
        <v>125</v>
      </c>
      <c r="F30" s="1">
        <v>1</v>
      </c>
      <c r="G30" s="1">
        <v>0</v>
      </c>
      <c r="I30" s="34">
        <f t="shared" ref="I30:I31" si="5">I24-1200</f>
        <v>6800</v>
      </c>
      <c r="J30" s="34">
        <f t="shared" si="4"/>
        <v>25000</v>
      </c>
      <c r="K30" s="2" t="s">
        <v>177</v>
      </c>
      <c r="L30" s="1">
        <v>1</v>
      </c>
      <c r="M30" s="3">
        <f t="shared" ca="1" si="1"/>
        <v>46216.643746412039</v>
      </c>
      <c r="N30" s="2" t="s">
        <v>261</v>
      </c>
      <c r="O30" s="3">
        <f t="shared" ref="O30:O37" ca="1" si="6">M30</f>
        <v>46216.643746412039</v>
      </c>
      <c r="P30" s="2" t="str">
        <f t="shared" ref="P30:P37" si="7">N30</f>
        <v>sys_operator</v>
      </c>
    </row>
    <row r="31" spans="2:16" ht="37">
      <c r="B31" s="2" t="s">
        <v>236</v>
      </c>
      <c r="C31" s="28" t="s">
        <v>248</v>
      </c>
      <c r="D31" s="2" t="s">
        <v>125</v>
      </c>
      <c r="F31" s="1">
        <v>1</v>
      </c>
      <c r="G31" s="1">
        <v>0</v>
      </c>
      <c r="I31" s="34">
        <f t="shared" si="5"/>
        <v>10800</v>
      </c>
      <c r="J31" s="34">
        <f t="shared" si="4"/>
        <v>35000</v>
      </c>
      <c r="K31" s="2" t="s">
        <v>177</v>
      </c>
      <c r="L31" s="1">
        <v>1</v>
      </c>
      <c r="M31" s="3">
        <f t="shared" ca="1" si="1"/>
        <v>46216.643746412039</v>
      </c>
      <c r="N31" s="2" t="s">
        <v>261</v>
      </c>
      <c r="O31" s="3">
        <f t="shared" ca="1" si="6"/>
        <v>46216.643746412039</v>
      </c>
      <c r="P31" s="2" t="str">
        <f t="shared" si="7"/>
        <v>sys_operator</v>
      </c>
    </row>
    <row r="32" spans="2:16">
      <c r="B32" s="2" t="s">
        <v>249</v>
      </c>
      <c r="C32" s="27" t="s">
        <v>255</v>
      </c>
      <c r="D32" s="2" t="s">
        <v>122</v>
      </c>
      <c r="F32" s="1">
        <v>1</v>
      </c>
      <c r="G32" s="1">
        <v>1</v>
      </c>
      <c r="H32" s="1">
        <v>30</v>
      </c>
      <c r="I32" s="34">
        <v>12500</v>
      </c>
      <c r="J32" s="34">
        <v>40000</v>
      </c>
      <c r="K32" s="2" t="s">
        <v>177</v>
      </c>
      <c r="L32" s="1">
        <v>1</v>
      </c>
      <c r="M32" s="3">
        <f t="shared" ca="1" si="1"/>
        <v>46216.643746412039</v>
      </c>
      <c r="N32" s="2" t="s">
        <v>261</v>
      </c>
      <c r="O32" s="3">
        <f t="shared" ca="1" si="6"/>
        <v>46216.643746412039</v>
      </c>
      <c r="P32" s="2" t="str">
        <f t="shared" si="7"/>
        <v>sys_operator</v>
      </c>
    </row>
    <row r="33" spans="2:16">
      <c r="B33" s="2" t="s">
        <v>250</v>
      </c>
      <c r="C33" s="27" t="s">
        <v>256</v>
      </c>
      <c r="D33" s="2" t="s">
        <v>122</v>
      </c>
      <c r="F33" s="1">
        <v>1</v>
      </c>
      <c r="G33" s="1">
        <v>1</v>
      </c>
      <c r="H33" s="1">
        <v>60</v>
      </c>
      <c r="I33" s="34">
        <v>15000</v>
      </c>
      <c r="J33" s="34">
        <v>50000</v>
      </c>
      <c r="K33" s="2" t="s">
        <v>177</v>
      </c>
      <c r="L33" s="1">
        <v>1</v>
      </c>
      <c r="M33" s="3">
        <f t="shared" ca="1" si="1"/>
        <v>46216.643746412039</v>
      </c>
      <c r="N33" s="2" t="s">
        <v>261</v>
      </c>
      <c r="O33" s="3">
        <f t="shared" ca="1" si="6"/>
        <v>46216.643746412039</v>
      </c>
      <c r="P33" s="2" t="str">
        <f t="shared" si="7"/>
        <v>sys_operator</v>
      </c>
    </row>
    <row r="34" spans="2:16">
      <c r="B34" s="2" t="s">
        <v>251</v>
      </c>
      <c r="C34" s="27" t="s">
        <v>257</v>
      </c>
      <c r="D34" s="2" t="s">
        <v>122</v>
      </c>
      <c r="F34" s="1">
        <v>1</v>
      </c>
      <c r="G34" s="1">
        <v>1</v>
      </c>
      <c r="H34" s="1">
        <v>120</v>
      </c>
      <c r="I34" s="34">
        <v>17500</v>
      </c>
      <c r="J34" s="34">
        <v>60000</v>
      </c>
      <c r="K34" s="2" t="s">
        <v>177</v>
      </c>
      <c r="L34" s="1">
        <v>1</v>
      </c>
      <c r="M34" s="3">
        <f t="shared" ca="1" si="1"/>
        <v>46216.643746412039</v>
      </c>
      <c r="N34" s="2" t="s">
        <v>261</v>
      </c>
      <c r="O34" s="3">
        <f t="shared" ca="1" si="6"/>
        <v>46216.643746412039</v>
      </c>
      <c r="P34" s="2" t="str">
        <f t="shared" si="7"/>
        <v>sys_operator</v>
      </c>
    </row>
    <row r="35" spans="2:16">
      <c r="B35" s="2" t="s">
        <v>252</v>
      </c>
      <c r="C35" s="27" t="s">
        <v>258</v>
      </c>
      <c r="D35" s="2" t="s">
        <v>122</v>
      </c>
      <c r="F35" s="1">
        <v>1</v>
      </c>
      <c r="G35" s="1">
        <v>1</v>
      </c>
      <c r="H35" s="1">
        <v>30</v>
      </c>
      <c r="I35" s="34">
        <f>I32-5000</f>
        <v>7500</v>
      </c>
      <c r="J35" s="34">
        <v>25000</v>
      </c>
      <c r="K35" s="2" t="s">
        <v>177</v>
      </c>
      <c r="L35" s="1">
        <v>1</v>
      </c>
      <c r="M35" s="3">
        <f t="shared" ca="1" si="1"/>
        <v>46216.643746412039</v>
      </c>
      <c r="N35" s="2" t="s">
        <v>261</v>
      </c>
      <c r="O35" s="3">
        <f t="shared" ca="1" si="6"/>
        <v>46216.643746412039</v>
      </c>
      <c r="P35" s="2" t="str">
        <f t="shared" si="7"/>
        <v>sys_operator</v>
      </c>
    </row>
    <row r="36" spans="2:16">
      <c r="B36" s="2" t="s">
        <v>253</v>
      </c>
      <c r="C36" s="27" t="s">
        <v>259</v>
      </c>
      <c r="D36" s="2" t="s">
        <v>122</v>
      </c>
      <c r="F36" s="1">
        <v>1</v>
      </c>
      <c r="G36" s="1">
        <v>1</v>
      </c>
      <c r="H36" s="1">
        <v>60</v>
      </c>
      <c r="I36" s="34">
        <f t="shared" ref="I36:I37" si="8">I33-5000</f>
        <v>10000</v>
      </c>
      <c r="J36" s="34">
        <v>35000</v>
      </c>
      <c r="K36" s="2" t="s">
        <v>177</v>
      </c>
      <c r="L36" s="1">
        <v>1</v>
      </c>
      <c r="M36" s="3">
        <f t="shared" ca="1" si="1"/>
        <v>46216.643746412039</v>
      </c>
      <c r="N36" s="2" t="s">
        <v>261</v>
      </c>
      <c r="O36" s="3">
        <f t="shared" ca="1" si="6"/>
        <v>46216.643746412039</v>
      </c>
      <c r="P36" s="2" t="str">
        <f t="shared" si="7"/>
        <v>sys_operator</v>
      </c>
    </row>
    <row r="37" spans="2:16">
      <c r="B37" s="2" t="s">
        <v>254</v>
      </c>
      <c r="C37" s="27" t="s">
        <v>260</v>
      </c>
      <c r="D37" s="2" t="s">
        <v>122</v>
      </c>
      <c r="F37" s="1">
        <v>1</v>
      </c>
      <c r="G37" s="1">
        <v>1</v>
      </c>
      <c r="H37" s="1">
        <v>120</v>
      </c>
      <c r="I37" s="34">
        <f t="shared" si="8"/>
        <v>12500</v>
      </c>
      <c r="J37" s="34">
        <v>45000</v>
      </c>
      <c r="K37" s="2" t="s">
        <v>177</v>
      </c>
      <c r="L37" s="1">
        <v>1</v>
      </c>
      <c r="M37" s="3">
        <f t="shared" ca="1" si="1"/>
        <v>46216.643746412039</v>
      </c>
      <c r="N37" s="2" t="s">
        <v>261</v>
      </c>
      <c r="O37" s="3">
        <f t="shared" ca="1" si="6"/>
        <v>46216.643746412039</v>
      </c>
      <c r="P37" s="2" t="str">
        <f t="shared" si="7"/>
        <v>sys_operator</v>
      </c>
    </row>
    <row r="41" spans="2:16">
      <c r="C41" s="28"/>
    </row>
    <row r="42" spans="2:16">
      <c r="C42" s="28"/>
    </row>
    <row r="43" spans="2:16">
      <c r="C43" s="28"/>
    </row>
  </sheetData>
  <sheetProtection formatCells="0" formatColumns="0" formatRows="0" insertColumns="0" insertRows="0" insertHyperlinks="0" deleteColumns="0" deleteRows="0" sort="0" autoFilter="0"/>
  <phoneticPr fontId="2"/>
  <conditionalFormatting sqref="B7:P7">
    <cfRule type="expression" dxfId="7" priority="1">
      <formula>AND(ISNUMBER(FIND("K",B6)),B7="*")</formula>
    </cfRule>
    <cfRule type="expression" dxfId="6" priority="2">
      <formula>AND(ISNUMBER(FIND("N",B6)),B7="*")</formula>
    </cfRule>
    <cfRule type="expression" dxfId="5" priority="3">
      <formula>B7="*"</formula>
    </cfRule>
    <cfRule type="expression" dxfId="4" priority="4">
      <formula>B7=""</formula>
    </cfRule>
  </conditionalFormatting>
  <dataValidations disablePrompts="1" count="1">
    <dataValidation type="list" allowBlank="1" showInputMessage="1" showErrorMessage="1" sqref="B7:P7" xr:uid="{00000000-0002-0000-0300-000000000000}">
      <formula1>"*,"</formula1>
    </dataValidation>
  </dataValidation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0"/>
  <sheetViews>
    <sheetView workbookViewId="0">
      <pane xSplit="3" ySplit="7" topLeftCell="F13" activePane="bottomRight" state="frozen"/>
      <selection pane="topRight" activeCell="D1" sqref="D1"/>
      <selection pane="bottomLeft" activeCell="A8" sqref="A8"/>
      <selection pane="bottomRight" activeCell="F8" sqref="F8:I29"/>
    </sheetView>
  </sheetViews>
  <sheetFormatPr defaultColWidth="9.1796875" defaultRowHeight="14.5"/>
  <cols>
    <col min="1" max="1" width="18.7265625" style="1" customWidth="1"/>
    <col min="2" max="2" width="24.7265625" style="2" customWidth="1"/>
    <col min="3" max="3" width="18.7265625" style="2" customWidth="1"/>
    <col min="4" max="4" width="28.81640625" style="2" customWidth="1"/>
    <col min="5" max="5" width="59.81640625" style="2" customWidth="1"/>
    <col min="6" max="6" width="22.7265625" style="3" customWidth="1"/>
    <col min="7" max="7" width="30.7265625" style="2" customWidth="1"/>
    <col min="8" max="8" width="22.7265625" style="3" customWidth="1"/>
    <col min="9" max="9" width="30.7265625" style="2" customWidth="1"/>
    <col min="10" max="10" width="10.7265625" style="1" customWidth="1"/>
    <col min="11" max="11" width="48.7265625" style="1" customWidth="1"/>
    <col min="12" max="12" width="9.1796875" style="1" customWidth="1"/>
    <col min="13" max="16384" width="9.1796875" style="1"/>
  </cols>
  <sheetData>
    <row r="1" spans="1:11" s="4" customFormat="1">
      <c r="A1" s="5" t="s">
        <v>0</v>
      </c>
      <c r="B1" s="6" t="s">
        <v>94</v>
      </c>
      <c r="C1" s="7" t="s">
        <v>2</v>
      </c>
      <c r="D1" s="6" t="s">
        <v>95</v>
      </c>
      <c r="E1" s="9"/>
      <c r="F1" s="8"/>
      <c r="G1" s="9"/>
      <c r="H1" s="8"/>
      <c r="I1" s="9"/>
    </row>
    <row r="2" spans="1:11" s="4" customFormat="1">
      <c r="A2" s="5" t="s">
        <v>4</v>
      </c>
      <c r="B2" s="10" t="s">
        <v>5</v>
      </c>
      <c r="C2" s="9"/>
      <c r="D2" s="9"/>
      <c r="E2" s="9"/>
      <c r="F2" s="8"/>
      <c r="G2" s="9"/>
      <c r="H2" s="8"/>
      <c r="I2" s="9"/>
    </row>
    <row r="3" spans="1:11" s="4" customFormat="1">
      <c r="A3" s="11" t="s">
        <v>6</v>
      </c>
      <c r="B3" s="12" t="s">
        <v>96</v>
      </c>
      <c r="C3" s="12" t="s">
        <v>98</v>
      </c>
      <c r="D3" s="13" t="s">
        <v>100</v>
      </c>
      <c r="E3" s="13" t="s">
        <v>102</v>
      </c>
      <c r="F3" s="14" t="s">
        <v>22</v>
      </c>
      <c r="G3" s="13" t="s">
        <v>26</v>
      </c>
      <c r="H3" s="14" t="s">
        <v>29</v>
      </c>
      <c r="I3" s="13" t="s">
        <v>31</v>
      </c>
      <c r="J3" s="15" t="s">
        <v>33</v>
      </c>
      <c r="K3" s="15" t="s">
        <v>34</v>
      </c>
    </row>
    <row r="4" spans="1:11" s="4" customFormat="1">
      <c r="A4" s="11" t="s">
        <v>7</v>
      </c>
      <c r="B4" s="12" t="s">
        <v>97</v>
      </c>
      <c r="C4" s="12" t="s">
        <v>99</v>
      </c>
      <c r="D4" s="13" t="s">
        <v>101</v>
      </c>
      <c r="E4" s="13" t="s">
        <v>103</v>
      </c>
      <c r="F4" s="16" t="s">
        <v>23</v>
      </c>
      <c r="G4" s="13" t="s">
        <v>27</v>
      </c>
      <c r="H4" s="16" t="s">
        <v>30</v>
      </c>
      <c r="I4" s="13" t="s">
        <v>32</v>
      </c>
      <c r="J4" s="17"/>
      <c r="K4" s="17"/>
    </row>
    <row r="5" spans="1:11" s="4" customFormat="1">
      <c r="A5" s="11" t="s">
        <v>8</v>
      </c>
      <c r="B5" s="12" t="s">
        <v>18</v>
      </c>
      <c r="C5" s="12" t="s">
        <v>18</v>
      </c>
      <c r="D5" s="13" t="s">
        <v>57</v>
      </c>
      <c r="E5" s="13" t="s">
        <v>104</v>
      </c>
      <c r="F5" s="14" t="s">
        <v>24</v>
      </c>
      <c r="G5" s="13" t="s">
        <v>28</v>
      </c>
      <c r="H5" s="14" t="s">
        <v>24</v>
      </c>
      <c r="I5" s="13" t="s">
        <v>28</v>
      </c>
      <c r="J5" s="17"/>
      <c r="K5" s="17"/>
    </row>
    <row r="6" spans="1:11" s="4" customFormat="1">
      <c r="A6" s="5" t="s">
        <v>9</v>
      </c>
      <c r="B6" s="12" t="s">
        <v>14</v>
      </c>
      <c r="C6" s="12" t="s">
        <v>14</v>
      </c>
      <c r="D6" s="13" t="s">
        <v>5</v>
      </c>
      <c r="E6" s="13" t="s">
        <v>21</v>
      </c>
      <c r="F6" s="14" t="s">
        <v>25</v>
      </c>
      <c r="G6" s="13" t="s">
        <v>5</v>
      </c>
      <c r="H6" s="14" t="s">
        <v>25</v>
      </c>
      <c r="I6" s="13" t="s">
        <v>5</v>
      </c>
      <c r="J6" s="17"/>
      <c r="K6" s="17"/>
    </row>
    <row r="7" spans="1:11">
      <c r="A7" s="18" t="s">
        <v>10</v>
      </c>
      <c r="B7" s="19" t="s">
        <v>15</v>
      </c>
      <c r="C7" s="19" t="s">
        <v>15</v>
      </c>
      <c r="D7" s="20" t="s">
        <v>15</v>
      </c>
      <c r="E7" s="20" t="s">
        <v>15</v>
      </c>
      <c r="F7" s="21" t="s">
        <v>15</v>
      </c>
      <c r="G7" s="20" t="s">
        <v>15</v>
      </c>
      <c r="H7" s="21" t="s">
        <v>15</v>
      </c>
      <c r="I7" s="20" t="s">
        <v>15</v>
      </c>
      <c r="J7" s="22"/>
      <c r="K7" s="22"/>
    </row>
    <row r="8" spans="1:11">
      <c r="B8" s="2" t="s">
        <v>105</v>
      </c>
      <c r="C8" s="2" t="s">
        <v>106</v>
      </c>
      <c r="D8" s="25" t="s">
        <v>108</v>
      </c>
      <c r="E8" s="27" t="s">
        <v>119</v>
      </c>
      <c r="F8" s="3">
        <f ca="1">NOW()</f>
        <v>46216.643746412039</v>
      </c>
      <c r="G8" s="2" t="s">
        <v>170</v>
      </c>
      <c r="H8" s="3">
        <f ca="1">F8</f>
        <v>46216.643746412039</v>
      </c>
      <c r="I8" s="2" t="str">
        <f t="shared" ref="I8:I29" si="0">G8</f>
        <v>sys_admin</v>
      </c>
    </row>
    <row r="9" spans="1:11" ht="18">
      <c r="B9" s="2" t="s">
        <v>105</v>
      </c>
      <c r="C9" s="2" t="s">
        <v>109</v>
      </c>
      <c r="D9" s="26" t="s">
        <v>110</v>
      </c>
      <c r="E9" s="27" t="s">
        <v>120</v>
      </c>
      <c r="F9" s="3">
        <f t="shared" ref="F9:F29" ca="1" si="1">NOW()</f>
        <v>46216.643746412039</v>
      </c>
      <c r="G9" s="2" t="s">
        <v>169</v>
      </c>
      <c r="H9" s="3">
        <f t="shared" ref="H9:H29" ca="1" si="2">F9</f>
        <v>46216.643746412039</v>
      </c>
      <c r="I9" s="2" t="str">
        <f t="shared" si="0"/>
        <v>sys_admin</v>
      </c>
    </row>
    <row r="10" spans="1:11" ht="26">
      <c r="B10" s="2" t="s">
        <v>105</v>
      </c>
      <c r="C10" s="2" t="s">
        <v>125</v>
      </c>
      <c r="D10" s="26" t="s">
        <v>123</v>
      </c>
      <c r="E10" s="27" t="s">
        <v>124</v>
      </c>
      <c r="F10" s="3">
        <f t="shared" ca="1" si="1"/>
        <v>46216.643746412039</v>
      </c>
      <c r="G10" s="2" t="s">
        <v>169</v>
      </c>
      <c r="H10" s="3">
        <f t="shared" ca="1" si="2"/>
        <v>46216.643746412039</v>
      </c>
      <c r="I10" s="2" t="str">
        <f t="shared" si="0"/>
        <v>sys_admin</v>
      </c>
    </row>
    <row r="11" spans="1:11" ht="26">
      <c r="B11" s="2" t="s">
        <v>105</v>
      </c>
      <c r="C11" s="2" t="s">
        <v>122</v>
      </c>
      <c r="D11" s="26" t="s">
        <v>107</v>
      </c>
      <c r="E11" s="27" t="s">
        <v>121</v>
      </c>
      <c r="F11" s="3">
        <f t="shared" ca="1" si="1"/>
        <v>46216.643746412039</v>
      </c>
      <c r="G11" s="2" t="s">
        <v>169</v>
      </c>
      <c r="H11" s="3">
        <f t="shared" ca="1" si="2"/>
        <v>46216.643746412039</v>
      </c>
      <c r="I11" s="2" t="str">
        <f t="shared" si="0"/>
        <v>sys_admin</v>
      </c>
    </row>
    <row r="12" spans="1:11">
      <c r="B12" s="2" t="s">
        <v>126</v>
      </c>
      <c r="C12" s="2" t="s">
        <v>112</v>
      </c>
      <c r="D12" s="2" t="s">
        <v>115</v>
      </c>
      <c r="E12" s="28" t="s">
        <v>129</v>
      </c>
      <c r="F12" s="3">
        <f t="shared" ca="1" si="1"/>
        <v>46216.643746412039</v>
      </c>
      <c r="G12" s="2" t="s">
        <v>169</v>
      </c>
      <c r="H12" s="3">
        <f t="shared" ca="1" si="2"/>
        <v>46216.643746412039</v>
      </c>
      <c r="I12" s="2" t="str">
        <f t="shared" si="0"/>
        <v>sys_admin</v>
      </c>
    </row>
    <row r="13" spans="1:11" ht="42">
      <c r="B13" s="2" t="s">
        <v>85</v>
      </c>
      <c r="C13" s="2" t="s">
        <v>114</v>
      </c>
      <c r="D13" s="2" t="s">
        <v>116</v>
      </c>
      <c r="E13" s="28" t="s">
        <v>130</v>
      </c>
      <c r="F13" s="3">
        <f t="shared" ca="1" si="1"/>
        <v>46216.643746412039</v>
      </c>
      <c r="G13" s="2" t="s">
        <v>169</v>
      </c>
      <c r="H13" s="3">
        <f t="shared" ca="1" si="2"/>
        <v>46216.643746412039</v>
      </c>
      <c r="I13" s="2" t="str">
        <f t="shared" si="0"/>
        <v>sys_admin</v>
      </c>
    </row>
    <row r="14" spans="1:11" ht="29">
      <c r="B14" s="2" t="s">
        <v>86</v>
      </c>
      <c r="C14" s="2" t="s">
        <v>112</v>
      </c>
      <c r="D14" s="2" t="s">
        <v>117</v>
      </c>
      <c r="E14" s="28" t="s">
        <v>127</v>
      </c>
      <c r="F14" s="3">
        <f t="shared" ca="1" si="1"/>
        <v>46216.643746412039</v>
      </c>
      <c r="G14" s="2" t="s">
        <v>169</v>
      </c>
      <c r="H14" s="3">
        <f t="shared" ca="1" si="2"/>
        <v>46216.643746412039</v>
      </c>
      <c r="I14" s="2" t="str">
        <f t="shared" si="0"/>
        <v>sys_admin</v>
      </c>
    </row>
    <row r="15" spans="1:11" ht="29">
      <c r="B15" s="2" t="s">
        <v>86</v>
      </c>
      <c r="C15" s="2" t="s">
        <v>114</v>
      </c>
      <c r="D15" s="2" t="s">
        <v>118</v>
      </c>
      <c r="E15" s="28" t="s">
        <v>128</v>
      </c>
      <c r="F15" s="3">
        <f t="shared" ca="1" si="1"/>
        <v>46216.643746412039</v>
      </c>
      <c r="G15" s="2" t="s">
        <v>169</v>
      </c>
      <c r="H15" s="3">
        <f t="shared" ca="1" si="2"/>
        <v>46216.643746412039</v>
      </c>
      <c r="I15" s="2" t="str">
        <f t="shared" si="0"/>
        <v>sys_admin</v>
      </c>
    </row>
    <row r="16" spans="1:11">
      <c r="B16" s="2" t="s">
        <v>48</v>
      </c>
      <c r="C16" s="2" t="s">
        <v>111</v>
      </c>
      <c r="D16" s="27" t="s">
        <v>131</v>
      </c>
      <c r="E16" s="27" t="s">
        <v>164</v>
      </c>
      <c r="F16" s="3">
        <f t="shared" ca="1" si="1"/>
        <v>46216.643746412039</v>
      </c>
      <c r="G16" s="2" t="s">
        <v>169</v>
      </c>
      <c r="H16" s="3">
        <f t="shared" ca="1" si="2"/>
        <v>46216.643746412039</v>
      </c>
      <c r="I16" s="2" t="str">
        <f t="shared" si="0"/>
        <v>sys_admin</v>
      </c>
    </row>
    <row r="17" spans="2:9">
      <c r="B17" s="2" t="s">
        <v>48</v>
      </c>
      <c r="C17" s="2" t="s">
        <v>113</v>
      </c>
      <c r="D17" s="27" t="s">
        <v>132</v>
      </c>
      <c r="E17" s="27" t="s">
        <v>165</v>
      </c>
      <c r="F17" s="3">
        <f t="shared" ca="1" si="1"/>
        <v>46216.643746412039</v>
      </c>
      <c r="G17" s="2" t="s">
        <v>169</v>
      </c>
      <c r="H17" s="3">
        <f t="shared" ca="1" si="2"/>
        <v>46216.643746412039</v>
      </c>
      <c r="I17" s="2" t="str">
        <f t="shared" si="0"/>
        <v>sys_admin</v>
      </c>
    </row>
    <row r="18" spans="2:9">
      <c r="B18" s="29" t="s">
        <v>133</v>
      </c>
      <c r="C18" s="2" t="s">
        <v>112</v>
      </c>
      <c r="D18" s="27" t="s">
        <v>136</v>
      </c>
      <c r="E18" s="27" t="s">
        <v>137</v>
      </c>
      <c r="F18" s="3">
        <f t="shared" ca="1" si="1"/>
        <v>46216.643746412039</v>
      </c>
      <c r="G18" s="2" t="s">
        <v>169</v>
      </c>
      <c r="H18" s="3">
        <f t="shared" ca="1" si="2"/>
        <v>46216.643746412039</v>
      </c>
      <c r="I18" s="2" t="str">
        <f t="shared" si="0"/>
        <v>sys_admin</v>
      </c>
    </row>
    <row r="19" spans="2:9">
      <c r="B19" s="29" t="s">
        <v>133</v>
      </c>
      <c r="C19" s="2" t="s">
        <v>134</v>
      </c>
      <c r="D19" s="27" t="s">
        <v>135</v>
      </c>
      <c r="E19" s="27" t="s">
        <v>138</v>
      </c>
      <c r="F19" s="3">
        <f t="shared" ca="1" si="1"/>
        <v>46216.643746412039</v>
      </c>
      <c r="G19" s="2" t="s">
        <v>169</v>
      </c>
      <c r="H19" s="3">
        <f t="shared" ca="1" si="2"/>
        <v>46216.643746412039</v>
      </c>
      <c r="I19" s="2" t="str">
        <f t="shared" si="0"/>
        <v>sys_admin</v>
      </c>
    </row>
    <row r="20" spans="2:9">
      <c r="B20" s="29" t="s">
        <v>139</v>
      </c>
      <c r="C20" s="2" t="s">
        <v>114</v>
      </c>
      <c r="D20" s="27" t="s">
        <v>149</v>
      </c>
      <c r="E20" s="27" t="s">
        <v>155</v>
      </c>
      <c r="F20" s="3">
        <f t="shared" ca="1" si="1"/>
        <v>46216.643746412039</v>
      </c>
      <c r="G20" s="2" t="s">
        <v>169</v>
      </c>
      <c r="H20" s="3">
        <f t="shared" ca="1" si="2"/>
        <v>46216.643746412039</v>
      </c>
      <c r="I20" s="2" t="str">
        <f t="shared" si="0"/>
        <v>sys_admin</v>
      </c>
    </row>
    <row r="21" spans="2:9">
      <c r="B21" s="29" t="s">
        <v>139</v>
      </c>
      <c r="C21" s="2" t="s">
        <v>112</v>
      </c>
      <c r="D21" s="27" t="s">
        <v>146</v>
      </c>
      <c r="E21" s="27" t="s">
        <v>156</v>
      </c>
      <c r="F21" s="3">
        <f t="shared" ca="1" si="1"/>
        <v>46216.643746412039</v>
      </c>
      <c r="G21" s="2" t="s">
        <v>169</v>
      </c>
      <c r="H21" s="3">
        <f t="shared" ca="1" si="2"/>
        <v>46216.643746412039</v>
      </c>
      <c r="I21" s="2" t="str">
        <f t="shared" si="0"/>
        <v>sys_admin</v>
      </c>
    </row>
    <row r="22" spans="2:9">
      <c r="B22" s="29" t="s">
        <v>139</v>
      </c>
      <c r="C22" s="2" t="s">
        <v>134</v>
      </c>
      <c r="D22" s="27" t="s">
        <v>158</v>
      </c>
      <c r="E22" s="27" t="s">
        <v>166</v>
      </c>
      <c r="F22" s="3">
        <f t="shared" ca="1" si="1"/>
        <v>46216.643746412039</v>
      </c>
      <c r="G22" s="2" t="s">
        <v>169</v>
      </c>
      <c r="H22" s="3">
        <f t="shared" ca="1" si="2"/>
        <v>46216.643746412039</v>
      </c>
      <c r="I22" s="2" t="str">
        <f t="shared" si="0"/>
        <v>sys_admin</v>
      </c>
    </row>
    <row r="23" spans="2:9">
      <c r="B23" s="29" t="s">
        <v>139</v>
      </c>
      <c r="C23" s="2" t="s">
        <v>140</v>
      </c>
      <c r="D23" s="27" t="s">
        <v>147</v>
      </c>
      <c r="E23" s="27" t="s">
        <v>157</v>
      </c>
      <c r="F23" s="3">
        <f t="shared" ca="1" si="1"/>
        <v>46216.643746412039</v>
      </c>
      <c r="G23" s="2" t="s">
        <v>169</v>
      </c>
      <c r="H23" s="3">
        <f t="shared" ca="1" si="2"/>
        <v>46216.643746412039</v>
      </c>
      <c r="I23" s="2" t="str">
        <f t="shared" si="0"/>
        <v>sys_admin</v>
      </c>
    </row>
    <row r="24" spans="2:9">
      <c r="B24" s="29" t="s">
        <v>139</v>
      </c>
      <c r="C24" s="2" t="s">
        <v>141</v>
      </c>
      <c r="D24" s="27" t="s">
        <v>148</v>
      </c>
      <c r="E24" s="27" t="s">
        <v>159</v>
      </c>
      <c r="F24" s="3">
        <f t="shared" ca="1" si="1"/>
        <v>46216.643746412039</v>
      </c>
      <c r="G24" s="2" t="s">
        <v>169</v>
      </c>
      <c r="H24" s="3">
        <f t="shared" ca="1" si="2"/>
        <v>46216.643746412039</v>
      </c>
      <c r="I24" s="2" t="str">
        <f t="shared" si="0"/>
        <v>sys_admin</v>
      </c>
    </row>
    <row r="25" spans="2:9">
      <c r="B25" s="29" t="s">
        <v>139</v>
      </c>
      <c r="C25" s="2" t="s">
        <v>142</v>
      </c>
      <c r="D25" s="27" t="s">
        <v>150</v>
      </c>
      <c r="E25" s="27" t="s">
        <v>160</v>
      </c>
      <c r="F25" s="3">
        <f t="shared" ca="1" si="1"/>
        <v>46216.643746412039</v>
      </c>
      <c r="G25" s="2" t="s">
        <v>169</v>
      </c>
      <c r="H25" s="3">
        <f t="shared" ca="1" si="2"/>
        <v>46216.643746412039</v>
      </c>
      <c r="I25" s="2" t="str">
        <f t="shared" si="0"/>
        <v>sys_admin</v>
      </c>
    </row>
    <row r="26" spans="2:9">
      <c r="B26" s="29" t="s">
        <v>139</v>
      </c>
      <c r="C26" s="2" t="s">
        <v>143</v>
      </c>
      <c r="D26" s="27" t="s">
        <v>152</v>
      </c>
      <c r="E26" s="27" t="s">
        <v>162</v>
      </c>
      <c r="F26" s="3">
        <f t="shared" ca="1" si="1"/>
        <v>46216.643746412039</v>
      </c>
      <c r="G26" s="2" t="s">
        <v>169</v>
      </c>
      <c r="H26" s="3">
        <f t="shared" ca="1" si="2"/>
        <v>46216.643746412039</v>
      </c>
      <c r="I26" s="2" t="str">
        <f t="shared" si="0"/>
        <v>sys_admin</v>
      </c>
    </row>
    <row r="27" spans="2:9">
      <c r="B27" s="29" t="s">
        <v>139</v>
      </c>
      <c r="C27" s="2" t="s">
        <v>144</v>
      </c>
      <c r="D27" s="27" t="s">
        <v>161</v>
      </c>
      <c r="E27" s="27" t="s">
        <v>163</v>
      </c>
      <c r="F27" s="3">
        <f t="shared" ca="1" si="1"/>
        <v>46216.643746412039</v>
      </c>
      <c r="G27" s="2" t="s">
        <v>169</v>
      </c>
      <c r="H27" s="3">
        <f t="shared" ca="1" si="2"/>
        <v>46216.643746412039</v>
      </c>
      <c r="I27" s="2" t="str">
        <f t="shared" si="0"/>
        <v>sys_admin</v>
      </c>
    </row>
    <row r="28" spans="2:9">
      <c r="B28" s="29" t="s">
        <v>139</v>
      </c>
      <c r="C28" s="2" t="s">
        <v>151</v>
      </c>
      <c r="D28" s="27" t="s">
        <v>153</v>
      </c>
      <c r="E28" s="27" t="s">
        <v>167</v>
      </c>
      <c r="F28" s="3">
        <f t="shared" ca="1" si="1"/>
        <v>46216.643746412039</v>
      </c>
      <c r="G28" s="2" t="s">
        <v>169</v>
      </c>
      <c r="H28" s="3">
        <f t="shared" ca="1" si="2"/>
        <v>46216.643746412039</v>
      </c>
      <c r="I28" s="2" t="str">
        <f t="shared" si="0"/>
        <v>sys_admin</v>
      </c>
    </row>
    <row r="29" spans="2:9">
      <c r="B29" s="29" t="s">
        <v>139</v>
      </c>
      <c r="C29" s="2" t="s">
        <v>145</v>
      </c>
      <c r="D29" s="27" t="s">
        <v>154</v>
      </c>
      <c r="E29" s="27" t="s">
        <v>168</v>
      </c>
      <c r="F29" s="3">
        <f t="shared" ca="1" si="1"/>
        <v>46216.643746412039</v>
      </c>
      <c r="G29" s="2" t="s">
        <v>169</v>
      </c>
      <c r="H29" s="3">
        <f t="shared" ca="1" si="2"/>
        <v>46216.643746412039</v>
      </c>
      <c r="I29" s="2" t="str">
        <f t="shared" si="0"/>
        <v>sys_admin</v>
      </c>
    </row>
    <row r="30" spans="2:9">
      <c r="B30" s="29"/>
    </row>
  </sheetData>
  <sheetProtection sheet="1" objects="1" formatCells="0" formatColumns="0" formatRows="0" insertColumns="0" insertRows="0" insertHyperlinks="0" deleteColumns="0" deleteRows="0" sort="0" autoFilter="0"/>
  <phoneticPr fontId="2"/>
  <conditionalFormatting sqref="B7:I7">
    <cfRule type="expression" dxfId="3" priority="1">
      <formula>AND(ISNUMBER(FIND("K",B6)),B7="*")</formula>
    </cfRule>
    <cfRule type="expression" dxfId="2" priority="2">
      <formula>AND(ISNUMBER(FIND("N",B6)),B7="*")</formula>
    </cfRule>
    <cfRule type="expression" dxfId="1" priority="3">
      <formula>B7="*"</formula>
    </cfRule>
    <cfRule type="expression" dxfId="0" priority="4">
      <formula>B7=""</formula>
    </cfRule>
  </conditionalFormatting>
  <dataValidations count="1">
    <dataValidation type="list" allowBlank="1" showInputMessage="1" showErrorMessage="1" sqref="B7:I7" xr:uid="{00000000-0002-0000-0400-000000000000}">
      <formula1>"*,"</formula1>
    </dataValidation>
  </dataValidations>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departments</vt:lpstr>
      <vt:lpstr>employees</vt:lpstr>
      <vt:lpstr>clients</vt:lpstr>
      <vt:lpstr>services</vt:lpstr>
      <vt:lpstr>common_codes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雅俊 古谷</cp:lastModifiedBy>
  <dcterms:created xsi:type="dcterms:W3CDTF">2026-07-12T01:04:22Z</dcterms:created>
  <dcterms:modified xsi:type="dcterms:W3CDTF">2026-07-13T06:28:25Z</dcterms:modified>
</cp:coreProperties>
</file>