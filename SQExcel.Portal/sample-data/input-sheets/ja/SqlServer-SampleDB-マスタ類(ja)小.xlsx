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30"/>
  <x: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6B53C038-C038-41D6-93AB-A9501A7A00AD}" xr6:coauthVersionLast="47" xr6:coauthVersionMax="47" xr10:uidLastSave="{00000000-0000-0000-0000-000000000000}"/>
  <x:bookViews>
    <x:workbookView xWindow="2140" yWindow="2200" windowWidth="20980" windowHeight="11440" firstSheet="0" activeTab="3"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<x:sst xmlns:x="http://schemas.openxmlformats.org/spreadsheetml/2006/main">
  <x:si>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</x:si>
  <x:si>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</x:si>
  <x:si>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</x:si>
  <x:si>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</x:si>
  <x:si>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r>
      <x:rPr>
        <x:vertAlign val="baseline"/>
        <x:sz val="11"/>
        <x:color rgb="FF000000"/>
        <x:rFont val="Calibri"/>
        <x:family val="2"/>
      </x:rPr>
      <x:t>DB</x:t>
    </x:r>
    <x:r>
      <x:rPr>
        <x:vertAlign val="baseline"/>
        <x:sz val="11"/>
        <x:color rgb="FF000000"/>
        <x:rFont val="ＭＳ Ｐゴシック"/>
        <x:family val="3"/>
      </x:rPr>
      <x:t>種類</x:t>
    </x:r>
  </x:si>
  <x:si>
    <x:t>Microsoft SQL Server</x:t>
  </x:si>
  <x:si>
    <x:t>処理結果</x:t>
  </x:si>
  <x:si>
    <x:t>[INSERT] データ取り込み成功 処理件数：10件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</x:si>
  <x:si>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</x:si>
  <x:si>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</x:si>
  <x:si>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</x:si>
  <x:si>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</x:si>
  <x:si>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</x:si>
  <x:si>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</x:si>
  <x:si>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</x:si>
  <x:si>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</x:si>
  <x:si>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</x:si>
  <x:si>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</x:si>
  <x:si>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</x:si>
  <x:si>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</x:si>
  <x:si>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</x:si>
  <x:si>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</x:si>
  <x:si>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</x:si>
  <x:si>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</x:si>
  <x:si>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</x:si>
  <x:si>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</x:si>
  <x:si>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</x:si>
  <x:si>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</x:si>
  <x:si>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</x:si>
  <x:si>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</x:si>
  <x:si>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</x:si>
  <x:si>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</x:si>
  <x:si>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</x:si>
  <x:si>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</x:si>
  <x:si>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</x:si>
  <x:si>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</x:si>
  <x:si>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</x:si>
  <x:si>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</x:si>
  <x:si>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r>
      <x:rPr>
        <x:vertAlign val="baseline"/>
        <x:sz val="11"/>
        <x:color rgb="FF000000"/>
        <x:rFont val="Calibri"/>
        <x:family val="2"/>
      </x:rPr>
      <x:t>DP0001</x:t>
    </x:r>
    <x:phoneticPr fontId="0"/>
  </x:si>
  <x:si>
    <x:r>
      <x:rPr>
        <x:vertAlign val="baseline"/>
        <x:sz val="11"/>
        <x:color rgb="FF000000"/>
        <x:rFont val="Calibri"/>
        <x:family val="2"/>
      </x:rPr>
      <x:t>営業部</x:t>
    </x:r>
    <x:phoneticPr fontId="0"/>
  </x:si>
  <x:si>
    <x:r>
      <x:rPr>
        <x:vertAlign val="baseline"/>
        <x:sz val="11"/>
        <x:color rgb="FF000000"/>
        <x:rFont val="Calibri"/>
        <x:family val="2"/>
      </x:rPr>
      <x:t>(null)</x:t>
    </x:r>
    <x:phoneticPr fontId="0"/>
  </x:si>
  <x:si>
    <x:r>
      <x:rPr>
        <x:vertAlign val="baseline"/>
        <x:sz val="11"/>
        <x:color rgb="FF000000"/>
        <x:rFont val="Calibri"/>
        <x:family val="2"/>
      </x:rPr>
      <x:t>system</x:t>
    </x:r>
    <x:phoneticPr fontId="0"/>
  </x:si>
  <x:si>
    <x:r>
      <x:rPr>
        <x:vertAlign val="baseline"/>
        <x:sz val="11"/>
        <x:color rgb="FF000000"/>
        <x:rFont val="Calibri"/>
        <x:family val="2"/>
      </x:rPr>
      <x:t>sys_administrator</x:t>
    </x:r>
    <x:phoneticPr fontId="0"/>
  </x:si>
  <x:si>
    <x:t>TRUE</x:t>
  </x:si>
  <x:si>
    <x:r>
      <x:rPr>
        <x:vertAlign val="baseline"/>
        <x:sz val="11"/>
        <x:color rgb="FF000000"/>
        <x:rFont val="Calibri"/>
        <x:family val="2"/>
      </x:rPr>
      <x:t>SC0001</x:t>
    </x:r>
    <x:phoneticPr fontId="0"/>
  </x:si>
  <x:si>
    <x:r>
      <x:rPr>
        <x:vertAlign val="baseline"/>
        <x:sz val="11"/>
        <x:color rgb="FF000000"/>
        <x:rFont val="Noto Sans JP"/>
        <x:family val="2"/>
        <x:charset val="128"/>
      </x:rPr>
      <x:t>アカウント営業課</x:t>
    </x:r>
    <x:phoneticPr fontId="0"/>
  </x:si>
  <x:si>
    <x:r>
      <x:rPr>
        <x:vertAlign val="baseline"/>
        <x:sz val="11"/>
        <x:color rgb="FF000000"/>
        <x:rFont val="Calibri"/>
        <x:family val="2"/>
      </x:rPr>
      <x:t>sys_operator</x:t>
    </x:r>
    <x:phoneticPr fontId="0"/>
  </x:si>
  <x:si>
    <x:r>
      <x:rPr>
        <x:vertAlign val="baseline"/>
        <x:sz val="11"/>
        <x:color rgb="FF000000"/>
        <x:rFont val="Calibri"/>
        <x:family val="2"/>
      </x:rPr>
      <x:t>SC0002</x:t>
    </x:r>
    <x:phoneticPr fontId="0"/>
  </x:si>
  <x:si>
    <x:r>
      <x:rPr>
        <x:vertAlign val="baseline"/>
        <x:sz val="11"/>
        <x:color rgb="FF000000"/>
        <x:rFont val="Calibri"/>
        <x:family val="2"/>
      </x:rPr>
      <x:t>広告運用課</x:t>
    </x:r>
    <x:phoneticPr fontId="0"/>
  </x:si>
  <x:si>
    <x:r>
      <x:rPr>
        <x:vertAlign val="baseline"/>
        <x:sz val="11"/>
        <x:color rgb="FF000000"/>
        <x:rFont val="Calibri"/>
        <x:family val="2"/>
      </x:rPr>
      <x:t>マーケティング部</x:t>
    </x:r>
    <x:phoneticPr fontId="0"/>
  </x:si>
  <x:si>
    <x:r>
      <x:rPr>
        <x:vertAlign val="baseline"/>
        <x:sz val="11"/>
        <x:color rgb="FF000000"/>
        <x:rFont val="Calibri"/>
        <x:family val="2"/>
      </x:rPr>
      <x:t>DP0002</x:t>
    </x:r>
    <x:phoneticPr fontId="0"/>
  </x:si>
  <x:si>
    <x:r>
      <x:rPr>
        <x:vertAlign val="baseline"/>
        <x:sz val="11"/>
        <x:color rgb="FF000000"/>
        <x:rFont val="Calibri"/>
        <x:family val="2"/>
      </x:rPr>
      <x:t>メディアプランニング課</x:t>
    </x:r>
    <x:phoneticPr fontId="0"/>
  </x:si>
  <x:si>
    <x:r>
      <x:rPr>
        <x:vertAlign val="baseline"/>
        <x:sz val="11"/>
        <x:color rgb="FF000000"/>
        <x:rFont val="Calibri"/>
        <x:family val="2"/>
      </x:rPr>
      <x:t>SC0003</x:t>
    </x:r>
    <x:phoneticPr fontId="0"/>
  </x:si>
  <x:si>
    <x:r>
      <x:rPr>
        <x:vertAlign val="baseline"/>
        <x:sz val="11"/>
        <x:color rgb="FF000000"/>
        <x:rFont val="Calibri"/>
        <x:family val="2"/>
      </x:rPr>
      <x:t>sys_developer</x:t>
    </x:r>
    <x:phoneticPr fontId="0"/>
  </x:si>
  <x:si>
    <x:r>
      <x:rPr>
        <x:vertAlign val="baseline"/>
        <x:sz val="11"/>
        <x:color rgb="FF000000"/>
        <x:rFont val="Calibri"/>
        <x:family val="2"/>
      </x:rPr>
      <x:t>SC0004</x:t>
    </x:r>
    <x:phoneticPr fontId="0"/>
  </x:si>
  <x:si>
    <x:r>
      <x:rPr>
        <x:vertAlign val="baseline"/>
        <x:sz val="11"/>
        <x:color rgb="FF000000"/>
        <x:rFont val="Calibri"/>
        <x:family val="2"/>
      </x:rPr>
      <x:t>クリエイティブ企画課</x:t>
    </x:r>
    <x:phoneticPr fontId="0"/>
  </x:si>
  <x:si>
    <x:r>
      <x:rPr>
        <x:vertAlign val="baseline"/>
        <x:sz val="11"/>
        <x:color rgb="FF000000"/>
        <x:rFont val="Calibri"/>
        <x:family val="2"/>
      </x:rPr>
      <x:t>管理部</x:t>
    </x:r>
    <x:phoneticPr fontId="0"/>
  </x:si>
  <x:si>
    <x:r>
      <x:rPr>
        <x:vertAlign val="baseline"/>
        <x:sz val="11"/>
        <x:color rgb="FF000000"/>
        <x:rFont val="Calibri"/>
        <x:family val="2"/>
      </x:rPr>
      <x:t>DP0003</x:t>
    </x:r>
    <x:phoneticPr fontId="0"/>
  </x:si>
  <x:si>
    <x:r>
      <x:rPr>
        <x:vertAlign val="baseline"/>
        <x:sz val="11"/>
        <x:color rgb="FF000000"/>
        <x:rFont val="Calibri"/>
        <x:family val="2"/>
      </x:rPr>
      <x:t>経理総務課</x:t>
    </x:r>
    <x:phoneticPr fontId="0"/>
  </x:si>
  <x:si>
    <x:r>
      <x:rPr>
        <x:vertAlign val="baseline"/>
        <x:sz val="11"/>
        <x:color rgb="FF000000"/>
        <x:rFont val="Calibri"/>
        <x:family val="2"/>
      </x:rPr>
      <x:t>SC0005</x:t>
    </x:r>
    <x:phoneticPr fontId="0"/>
  </x:si>
  <x:si>
    <x:r>
      <x:rPr>
        <x:vertAlign val="baseline"/>
        <x:sz val="11"/>
        <x:color rgb="FF000000"/>
        <x:rFont val="Calibri"/>
        <x:family val="2"/>
      </x:rPr>
      <x:t>人事労務課</x:t>
    </x:r>
    <x:phoneticPr fontId="0"/>
  </x:si>
  <x:si>
    <x:r>
      <x:rPr>
        <x:vertAlign val="baseline"/>
        <x:sz val="11"/>
        <x:color rgb="FF000000"/>
        <x:rFont val="Calibri"/>
        <x:family val="2"/>
      </x:rPr>
      <x:t>SC0006</x:t>
    </x:r>
    <x:phoneticPr fontId="0"/>
  </x:si>
  <x:si>
    <x:r>
      <x:rPr>
        <x:vertAlign val="baseline"/>
        <x:sz val="11"/>
        <x:color rgb="FF000000"/>
        <x:rFont val="Calibri"/>
        <x:family val="2"/>
      </x:rPr>
      <x:t>システム部</x:t>
    </x:r>
    <x:phoneticPr fontId="0"/>
  </x:si>
  <x:si>
    <x:r>
      <x:rPr>
        <x:vertAlign val="baseline"/>
        <x:sz val="11"/>
        <x:color rgb="FF000000"/>
        <x:rFont val="Calibri"/>
        <x:family val="2"/>
      </x:rPr>
      <x:t>DP0004</x:t>
    </x:r>
    <x:phoneticPr fontId="0"/>
  </x:si>
  <x:si>
    <x:t>従業員マスター（担当者マスター）</x:t>
  </x:si>
  <x:si>
    <x:t>hr.employees</x:t>
  </x:si>
  <x:si>
    <x:t>employee_id</x:t>
  </x:si>
  <x:si>
    <x:t>[INSERT] データ取り込み成功 処理件数：20件</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</x:si>
  <x:si>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</x:si>
  <x:si>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</x:si>
  <x:si>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</x:si>
  <x:si>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</x:si>
  <x:si>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</x:si>
  <x:si>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</x:si>
  <x:si>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</x:si>
  <x:si>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</x:si>
  <x:si>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</x:si>
  <x:si>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</x:si>
  <x:si>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</x:si>
  <x:si>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</x:si>
  <x:si>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</x:si>
  <x:si>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18000001</x:t>
  </x:si>
  <x:si>
    <x:t>SC0001</x:t>
  </x:si>
  <x:si>
    <x:t>佐藤</x:t>
  </x:si>
  <x:si>
    <x:t>健太</x:t>
  </x:si>
  <x:si>
    <x:t>kenta.sato@tokyo-ads-sample.test</x:t>
  </x:si>
  <x:si>
    <x:t>system</x:t>
  </x:si>
  <x:si>
    <x:t>sys_administrator</x:t>
  </x:si>
  <x:si>
    <x:t>19000002</x:t>
  </x:si>
  <x:si>
    <x:t>SC0002</x:t>
  </x:si>
  <x:si>
    <x:t>鈴木</x:t>
  </x:si>
  <x:si>
    <x:t>美咲</x:t>
  </x:si>
  <x:si>
    <x:t>misaki.suzuki@tokyo-ads-sample.test</x:t>
  </x:si>
  <x:si>
    <x:t>sys_operator</x:t>
  </x:si>
  <x:si>
    <x:t>20000003</x:t>
  </x:si>
  <x:si>
    <x:t>SC0003</x:t>
  </x:si>
  <x:si>
    <x:t>高橋</x:t>
  </x:si>
  <x:si>
    <x:t>翔太</x:t>
  </x:si>
  <x:si>
    <x:t>shota.takahashi@tokyo-ads-sample.test</x:t>
  </x:si>
  <x:si>
    <x:t>21000004</x:t>
  </x:si>
  <x:si>
    <x:t>SC0004</x:t>
  </x:si>
  <x:si>
    <x:t>田中</x:t>
  </x:si>
  <x:si>
    <x:t>彩花</x:t>
  </x:si>
  <x:si>
    <x:t>ayaka.tanaka@tokyo-ads-sample.test</x:t>
  </x:si>
  <x:si>
    <x:t>22000005</x:t>
  </x:si>
  <x:si>
    <x:t>SC0005</x:t>
  </x:si>
  <x:si>
    <x:t>伊藤</x:t>
  </x:si>
  <x:si>
    <x:t>直樹</x:t>
  </x:si>
  <x:si>
    <x:t>naoki.ito@tokyo-ads-sample.test</x:t>
  </x:si>
  <x:si>
    <x:t>23000006</x:t>
  </x:si>
  <x:si>
    <x:t>SC0006</x:t>
  </x:si>
  <x:si>
    <x:t>山本</x:t>
  </x:si>
  <x:si>
    <x:t>結衣</x:t>
  </x:si>
  <x:si>
    <x:t>yui.yamamoto@tokyo-ads-sample.test</x:t>
  </x:si>
  <x:si>
    <x:t>sys_developer</x:t>
  </x:si>
  <x:si>
    <x:t>24000007</x:t>
  </x:si>
  <x:si>
    <x:t>DP0004</x:t>
  </x:si>
  <x:si>
    <x:t>中村</x:t>
  </x:si>
  <x:si>
    <x:t>大輔</x:t>
  </x:si>
  <x:si>
    <x:t>daisuke.nakamura@tokyo-ads-sample.test</x:t>
  </x:si>
  <x:si>
    <x:t>17000008</x:t>
  </x:si>
  <x:si>
    <x:t>小林</x:t>
  </x:si>
  <x:si>
    <x:t>真由</x:t>
  </x:si>
  <x:si>
    <x:t>mayu.kobayashi@tokyo-ads-sample.test</x:t>
  </x:si>
  <x:si>
    <x:t>19000009</x:t>
  </x:si>
  <x:si>
    <x:t>加藤</x:t>
  </x:si>
  <x:si>
    <x:t>亮</x:t>
  </x:si>
  <x:si>
    <x:t>ryo.kato@tokyo-ads-sample.test</x:t>
  </x:si>
  <x:si>
    <x:t>20000010</x:t>
  </x:si>
  <x:si>
    <x:t>吉田</x:t>
  </x:si>
  <x:si>
    <x:t>奈々</x:t>
  </x:si>
  <x:si>
    <x:t>nana.yoshida@tokyo-ads-sample.test</x:t>
  </x:si>
  <x:si>
    <x:t>21000011</x:t>
  </x:si>
  <x:si>
    <x:t>渡辺</x:t>
  </x:si>
  <x:si>
    <x:t>拓海</x:t>
  </x:si>
  <x:si>
    <x:t>takumi.watanabe@tokyo-ads-sample.test</x:t>
  </x:si>
  <x:si>
    <x:t>22000012</x:t>
  </x:si>
  <x:si>
    <x:t>山田</x:t>
  </x:si>
  <x:si>
    <x:t>紗季</x:t>
  </x:si>
  <x:si>
    <x:t>saki.yamada@tokyo-ads-sample.test</x:t>
  </x:si>
  <x:si>
    <x:t>23000013</x:t>
  </x:si>
  <x:si>
    <x:t>イワノフ</x:t>
  </x:si>
  <x:si>
    <x:t>アレクセイ</x:t>
  </x:si>
  <x:si>
    <x:t>alexei.ivanov@tokyo-ads-sample.test</x:t>
  </x:si>
  <x:si>
    <x:t>24000014</x:t>
  </x:si>
  <x:si>
    <x:t>キム</x:t>
  </x:si>
  <x:si>
    <x:t>ミンジュン</x:t>
  </x:si>
  <x:si>
    <x:t>minjun.kim@tokyo-ads-sample.test</x:t>
  </x:si>
  <x:si>
    <x:t>18000015</x:t>
  </x:si>
  <x:si>
    <x:t>松本</x:t>
  </x:si>
  <x:si>
    <x:t>悠斗</x:t>
  </x:si>
  <x:si>
    <x:t>yuto.matsumoto@tokyo-ads-sample.test</x:t>
  </x:si>
  <x:si>
    <x:t>19000016</x:t>
  </x:si>
  <x:si>
    <x:t>井上</x:t>
  </x:si>
  <x:si>
    <x:t>葵</x:t>
  </x:si>
  <x:si>
    <x:t>aoi.inoue@tokyo-ads-sample.test</x:t>
  </x:si>
  <x:si>
    <x:t>20000017</x:t>
  </x:si>
  <x:si>
    <x:t>清水</x:t>
  </x:si>
  <x:si>
    <x:t>陽介</x:t>
  </x:si>
  <x:si>
    <x:t>yosuke.shimizu@tokyo-ads-sample.test</x:t>
  </x:si>
  <x:si>
    <x:t>21000018</x:t>
  </x:si>
  <x:si>
    <x:t>チェン</x:t>
  </x:si>
  <x:si>
    <x:t>リーファン</x:t>
  </x:si>
  <x:si>
    <x:t>lihua.chen@tokyo-ads-sample.test</x:t>
  </x:si>
  <x:si>
    <x:t>22000019</x:t>
  </x:si>
  <x:si>
    <x:t>オコンネル</x:t>
  </x:si>
  <x:si>
    <x:t>エマ</x:t>
  </x:si>
  <x:si>
    <x:t>emma.oconnell@tokyo-ads-sample.test</x:t>
  </x:si>
  <x:si>
    <x:t>23000020</x:t>
  </x:si>
  <x:si>
    <x:t>森</x:t>
  </x:si>
  <x:si>
    <x:t>和真</x:t>
  </x:si>
  <x:si>
    <x:t>kazuma.mori@tokyo-ads-sample.test</x:t>
  </x:si>
  <x:si>
    <x:t>sales.clients</x:t>
  </x:si>
  <x:si>
    <x:t>取引先マスター</x:t>
  </x:si>
  <x:si>
    <x:t>client_id</x:t>
  </x:si>
  <x:si>
    <x:t>[INSERT] データ取り込み成功 処理件数：30件</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</x:si>
  <x:si>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</x:si>
  <x:si>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</x:si>
  <x:si>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</x:si>
  <x:si>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</x:si>
  <x:si>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</x:si>
  <x:si>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</x:si>
  <x:si>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</x:si>
  <x:si>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</x:si>
  <x:si>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</x:si>
  <x:si>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</x:si>
  <x:si>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</x:si>
  <x:si>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</x:si>
  <x:si>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</x:si>
  <x:si>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</x:si>
  <x:si>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</x:si>
  <x:si>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</x:si>
  <x:si>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</x:si>
  <x:si>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</x:si>
  <x:si>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</x:si>
  <x:si>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</x:si>
  <x:si>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</x:si>
  <x:si>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</x:si>
  <x:si>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</x:si>
  <x:si>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</x:si>
  <x:si>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</x:si>
  <x:si>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</x:si>
  <x:si>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株式会社ミライフーズ</x:t>
  </x:si>
  <x:si>
    <x:t>カブシキガイシャミライフーズ</x:t>
  </x:si>
  <x:si>
    <x:t>田村 健一</x:t>
  </x:si>
  <x:si>
    <x:t>03-6450-1123</x:t>
  </x:si>
  <x:si>
    <x:t>kenichi.tamura@mirai-foods-sample.test</x:t>
  </x:si>
  <x:si>
    <x:t>恵比寿南1-5-5 恵比寿パークビル</x:t>
  </x:si>
  <x:si>
    <x:t>402</x:t>
  </x:si>
  <x:si>
    <x:t>渋谷区</x:t>
  </x:si>
  <x:si>
    <x:t>東京都</x:t>
  </x:si>
  <x:si>
    <x:t>1500022</x:t>
  </x:si>
  <x:si>
    <x:t>JP</x:t>
  </x:si>
  <x:si>
    <x:t>JC000002</x:t>
  </x:si>
  <x:si>
    <x:t>青山ウェルネス株式会社</x:t>
  </x:si>
  <x:si>
    <x:t>アオヤマウェルネスカブシキガイシャ</x:t>
  </x:si>
  <x:si>
    <x:t>佐々木 美穂</x:t>
  </x:si>
  <x:si>
    <x:t>03-5778-2045</x:t>
  </x:si>
  <x:si>
    <x:t>miho.sasaki@aoyama-wellness-sample.test</x:t>
  </x:si>
  <x:si>
    <x:t>南青山3-8-12 南青山スクエア</x:t>
  </x:si>
  <x:si>
    <x:t>6F</x:t>
  </x:si>
  <x:si>
    <x:t>港区</x:t>
  </x:si>
  <x:si>
    <x:t>1070062</x:t>
  </x:si>
  <x:si>
    <x:t>JC000003</x:t>
  </x:si>
  <x:si>
    <x:t>株式会社トーキョーギフト</x:t>
  </x:si>
  <x:si>
    <x:t>カブシキガイシャトーキョーギフト</x:t>
  </x:si>
  <x:si>
    <x:t>小川 亮</x:t>
  </x:si>
  <x:si>
    <x:t>03-5829-3310</x:t>
  </x:si>
  <x:si>
    <x:t>ryo.ogawa@tokyo-gift-sample.test</x:t>
  </x:si>
  <x:si>
    <x:t>蔵前2-4-3 リバーサイド蔵前</x:t>
  </x:si>
  <x:si>
    <x:t>301</x:t>
  </x:si>
  <x:si>
    <x:t>台東区</x:t>
  </x:si>
  <x:si>
    <x:t>1110051</x:t>
  </x:si>
  <x:si>
    <x:t>JC000004</x:t>
  </x:si>
  <x:si>
    <x:t>日本クラフトビール販売株式会社</x:t>
  </x:si>
  <x:si>
    <x:t>ニホンクラフトビールハンバイカブシキガイシャ</x:t>
  </x:si>
  <x:si>
    <x:t>高橋 直子</x:t>
  </x:si>
  <x:si>
    <x:t>03-6206-4457</x:t>
  </x:si>
  <x:si>
    <x:t>naoko.takahashi@jcraftbeer-sample.test</x:t>
  </x:si>
  <x:si>
    <x:t>神田淡路町1-9-5 淡路町ビル</x:t>
  </x:si>
  <x:si>
    <x:t>5B</x:t>
  </x:si>
  <x:si>
    <x:t>千代田区</x:t>
  </x:si>
  <x:si>
    <x:t>1010063</x:t>
  </x:si>
  <x:si>
    <x:t>JC000005</x:t>
  </x:si>
  <x:si>
    <x:t>株式会社スマイルペット</x:t>
  </x:si>
  <x:si>
    <x:t>カブシキガイシャスマイルペット</x:t>
  </x:si>
  <x:si>
    <x:t>中村 翔</x:t>
  </x:si>
  <x:si>
    <x:t>03-6384-8721</x:t>
  </x:si>
  <x:si>
    <x:t>sho.nakamura@smile-pet-sample.test</x:t>
  </x:si>
  <x:si>
    <x:t>中野4-10-2 セントラルパークサウス</x:t>
  </x:si>
  <x:si>
    <x:t>8F</x:t>
  </x:si>
  <x:si>
    <x:t>中野区</x:t>
  </x:si>
  <x:si>
    <x:t>1640001</x:t>
  </x:si>
  <x:si>
    <x:t>JC000006</x:t>
  </x:si>
  <x:si>
    <x:t>銀座ライフスタイル株式会社</x:t>
  </x:si>
  <x:si>
    <x:t>ギンザライフスタイルカブシキガイシャ</x:t>
  </x:si>
  <x:si>
    <x:t>山口 彩</x:t>
  </x:si>
  <x:si>
    <x:t>03-5537-9088</x:t>
  </x:si>
  <x:si>
    <x:t>aya.yamaguchi@ginza-lifestyle-sample.test</x:t>
  </x:si>
  <x:si>
    <x:t>銀座6-12-10 銀座グリーンビル</x:t>
  </x:si>
  <x:si>
    <x:t>702</x:t>
  </x:si>
  <x:si>
    <x:t>中央区</x:t>
  </x:si>
  <x:si>
    <x:t>1040061</x:t>
  </x:si>
  <x:si>
    <x:t>JC000007</x:t>
  </x:si>
  <x:si>
    <x:t>株式会社ベイサイドトラベル</x:t>
  </x:si>
  <x:si>
    <x:t>カブシキガイシャベイサイドトラベル</x:t>
  </x:si>
  <x:si>
    <x:t>石井 大輔</x:t>
  </x:si>
  <x:si>
    <x:t>045-228-1970</x:t>
  </x:si>
  <x:si>
    <x:t>daisuke.ishii@bayside-travel-sample.test</x:t>
  </x:si>
  <x:si>
    <x:t>みなとみらい3-6-1 みなとみらいセンタービル</x:t>
  </x:si>
  <x:si>
    <x:t>12F</x:t>
  </x:si>
  <x:si>
    <x:t>横浜市西区</x:t>
  </x:si>
  <x:si>
    <x:t>神奈川県</x:t>
  </x:si>
  <x:si>
    <x:t>2200012</x:t>
  </x:si>
  <x:si>
    <x:t>JC000008</x:t>
  </x:si>
  <x:si>
    <x:t>株式会社ネクストアパレル</x:t>
  </x:si>
  <x:si>
    <x:t>カブシキガイシャネクストアパレル</x:t>
  </x:si>
  <x:si>
    <x:t>林 真理</x:t>
  </x:si>
  <x:si>
    <x:t>03-3406-7712</x:t>
  </x:si>
  <x:si>
    <x:t>mari.hayashi@next-apparel-sample.test</x:t>
  </x:si>
  <x:si>
    <x:t>神宮前5-52-2 青山オーバルビル</x:t>
  </x:si>
  <x:si>
    <x:t>403</x:t>
  </x:si>
  <x:si>
    <x:t>1500001</x:t>
  </x:si>
  <x:si>
    <x:t>JC000009</x:t>
  </x:si>
  <x:si>
    <x:t>株式会社グリーンマーケット</x:t>
  </x:si>
  <x:si>
    <x:t>カブシキガイシャグリーンマーケット</x:t>
  </x:si>
  <x:si>
    <x:t>森田 悠</x:t>
  </x:si>
  <x:si>
    <x:t>03-5656-1244</x:t>
  </x:si>
  <x:si>
    <x:t>yu.morita@green-market-sample.test</x:t>
  </x:si>
  <x:si>
    <x:t>豊洲3-2-20 豊洲フロント</x:t>
  </x:si>
  <x:si>
    <x:t>9F</x:t>
  </x:si>
  <x:si>
    <x:t>江東区</x:t>
  </x:si>
  <x:si>
    <x:t>1350061</x:t>
  </x:si>
  <x:si>
    <x:t>JC000010</x:t>
  </x:si>
  <x:si>
    <x:t>浅草ホビー株式会社</x:t>
  </x:si>
  <x:si>
    <x:t>アサクサホビーカブシキガイシャ</x:t>
  </x:si>
  <x:si>
    <x:t>渡辺 誠</x:t>
  </x:si>
  <x:si>
    <x:t>03-3841-6602</x:t>
  </x:si>
  <x:si>
    <x:t>makoto.watanabe@asakusa-hobby-sample.test</x:t>
  </x:si>
  <x:si>
    <x:t>浅草1-22-5 雷門プラザ</x:t>
  </x:si>
  <x:si>
    <x:t>201</x:t>
  </x:si>
  <x:si>
    <x:t>1110032</x:t>
  </x:si>
  <x:si>
    <x:t>JC000011</x:t>
  </x:si>
  <x:si>
    <x:t>株式会社ヘルシーデリ東京</x:t>
  </x:si>
  <x:si>
    <x:t>カブシキガイシャヘルシーデリトウキョウ</x:t>
  </x:si>
  <x:si>
    <x:t>藤田 菜月</x:t>
  </x:si>
  <x:si>
    <x:t>03-5728-4419</x:t>
  </x:si>
  <x:si>
    <x:t>natsuki.fujita@healthy-deli-tokyo-sample.test</x:t>
  </x:si>
  <x:si>
    <x:t>三軒茶屋2-11-24 サンタワーズ</x:t>
  </x:si>
  <x:si>
    <x:t>A棟305</x:t>
  </x:si>
  <x:si>
    <x:t>世田谷区</x:t>
  </x:si>
  <x:si>
    <x:t>1540024</x:t>
  </x:si>
  <x:si>
    <x:t>JC000012</x:t>
  </x:si>
  <x:si>
    <x:t>株式会社シティスクール</x:t>
  </x:si>
  <x:si>
    <x:t>カブシキガイシャシティスクール</x:t>
  </x:si>
  <x:si>
    <x:t>岡田 智也</x:t>
  </x:si>
  <x:si>
    <x:t>03-3360-5517</x:t>
  </x:si>
  <x:si>
    <x:t>tomoya.okada@city-school-sample.test</x:t>
  </x:si>
  <x:si>
    <x:t>西新宿7-8-11 美笠ビル</x:t>
  </x:si>
  <x:si>
    <x:t>602</x:t>
  </x:si>
  <x:si>
    <x:t>新宿区</x:t>
  </x:si>
  <x:si>
    <x:t>1600023</x:t>
  </x:si>
  <x:si>
    <x:t>JC000013</x:t>
  </x:si>
  <x:si>
    <x:t>表参道コスメティクス株式会社</x:t>
  </x:si>
  <x:si>
    <x:t>オモテサンドウコスメティクスカブシキガイシャ</x:t>
  </x:si>
  <x:si>
    <x:t>小松 玲奈</x:t>
  </x:si>
  <x:si>
    <x:t>03-6427-8901</x:t>
  </x:si>
  <x:si>
    <x:t>rena.komatsu@omotesando-cosmetics-sample.test</x:t>
  </x:si>
  <x:si>
    <x:t>北青山3-6-7 青山パラシオタワー</x:t>
  </x:si>
  <x:si>
    <x:t>11F</x:t>
  </x:si>
  <x:si>
    <x:t>1070061</x:t>
  </x:si>
  <x:si>
    <x:t>JC000014</x:t>
  </x:si>
  <x:si>
    <x:t>株式会社ブックラウンジ</x:t>
  </x:si>
  <x:si>
    <x:t>カブシキガイシャブックラウンジ</x:t>
  </x:si>
  <x:si>
    <x:t>西村 颯太</x:t>
  </x:si>
  <x:si>
    <x:t>03-3980-3358</x:t>
  </x:si>
  <x:si>
    <x:t>sota.nishimura@book-lounge-sample.test</x:t>
  </x:si>
  <x:si>
    <x:t>南池袋1-16-15 ダイヤゲート池袋</x:t>
  </x:si>
  <x:si>
    <x:t>704</x:t>
  </x:si>
  <x:si>
    <x:t>豊島区</x:t>
  </x:si>
  <x:si>
    <x:t>1710022</x:t>
  </x:si>
  <x:si>
    <x:t>JC000015</x:t>
  </x:si>
  <x:si>
    <x:t>株式会社キッズプラス</x:t>
  </x:si>
  <x:si>
    <x:t>カブシキガイシャキッズプラス</x:t>
  </x:si>
  <x:si>
    <x:t>松井 優子</x:t>
  </x:si>
  <x:si>
    <x:t>03-3700-9188</x:t>
  </x:si>
  <x:si>
    <x:t>yuko.matsui@kids-plus-sample.test</x:t>
  </x:si>
  <x:si>
    <x:t>玉川3-17-1 玉川高島屋S・C</x:t>
  </x:si>
  <x:si>
    <x:t>本館4F</x:t>
  </x:si>
  <x:si>
    <x:t>1580094</x:t>
  </x:si>
  <x:si>
    <x:t>JC000016</x:t>
  </x:si>
  <x:si>
    <x:t>株式会社ローカルニュース東京</x:t>
  </x:si>
  <x:si>
    <x:t>カブシキガイシャローカルニューストウキョウ</x:t>
  </x:si>
  <x:si>
    <x:t>近藤 弘樹</x:t>
  </x:si>
  <x:si>
    <x:t>03-6268-4703</x:t>
  </x:si>
  <x:si>
    <x:t>hiroki.kondo@local-news-tokyo-sample.test</x:t>
  </x:si>
  <x:si>
    <x:t>麹町4-5-20 KSビル</x:t>
  </x:si>
  <x:si>
    <x:t>501</x:t>
  </x:si>
  <x:si>
    <x:t>1020083</x:t>
  </x:si>
  <x:si>
    <x:t>JC000017</x:t>
  </x:si>
  <x:si>
    <x:t>株式会社モビリティリンク</x:t>
  </x:si>
  <x:si>
    <x:t>カブシキガイシャモビリティリンク</x:t>
  </x:si>
  <x:si>
    <x:t>福田 梨沙</x:t>
  </x:si>
  <x:si>
    <x:t>03-6435-7834</x:t>
  </x:si>
  <x:si>
    <x:t>risa.fukuda@mobility-link-sample.test</x:t>
  </x:si>
  <x:si>
    <x:t>芝浦3-14-18 キャナルスクエア芝浦</x:t>
  </x:si>
  <x:si>
    <x:t>2F</x:t>
  </x:si>
  <x:si>
    <x:t>1080023</x:t>
  </x:si>
  <x:si>
    <x:t>JC000018</x:t>
  </x:si>
  <x:si>
    <x:t>株式会社イーストベーカリー</x:t>
  </x:si>
  <x:si>
    <x:t>カブシキガイシャイーストベーカリー</x:t>
  </x:si>
  <x:si>
    <x:t>長谷川 洋介</x:t>
  </x:si>
  <x:si>
    <x:t>03-5600-2251</x:t>
  </x:si>
  <x:si>
    <x:t>yosuke.hasegawa@east-bakery-sample.test</x:t>
  </x:si>
  <x:si>
    <x:t>錦糸2-13-4 錦糸町レジデンス</x:t>
  </x:si>
  <x:si>
    <x:t>101</x:t>
  </x:si>
  <x:si>
    <x:t>墨田区</x:t>
  </x:si>
  <x:si>
    <x:t>1300013</x:t>
  </x:si>
  <x:si>
    <x:t>JC000019</x:t>
  </x:si>
  <x:si>
    <x:t>株式会社クラウド会計ラボ</x:t>
  </x:si>
  <x:si>
    <x:t>カブシキガイシャクラウドカイケイラボ</x:t>
  </x:si>
  <x:si>
    <x:t>前田 和也</x:t>
  </x:si>
  <x:si>
    <x:t>03-6205-7142</x:t>
  </x:si>
  <x:si>
    <x:t>kazuya.maeda@cloud-accounting-lab-sample.test</x:t>
  </x:si>
  <x:si>
    <x:t>虎ノ門1-16-6 虎ノ門RAPO-TOビル</x:t>
  </x:si>
  <x:si>
    <x:t>UCF703</x:t>
  </x:si>
  <x:si>
    <x:t>1050001</x:t>
  </x:si>
  <x:si>
    <x:t>JC000020</x:t>
  </x:si>
  <x:si>
    <x:t>株式会社ファミリーガーデン</x:t>
  </x:si>
  <x:si>
    <x:t>カブシキガイシャファミリーガーデン</x:t>
  </x:si>
  <x:si>
    <x:t>吉川 由紀</x:t>
  </x:si>
  <x:si>
    <x:t>042-728-9033</x:t>
  </x:si>
  <x:si>
    <x:t>yuki.yoshikawa@family-garden-sample.test</x:t>
  </x:si>
  <x:si>
    <x:t>原町田6-9-8 AETA町田</x:t>
  </x:si>
  <x:si>
    <x:t>5F</x:t>
  </x:si>
  <x:si>
    <x:t>町田市</x:t>
  </x:si>
  <x:si>
    <x:t>1940013</x:t>
  </x:si>
  <x:si>
    <x:t>JC000021</x:t>
  </x:si>
  <x:si>
    <x:t>株式会社ミニマルホーム</x:t>
  </x:si>
  <x:si>
    <x:t>カブシキガイシャミニマルホーム</x:t>
  </x:si>
  <x:si>
    <x:t>竹内 誠司</x:t>
  </x:si>
  <x:si>
    <x:t>03-6457-2408</x:t>
  </x:si>
  <x:si>
    <x:t>seiji.takeuchi@minimal-home-sample.test</x:t>
  </x:si>
  <x:si>
    <x:t>神楽坂3-6 神楽坂サムライ堂ビル</x:t>
  </x:si>
  <x:si>
    <x:t>302</x:t>
  </x:si>
  <x:si>
    <x:t>1620825</x:t>
  </x:si>
  <x:si>
    <x:t>JC000022</x:t>
  </x:si>
  <x:si>
    <x:t>株式会社アーバンフィット</x:t>
  </x:si>
  <x:si>
    <x:t>カブシキガイシャアーバンフィット</x:t>
  </x:si>
  <x:si>
    <x:t>大野 亜紀</x:t>
  </x:si>
  <x:si>
    <x:t>03-6908-3325</x:t>
  </x:si>
  <x:si>
    <x:t>aki.ohno@urban-fit-sample.test</x:t>
  </x:si>
  <x:si>
    <x:t>高田馬場2-14-2 新陽ビル</x:t>
  </x:si>
  <x:si>
    <x:t>1001</x:t>
  </x:si>
  <x:si>
    <x:t>1690075</x:t>
  </x:si>
  <x:si>
    <x:t>JC000023</x:t>
  </x:si>
  <x:si>
    <x:t>株式会社ナチュラルスキン</x:t>
  </x:si>
  <x:si>
    <x:t>カブシキガイシャナチュラルスキン</x:t>
  </x:si>
  <x:si>
    <x:t>河合 典子</x:t>
  </x:si>
  <x:si>
    <x:t>03-6804-1207</x:t>
  </x:si>
  <x:si>
    <x:t>noriko.kawai@natural-skin-sample.test</x:t>
  </x:si>
  <x:si>
    <x:t>自由が丘1-8-18 自由が丘ノーブル</x:t>
  </x:si>
  <x:si>
    <x:t>406</x:t>
  </x:si>
  <x:si>
    <x:t>目黒区</x:t>
  </x:si>
  <x:si>
    <x:t>1520035</x:t>
  </x:si>
  <x:si>
    <x:t>JC000024</x:t>
  </x:si>
  <x:si>
    <x:t>株式会社東京イベントワークス</x:t>
  </x:si>
  <x:si>
    <x:t>カブシキガイシャトウキョウイベントワークス</x:t>
  </x:si>
  <x:si>
    <x:t>杉山 啓太</x:t>
  </x:si>
  <x:si>
    <x:t>03-5321-4560</x:t>
  </x:si>
  <x:si>
    <x:t>keita.sugiyama@tokyo-event-works-sample.test</x:t>
  </x:si>
  <x:si>
    <x:t>西新宿2-6-1 新宿住友ビル</x:t>
  </x:si>
  <x:si>
    <x:t>18F</x:t>
  </x:si>
  <x:si>
    <x:t>1630218</x:t>
  </x:si>
  <x:si>
    <x:t>JC000025</x:t>
  </x:si>
  <x:si>
    <x:t>株式会社スマートリユース</x:t>
  </x:si>
  <x:si>
    <x:t>カブシキガイシャスマートリユース</x:t>
  </x:si>
  <x:si>
    <x:t>内田 香織</x:t>
  </x:si>
  <x:si>
    <x:t>03-5298-7713</x:t>
  </x:si>
  <x:si>
    <x:t>kaori.uchida@smart-reuse-sample.test</x:t>
  </x:si>
  <x:si>
    <x:t>外神田4-14-1 秋葉原UDX</x:t>
  </x:si>
  <x:si>
    <x:t>1010021</x:t>
  </x:si>
  <x:si>
    <x:t>JC000026</x:t>
  </x:si>
  <x:si>
    <x:t>株式会社ワークスタイル研究所</x:t>
  </x:si>
  <x:si>
    <x:t>カブシキガイシャワークスタイルケンキュウジョ</x:t>
  </x:si>
  <x:si>
    <x:t>村上 智子</x:t>
  </x:si>
  <x:si>
    <x:t>03-6868-9012</x:t>
  </x:si>
  <x:si>
    <x:t>tomoko.murakami@workstyle-lab-sample.test</x:t>
  </x:si>
  <x:si>
    <x:t>大手町1-6-1 大手町ビル</x:t>
  </x:si>
  <x:si>
    <x:t>3F</x:t>
  </x:si>
  <x:si>
    <x:t>1000004</x:t>
  </x:si>
  <x:si>
    <x:t>JC000027</x:t>
  </x:si>
  <x:si>
    <x:t>株式会社レトロゲームス</x:t>
  </x:si>
  <x:si>
    <x:t>カブシキガイシャレトロゲームス</x:t>
  </x:si>
  <x:si>
    <x:t>北村 修</x:t>
  </x:si>
  <x:si>
    <x:t>03-5817-5570</x:t>
  </x:si>
  <x:si>
    <x:t>osamu.kitamura@retro-games-sample.test</x:t>
  </x:si>
  <x:si>
    <x:t>上野3-24-6 上野フロンティアタワー</x:t>
  </x:si>
  <x:si>
    <x:t>7F</x:t>
  </x:si>
  <x:si>
    <x:t>1100005</x:t>
  </x:si>
  <x:si>
    <x:t>JC000028</x:t>
  </x:si>
  <x:si>
    <x:t>株式会社ソーシャルカフェ</x:t>
  </x:si>
  <x:si>
    <x:t>カブシキガイシャソーシャルカフェ</x:t>
  </x:si>
  <x:si>
    <x:t>遠藤 愛</x:t>
  </x:si>
  <x:si>
    <x:t>03-6452-6731</x:t>
  </x:si>
  <x:si>
    <x:t>ai.endo@social-cafe-sample.test</x:t>
  </x:si>
  <x:si>
    <x:t>代官山町20-23 フォレストゲート代官山</x:t>
  </x:si>
  <x:si>
    <x:t>1500034</x:t>
  </x:si>
  <x:si>
    <x:t>JC000029</x:t>
  </x:si>
  <x:si>
    <x:t>株式会社プラスワン不動産</x:t>
  </x:si>
  <x:si>
    <x:t>カブシキガイシャプラスワンフドウサン</x:t>
  </x:si>
  <x:si>
    <x:t>坂本 祐介</x:t>
  </x:si>
  <x:si>
    <x:t>03-5985-9904</x:t>
  </x:si>
  <x:si>
    <x:t>yusuke.sakamoto@plusone-realty-sample.test</x:t>
  </x:si>
  <x:si>
    <x:t>東池袋1-18-1 Hareza Tower</x:t>
  </x:si>
  <x:si>
    <x:t>10F</x:t>
  </x:si>
  <x:si>
    <x:t>1700013</x:t>
  </x:si>
  <x:si>
    <x:t>JC000030</x:t>
  </x:si>
  <x:si>
    <x:t>株式会社ライトアップジャパン</x:t>
  </x:si>
  <x:si>
    <x:t>カブシキガイシャライトアップジャパン</x:t>
  </x:si>
  <x:si>
    <x:t>宮本 佳奈</x:t>
  </x:si>
  <x:si>
    <x:t>03-6459-2346</x:t>
  </x:si>
  <x:si>
    <x:t>kana.miyamoto@lightup-japan-sample.test</x:t>
  </x:si>
  <x:si>
    <x:t>六本木7-14-23 クロスオフィス六本木</x:t>
  </x:si>
  <x:si>
    <x:t>508</x:t>
  </x:si>
  <x:si>
    <x:t>1060032</x:t>
  </x:si>
  <x:si>
    <x:r>
      <x:rPr>
        <x:vertAlign val="baseline"/>
        <x:sz val="11"/>
        <x:color rgb="FF000000"/>
        <x:rFont val="Calibri"/>
        <x:family val="2"/>
      </x:rPr>
      <x:t>テーブル名</x:t>
    </x:r>
  </x:si>
  <x:si>
    <x:t>sales.services</x:t>
  </x:si>
  <x:si>
    <x:r>
      <x:rPr>
        <x:vertAlign val="baseline"/>
        <x:sz val="11"/>
        <x:color rgb="FF000000"/>
        <x:rFont val="Calibri"/>
        <x:family val="2"/>
      </x:rPr>
      <x:t>論理名</x:t>
    </x:r>
  </x:si>
  <x:si>
    <x:r>
      <x:rPr>
        <x:vertAlign val="baseline"/>
        <x:sz val="11"/>
        <x:color rgb="FF000000"/>
        <x:rFont val="Calibri"/>
        <x:family val="2"/>
      </x:rPr>
      <x:t>サービスマスター（広告種別・料金定義）</x:t>
    </x:r>
  </x:si>
  <x:si>
    <x:r>
      <x:rPr>
        <x:vertAlign val="baseline"/>
        <x:sz val="11"/>
        <x:color rgb="FF000000"/>
        <x:rFont val="Calibri"/>
        <x:family val="2"/>
      </x:rPr>
      <x:t>項目名</x:t>
    </x:r>
  </x:si>
  <x:si>
    <x:r>
      <x:rPr>
        <x:vertAlign val="baseline"/>
        <x:sz val="11"/>
        <x:color rgb="FF000000"/>
        <x:rFont val="Calibri"/>
        <x:family val="2"/>
      </x:rPr>
      <x:t>処理結果</x:t>
    </x:r>
  </x:si>
  <x:si>
    <x:t>service_id</x:t>
  </x:si>
  <x:si>
    <x:t>service_name</x:t>
  </x:si>
  <x:si>
    <x:t>ad_type</x:t>
  </x:si>
  <x:si>
    <x:t>banner_size</x:t>
  </x:si>
  <x:si>
    <x:t>html_embed_available</x:t>
  </x:si>
  <x:si>
    <x:t>js_embed_available</x:t>
  </x:si>
  <x:si>
    <x:t>video_duration_sec</x:t>
  </x:si>
  <x:si>
    <x:t>price_weekly</x:t>
  </x:si>
  <x:si>
    <x:t>price_monthly</x:t>
  </x:si>
  <x:si>
    <x:t>currency_code</x:t>
  </x:si>
  <x:si>
    <x:r>
      <x:rPr>
        <x:vertAlign val="baseline"/>
        <x:sz val="11"/>
        <x:color rgb="FF000000"/>
        <x:rFont val="Calibri"/>
        <x:family val="2"/>
      </x:rPr>
      <x:t>処理成否</x:t>
    </x:r>
  </x:si>
  <x:si>
    <x:r>
      <x:rPr>
        <x:vertAlign val="baseline"/>
        <x:sz val="11"/>
        <x:color rgb="FF000000"/>
        <x:rFont val="Calibri"/>
        <x:family val="2"/>
      </x:rPr>
      <x:t>処理失敗時メッセージ</x:t>
    </x:r>
  </x:si>
  <x:si>
    <x:r>
      <x:rPr>
        <x:vertAlign val="baseline"/>
        <x:sz val="11"/>
        <x:color rgb="FF000000"/>
        <x:rFont val="Calibri"/>
        <x:family val="2"/>
      </x:rPr>
      <x:t>項目論理名</x:t>
    </x:r>
  </x:si>
  <x:si>
    <x:r>
      <x:rPr>
        <x:vertAlign val="baseline"/>
        <x:sz val="11"/>
        <x:color rgb="FF000000"/>
        <x:rFont val="Calibri"/>
        <x:family val="2"/>
      </x:rPr>
      <x:t>サービスID</x:t>
    </x:r>
  </x:si>
  <x:si>
    <x:r>
      <x:rPr>
        <x:vertAlign val="baseline"/>
        <x:sz val="11"/>
        <x:color rgb="FF000000"/>
        <x:rFont val="Calibri"/>
        <x:family val="2"/>
      </x:rPr>
      <x:t>サービス名</x:t>
    </x:r>
  </x:si>
  <x:si>
    <x:r>
      <x:rPr>
        <x:vertAlign val="baseline"/>
        <x:sz val="11"/>
        <x:color rgb="FF000000"/>
        <x:rFont val="Calibri"/>
        <x:family val="2"/>
      </x:rPr>
      <x:t>広告種別（B=バナー広告,V=動画広告）</x:t>
    </x:r>
  </x:si>
  <x:si>
    <x:r>
      <x:rPr>
        <x:vertAlign val="baseline"/>
        <x:sz val="11"/>
        <x:color rgb="FF000000"/>
        <x:rFont val="Noto Sans JP"/>
        <x:family val="2"/>
      </x:rPr>
      <x:t>バナーサイズ（バナー広告のみ。例</x:t>
    </x:r>
    <x:r>
      <x:rPr>
        <x:vertAlign val="baseline"/>
        <x:sz val="11"/>
        <x:color rgb="FF000000"/>
        <x:rFont val="Calibri"/>
        <x:family val="2"/>
      </x:rPr>
      <x:t>:468x60,728x90,300x250</x:t>
    </x:r>
    <x:r>
      <x:rPr>
        <x:vertAlign val="baseline"/>
        <x:sz val="11"/>
        <x:color rgb="FF000000"/>
        <x:rFont val="Noto Sans JP"/>
        <x:family val="2"/>
      </x:rPr>
      <x:t>）</x:t>
    </x:r>
    <x:phoneticPr fontId="0"/>
  </x:si>
  <x:si>
    <x:r>
      <x:rPr>
        <x:vertAlign val="baseline"/>
        <x:sz val="11"/>
        <x:color rgb="FF000000"/>
        <x:rFont val="Calibri"/>
        <x:family val="2"/>
      </x:rPr>
      <x:t>HTML</x:t>
    </x:r>
    <x:r>
      <x:rPr>
        <x:vertAlign val="baseline"/>
        <x:sz val="11"/>
        <x:color rgb="FF000000"/>
        <x:rFont val="Calibri"/>
        <x:family val="2"/>
      </x:rPr>
      <x:t>埋め込み可否（バナー広告のみ）</x:t>
    </x:r>
  </x:si>
  <x:si>
    <x:r>
      <x:rPr>
        <x:vertAlign val="baseline"/>
        <x:sz val="11"/>
        <x:color rgb="FF000000"/>
        <x:rFont val="Calibri"/>
        <x:family val="2"/>
      </x:rPr>
      <x:t>JavaScript</x:t>
    </x:r>
    <x:r>
      <x:rPr>
        <x:vertAlign val="baseline"/>
        <x:sz val="11"/>
        <x:color rgb="FF000000"/>
        <x:rFont val="Calibri"/>
        <x:family val="2"/>
      </x:rPr>
      <x:t>埋め込み可否（バナー広告のみ）</x:t>
    </x:r>
  </x:si>
  <x:si>
    <x:r>
      <x:rPr>
        <x:vertAlign val="baseline"/>
        <x:sz val="11"/>
        <x:color rgb="FF000000"/>
        <x:rFont val="Calibri"/>
        <x:family val="2"/>
      </x:rPr>
      <x:t>動画表示時間（秒）（動画広告のみ）</x:t>
    </x:r>
  </x:si>
  <x:si>
    <x:r>
      <x:rPr>
        <x:vertAlign val="baseline"/>
        <x:sz val="11"/>
        <x:color rgb="FF000000"/>
        <x:rFont val="Calibri"/>
        <x:family val="2"/>
      </x:rPr>
      <x:t>週単位料金（税抜）</x:t>
    </x:r>
  </x:si>
  <x:si>
    <x:r>
      <x:rPr>
        <x:vertAlign val="baseline"/>
        <x:sz val="11"/>
        <x:color rgb="FF000000"/>
        <x:rFont val="Calibri"/>
        <x:family val="2"/>
      </x:rPr>
      <x:t>月単位料金（税抜）</x:t>
    </x:r>
  </x:si>
  <x:si>
    <x:r>
      <x:rPr>
        <x:vertAlign val="baseline"/>
        <x:sz val="11"/>
        <x:color rgb="FF000000"/>
        <x:rFont val="Calibri"/>
        <x:family val="2"/>
      </x:rPr>
      <x:t>料金通貨コード（ISO 4217）</x:t>
    </x:r>
  </x:si>
  <x:si>
    <x:r>
      <x:rPr>
        <x:vertAlign val="baseline"/>
        <x:sz val="11"/>
        <x:color rgb="FF000000"/>
        <x:rFont val="Calibri"/>
        <x:family val="2"/>
      </x:rPr>
      <x:t>有効フラグ</x:t>
    </x:r>
  </x:si>
  <x:si>
    <x:r>
      <x:rPr>
        <x:vertAlign val="baseline"/>
        <x:sz val="11"/>
        <x:color rgb="FF000000"/>
        <x:rFont val="Calibri"/>
        <x:family val="2"/>
      </x:rPr>
      <x:t>作成日時</x:t>
    </x:r>
  </x:si>
  <x:si>
    <x:r>
      <x:rPr>
        <x:vertAlign val="baseline"/>
        <x:sz val="11"/>
        <x:color rgb="FF000000"/>
        <x:rFont val="Calibri"/>
        <x:family val="2"/>
      </x:rPr>
      <x:t>作成者ID</x:t>
    </x:r>
  </x:si>
  <x:si>
    <x:r>
      <x:rPr>
        <x:vertAlign val="baseline"/>
        <x:sz val="11"/>
        <x:color rgb="FF000000"/>
        <x:rFont val="Calibri"/>
        <x:family val="2"/>
      </x:rPr>
      <x:t>更新日時</x:t>
    </x:r>
  </x:si>
  <x:si>
    <x:r>
      <x:rPr>
        <x:vertAlign val="baseline"/>
        <x:sz val="11"/>
        <x:color rgb="FF000000"/>
        <x:rFont val="Calibri"/>
        <x:family val="2"/>
      </x:rPr>
      <x:t>更新者ID</x:t>
    </x:r>
  </x:si>
  <x:si>
    <x:r>
      <x:rPr>
        <x:vertAlign val="baseline"/>
        <x:sz val="11"/>
        <x:color rgb="FF000000"/>
        <x:rFont val="Calibri"/>
        <x:family val="2"/>
      </x:rPr>
      <x:t>データ型</x:t>
    </x:r>
  </x:si>
  <x:si>
    <x:t>Char(1)</x:t>
  </x:si>
  <x:si>
    <x:t>Int</x:t>
  </x:si>
  <x:si>
    <x:t>Decimal(15,2)</x:t>
  </x:si>
  <x:si>
    <x:t>Char(3)</x:t>
  </x:si>
  <x:si>
    <x:r>
      <x:rPr>
        <x:vertAlign val="baseline"/>
        <x:sz val="11"/>
        <x:color rgb="FF000000"/>
        <x:rFont val="Calibri"/>
        <x:family val="2"/>
      </x:rPr>
      <x:t>項目属性</x:t>
    </x:r>
  </x:si>
  <x:si>
    <x:r>
      <x:rPr>
        <x:vertAlign val="baseline"/>
        <x:sz val="11"/>
        <x:color rgb="FF000000"/>
        <x:rFont val="Calibri"/>
        <x:family val="2"/>
      </x:rPr>
      <x:t>入力対象</x:t>
    </x:r>
  </x:si>
  <x:si>
    <x:r>
      <x:rPr>
        <x:vertAlign val="baseline"/>
        <x:sz val="11"/>
        <x:color rgb="FF000000"/>
        <x:rFont val="Calibri"/>
        <x:family val="2"/>
      </x:rPr>
      <x:t>BNR0001</x:t>
    </x:r>
    <x:phoneticPr fontId="0"/>
  </x:si>
  <x:si>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</x:si>
  <x:si>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</x:si>
  <x:si>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</x:si>
  <x:si>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</x:si>
  <x:si>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Calibri"/>
        <x:family val="2"/>
      </x:rPr>
      <x:t>BNR0002</x:t>
    </x:r>
    <x:phoneticPr fontId="0"/>
  </x:si>
  <x:si>
    <x:r>
      <x:rPr>
        <x:vertAlign val="baseline"/>
        <x:sz val="11"/>
        <x:color rgb="FF000000"/>
        <x:rFont val="Calibri"/>
        <x:family val="2"/>
      </x:rPr>
      <x:t>S</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</x:si>
  <x:si>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</x:si>
  <x:si>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</x:si>
  <x:si>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</x:si>
  <x:si>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</x:si>
  <x:si>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</x:si>
  <x:si>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</x:si>
  <x:si>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</x:si>
  <x:si>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</x:si>
  <x:si>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</x:si>
  <x:si>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</x:si>
  <x:si>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</x:si>
  <x:si>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</x:si>
  <x:si>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</x:si>
  <x:si>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</x:si>
  <x:si>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</x:si>
  <x:si>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</x:si>
  <x:si>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</x:si>
  <x:si>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</x:si>
  <x:si>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</x:si>
  <x:si>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</x:si>
  <x:si>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</x:si>
  <x:si>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</x:si>
  <x:si>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DSG0001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</x:si>
  <x:si>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</x:si>
  <x:si>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</x:si>
  <x:si>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</x:si>
  <x:si>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</x:si>
  <x:si>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</x:si>
  <x:si>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</x:si>
  <x:si>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</x:si>
  <x:si>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</x:si>
  <x:si>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</x:si>
  <x:si>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</x:si>
  <x:si>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</x:si>
  <x:si>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</x:si>
  <x:si>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</x:si>
  <x:si>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</x:si>
  <x:si>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</x:si>
  <x:si>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</x:si>
  <x:si>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</x:si>
  <x:si>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</x:si>
  <x:si>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</x:si>
  <x:si>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</x:si>
  <x:si>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</x:si>
  <x:si>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</x:si>
  <x:si>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</x:si>
  <x:si>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</x:si>
  <x:si>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</x:si>
  <x:si>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</x:si>
  <x:si>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</x:si>
  <x:si>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Calibri"/>
        <x:family val="2"/>
      </x:rPr>
      <x:t>V</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</x:si>
  <x:si>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</x:si>
  <x:si>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VID0002</x:t>
    </x:r>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</x:si>
  <x:si>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</x:si>
  <x:si>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</x:si>
  <x:si>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</x:si>
  <x:si>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</x:si>
  <x:si>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</x:si>
  <x:si>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</x:si>
  <x:si>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VID0013</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</x:si>
  <x:si>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</x:si>
  <x:si>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</x:si>
  <x:si>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</x:si>
  <x:si>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category_name</x:t>
  </x:si>
  <x:si>
    <x:t>[INSERT] データ取り込み成功 処理件数：22件</x:t>
  </x:si>
  <x:si>
    <x:r>
      <x:rPr>
        <x:vertAlign val="baseline"/>
        <x:sz val="11"/>
        <x:color rgb="FF000000"/>
        <x:rFont val="Calibri"/>
        <x:family val="2"/>
      </x:rPr>
      <x:t>category_code</x:t>
    </x:r>
    <x:phoneticPr fontId="0"/>
  </x:si>
  <x:si>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</x:si>
  <x:si>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</x:si>
  <x:si>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</x:si>
  <x:si>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</x:si>
  <x:si>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</x:si>
  <x:si>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</x:si>
  <x:si>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</x:si>
  <x:si>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</x:si>
  <x:si>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Calibri"/>
        <x:family val="2"/>
      </x:rPr>
      <x:t>sys_admin</x:t>
    </x:r>
    <x:phoneticPr fontId="0"/>
  </x:si>
  <x:si>
    <x:r>
      <x:rPr>
        <x:vertAlign val="baseline"/>
        <x:sz val="11"/>
        <x:color rgb="FF000000"/>
        <x:rFont val="ＭＳ ゴシック"/>
        <x:family val="3"/>
      </x:rPr>
      <x:t>バナー広告</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</x:si>
  <x:si>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</x:si>
  <x:si>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游ゴシック"/>
        <x:family val="2"/>
      </x:rPr>
      <x:t>スポット広告</x:t>
    </x:r>
    <x:rPh sb="4" eb="6">
      <x:t>コウコク</x:t>
    </x:rPh>
    <x:phoneticPr fontId="0"/>
  </x:si>
  <x:si>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</x:si>
  <x:si>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t>sys_admin</x:t>
  </x:si>
  <x:si>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</x:si>
  <x:si>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</x:si>
  <x:si>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Calibri"/>
        <x:family val="2"/>
      </x:rPr>
      <x:t>html_embed_available</x:t>
    </x:r>
    <x:phoneticPr fontId="0"/>
  </x:si>
  <x:si>
    <x:r>
      <x:rPr>
        <x:vertAlign val="baseline"/>
        <x:sz val="11"/>
        <x:color rgb="FF000000"/>
        <x:rFont val="游ゴシック"/>
        <x:family val="2"/>
      </x:rPr>
      <x:t>動画広告</x:t>
    </x:r>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</x:si>
  <x:si>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</x:si>
  <x:si>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Calibri"/>
        <x:family val="2"/>
      </x:rPr>
      <x:t>1</x:t>
    </x:r>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</x:si>
  <x:si>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</x:si>
  <x:si>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</x:si>
  <x:si>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</x:si>
  <x:si>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</x:si>
  <x:si>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</x:si>
  <x:si>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</x:si>
  <x:si>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</x:si>
  <x:si>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</x:si>
  <x:si>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</x:si>
  <x:si>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t>1</x:t>
  </x:si>
  <x:si>
    <x:t>0</x:t>
  </x:si>
  <x:si>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</x:si>
  <x:si>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</x:si>
  <x:si>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</x:si>
  <x:si>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</x:si>
  <x:si>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</x:si>
  <x:si>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</x:si>
  <x:si>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</x:si>
  <x:si>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</x:si>
  <x:si>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</x:si>
  <x:si>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Calibri"/>
        <x:family val="2"/>
      </x:rPr>
      <x:t>status</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</x:si>
  <x:si>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</x:si>
  <x:si>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</x:si>
  <x:si>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</x:si>
  <x:si>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</x:si>
  <x:si>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</x:si>
  <x:si>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</x:si>
  <x:si>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</x:si>
  <x:si>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</x:si>
  <x:si>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</x:si>
  <x:si>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</x:si>
  <x:si>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</x:si>
  <x:si>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</x:si>
  <x:si>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</x:si>
  <x:si>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</x:si>
  <x:si>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</x:si>
  <x:si>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</x:si>
  <x:si>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</x:si>
  <x:si>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6</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</x:si>
  <x:si>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</x:si>
  <x:si>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</x:si>
  <x:si>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</x:si>
  <x:si>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契約が終了した。</x:t>
    </x:r>
    <x:phoneticPr fontId="0"/>
  </x:si>
  <x:si>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</x:si>
  <x:si>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8</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</x:si>
  <x:si>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</x:si>
  <x:si>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</x:si>
  <x:si>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</x:si>
  <x:si>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請求書が発行された。</x:t>
    </x:r>
    <x:rPh sb="0" eb="3">
      <x:t>セイキュウショ</x:t>
    </x:rPh>
    <x:rPh sb="4" eb="6">
      <x:t>ハッコウ</x:t>
    </x:rPh>
    <x:phoneticPr fontId="0"/>
  </x:si>
</x:sst>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16">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charset val="128"/>
    </x:font>
    <x:font>
      <x:sz val="11"/>
      <x:color rgb="FF000000"/>
      <x:name val="Calibri"/>
      <x:family val="2"/>
      <x:charset val="128"/>
    </x:font>
    <x:font>
      <x:sz val="11"/>
      <x:name val="MS Gothic"/>
      <x:family val="3"/>
    </x:font>
    <x:font>
      <x:b/>
      <x:sz val="11"/>
      <x:color rgb="FF0000FF"/>
      <x:name val="Calibri"/>
      <x:family val="2"/>
    </x:font>
    <x:font>
      <x:sz val="11"/>
      <x:color rgb="FF000000"/>
      <x:name val="Noto Sans JP"/>
      <x:family val="2"/>
    </x:font>
    <x:font>
      <x:sz val="11"/>
      <x:color rgb="FF000000"/>
      <x:name val="ＭＳ ゴシック"/>
      <x:family val="2"/>
    </x:font>
    <x:font>
      <x:sz val="11"/>
      <x:color rgb="FF000000"/>
      <x:name val="ＭＳ ゴシック"/>
      <x:family val="3"/>
    </x:font>
    <x:font>
      <x:sz val="11"/>
      <x:color rgb="FF000000"/>
      <x:name val="游ゴシック"/>
      <x:family val="2"/>
    </x:font>
    <x:font>
      <x:b/>
      <x:sz val="11"/>
      <x:color rgb="FFFF0000"/>
      <x:name val="Calibri"/>
      <x:family val="2"/>
    </x:font>
    <x:font>
      <x:sz val="11"/>
      <x:color rgb="FF000000"/>
      <x:name val="ＭＳ Ｐゴシック"/>
      <x:family val="3"/>
    </x:font>
    <x:font>
      <x:b/>
      <x:sz val="11"/>
      <x:color rgb="FFFF0000"/>
      <x:name val="ＭＳ ゴシック"/>
      <x:family val="3"/>
      <x:charset val="128"/>
    </x:font>
    <x:font>
      <x:b/>
      <x:sz val="11"/>
      <x:color rgb="FFFF0000"/>
      <x:name val="Calibri"/>
      <x:family val="3"/>
      <x:charset val="128"/>
    </x:font>
    <x:font>
      <x:b/>
      <x:vertAlign val="baseline"/>
      <x:sz val="11"/>
      <x:color rgb="FF0000FF"/>
      <x:name val="Calibri"/>
      <x:family val="3"/>
      <x:charset val="128"/>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2">
    <x:border>
      <x:left/>
      <x:right/>
      <x:top/>
      <x:bottom/>
      <x:diagonal/>
    </x:border>
    <x:border>
      <x:left/>
      <x:right style="thin">
        <x:color rgb="FFD9D9D9"/>
      </x:right>
      <x:top/>
      <x:bottom style="thin">
        <x:color rgb="FFD9D9D9"/>
      </x:bottom>
      <x:diagonal/>
    </x:border>
  </x:borders>
  <x:cellStyleXfs count="31">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6"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6" fillId="0" borderId="0" applyNumberFormat="1" applyFill="1" applyBorder="0" applyAlignment="1" applyProtection="1">
      <x:protection locked="0" hidden="0"/>
    </x:xf>
    <x:xf numFmtId="49"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1" fontId="0" fillId="0" borderId="0" applyNumberFormat="1" applyFill="1"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49" fontId="15" fillId="0" borderId="0" applyNumberFormat="1" applyFill="1" applyBorder="0" applyAlignment="1" applyProtection="1">
      <x:protection locked="0"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49" fontId="4" fillId="0" borderId="0" applyNumberFormat="1" applyFill="1" applyBorder="0" applyAlignment="1" applyProtection="1">
      <x:protection locked="0" hidden="0"/>
    </x:xf>
    <x:xf numFmtId="0" fontId="0" fillId="0" borderId="1" applyNumberFormat="1" applyFill="1" applyBorder="1" applyAlignment="1" applyProtection="1">
      <x:protection locked="0" hidden="0"/>
    </x:xf>
    <x:xf numFmtId="0" fontId="5" fillId="0" borderId="1" applyNumberFormat="1" applyFill="1" applyBorder="1" applyAlignment="1" applyProtection="1">
      <x:protection locked="0" hidden="0"/>
    </x:xf>
  </x:cellStyleXfs>
  <x:cellXfs count="59">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49" fontId="4" fillId="0" borderId="0" xfId="0" applyNumberFormat="1" applyFont="1" applyAlignment="1" applyProtection="1">
      <x:alignment vertical="top" wrapText="1"/>
      <x:protection locked="0"/>
    </x:xf>
    <x:xf numFmtId="0" fontId="5" fillId="0" borderId="1" xfId="0" applyFont="1" applyBorder="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2" fontId="0" fillId="0" borderId="0" xfId="0" applyNumberFormat="1" applyAlignment="1" applyProtection="1">
      <x:alignment vertical="top"/>
      <x:protection locked="0"/>
    </x:xf>
    <x:xf numFmtId="1" fontId="0" fillId="0" borderId="0" xfId="0" applyNumberFormat="1" applyAlignment="1" applyProtection="1">
      <x:alignment vertical="top"/>
      <x:protection locked="0"/>
    </x:xf>
    <x:xf numFmtId="49" fontId="3" fillId="0" borderId="0" xfId="0" applyNumberFormat="1" applyFont="1" applyAlignment="1" applyProtection="1">
      <x:alignment vertical="top" wrapText="1"/>
      <x:protection locked="0"/>
    </x:xf>
    <x:xf numFmtId="49" fontId="6" fillId="0" borderId="0" xfId="0" applyNumberFormat="1" applyFont="1" applyAlignment="1" applyProtection="1">
      <x:alignment vertical="top"/>
      <x:protection locked="0"/>
    </x:xf>
    <x:xf numFmtId="0" fontId="6" fillId="0" borderId="0" xfId="0" applyFont="1" applyAlignment="1" applyProtection="1">
      <x:alignment vertical="top"/>
      <x:protection locked="0"/>
    </x:xf>
    <x:xf numFmtId="49" fontId="6" fillId="0" borderId="0" xfId="0" applyNumberFormat="1" applyFont="1" applyAlignment="1" applyProtection="1">
      <x:alignment vertical="top" wrapText="1"/>
      <x:protection locked="0"/>
    </x:xf>
    <x:xf numFmtId="0" fontId="0" fillId="0" borderId="1" xfId="0" applyBorder="1" applyAlignment="1" applyProtection="1">
      <x:alignment vertical="top"/>
      <x:protection locked="0"/>
    </x:xf>
    <x:xf numFmtId="49" fontId="14" fillId="0" borderId="0" xfId="0" applyNumberFormat="1" applyFont="1" applyAlignment="1" applyProtection="1">
      <x:alignment vertical="top" wrapText="1"/>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49" fontId="15" fillId="0" borderId="0" xfId="0" applyNumberFormat="1" applyFill="1" applyBorder="0" applyAlignment="1" applyProtection="1">
      <x:alignment horizontal="general" vertical="top" textRotation="0" wrapText="1"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17"/>
  <x:sheetViews>
    <x:sheetView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bestFit="1" customWidth="1"/>
    <x:col min="3" max="3" width="15.726562" style="2" bestFit="1" customWidth="1"/>
    <x:col min="4" max="4" width="14.542969" style="2" bestFit="1" customWidth="1"/>
    <x:col min="5" max="5" width="19.179688" style="3" bestFit="1" customWidth="1"/>
    <x:col min="6" max="6" width="16.726562" style="2" bestFit="1" customWidth="1"/>
    <x:col min="7" max="7" width="19.179688" style="3" bestFit="1" customWidth="1"/>
    <x:col min="8" max="8" width="16.726562" style="2" bestFit="1" customWidth="1"/>
    <x:col min="9" max="9" width="10.726562" style="1" customWidth="1"/>
    <x:col min="10" max="10" width="48.726562" style="1" customWidth="1"/>
    <x:col min="11" max="16384" width="9.179688" style="1" customWidth="1"/>
  </x:cols>
  <x:sheetData>
    <x:row r="1" spans="1:10" s="4" customFormat="1">
      <x:c r="A1" s="38" t="s">
        <x:v>0</x:v>
      </x:c>
      <x:c r="B1" s="39" t="s">
        <x:v>1</x:v>
      </x:c>
      <x:c r="C1" s="40" t="s">
        <x:v>2</x:v>
      </x:c>
      <x:c r="D1" s="39" t="s">
        <x:v>3</x:v>
      </x:c>
      <x:c r="E1" s="40" t="s">
        <x:v>4</x:v>
      </x:c>
      <x:c r="F1" s="39" t="s">
        <x:v>5</x:v>
      </x:c>
      <x:c r="G1" s="8"/>
      <x:c r="H1" s="9"/>
    </x:row>
    <x:row r="2" spans="1:10" ht="29" customHeight="1" s="4" customFormat="1">
      <x:c r="A2" s="38" t="s">
        <x:v>6</x:v>
      </x:c>
      <x:c r="B2" s="35" t="s">
        <x:v>7</x:v>
      </x:c>
      <x:c r="C2" s="9"/>
      <x:c r="D2" s="9"/>
      <x:c r="E2" s="8"/>
      <x:c r="F2" s="9"/>
      <x:c r="G2" s="8"/>
      <x:c r="H2" s="9"/>
    </x:row>
    <x:row r="3" spans="1:10" s="4" customFormat="1">
      <x:c r="A3" s="41" t="s">
        <x:v>8</x:v>
      </x:c>
      <x:c r="B3" s="42" t="s">
        <x:v>9</x:v>
      </x:c>
      <x:c r="C3" s="43" t="s">
        <x:v>10</x:v>
      </x:c>
      <x:c r="D3" s="43" t="s">
        <x:v>11</x:v>
      </x:c>
      <x:c r="E3" s="44" t="s">
        <x:v>12</x:v>
      </x:c>
      <x:c r="F3" s="43" t="s">
        <x:v>13</x:v>
      </x:c>
      <x:c r="G3" s="44" t="s">
        <x:v>14</x:v>
      </x:c>
      <x:c r="H3" s="43" t="s">
        <x:v>15</x:v>
      </x:c>
      <x:c r="I3" s="45" t="s">
        <x:v>16</x:v>
      </x:c>
      <x:c r="J3" s="45" t="s">
        <x:v>17</x:v>
      </x:c>
    </x:row>
    <x:row r="4" spans="1:10" s="4" customFormat="1">
      <x:c r="A4" s="41" t="s">
        <x:v>18</x:v>
      </x:c>
      <x:c r="B4" s="42" t="s">
        <x:v>19</x:v>
      </x:c>
      <x:c r="C4" s="43" t="s">
        <x:v>20</x:v>
      </x:c>
      <x:c r="D4" s="43" t="s">
        <x:v>21</x:v>
      </x:c>
      <x:c r="E4" s="46" t="s">
        <x:v>22</x:v>
      </x:c>
      <x:c r="F4" s="43" t="s">
        <x:v>23</x:v>
      </x:c>
      <x:c r="G4" s="46" t="s">
        <x:v>24</x:v>
      </x:c>
      <x:c r="H4" s="43" t="s">
        <x:v>25</x:v>
      </x:c>
      <x:c r="I4" s="47"/>
      <x:c r="J4" s="47"/>
    </x:row>
    <x:row r="5" spans="1:10" s="4" customFormat="1">
      <x:c r="A5" s="41" t="s">
        <x:v>26</x:v>
      </x:c>
      <x:c r="B5" s="42" t="s">
        <x:v>27</x:v>
      </x:c>
      <x:c r="C5" s="43" t="s">
        <x:v>28</x:v>
      </x:c>
      <x:c r="D5" s="43" t="s">
        <x:v>27</x:v>
      </x:c>
      <x:c r="E5" s="44" t="s">
        <x:v>29</x:v>
      </x:c>
      <x:c r="F5" s="43" t="s">
        <x:v>30</x:v>
      </x:c>
      <x:c r="G5" s="44" t="s">
        <x:v>29</x:v>
      </x:c>
      <x:c r="H5" s="43" t="s">
        <x:v>30</x:v>
      </x:c>
      <x:c r="I5" s="47"/>
      <x:c r="J5" s="47"/>
    </x:row>
    <x:row r="6" spans="1:10" s="4" customFormat="1">
      <x:c r="A6" s="38" t="s">
        <x:v>31</x:v>
      </x:c>
      <x:c r="B6" s="42" t="s">
        <x:v>32</x:v>
      </x:c>
      <x:c r="C6" s="43" t="s">
        <x:v>33</x:v>
      </x:c>
      <x:c r="D6" s="43" t="s">
        <x:v>34</x:v>
      </x:c>
      <x:c r="E6" s="44" t="s">
        <x:v>35</x:v>
      </x:c>
      <x:c r="F6" s="43" t="s">
        <x:v>33</x:v>
      </x:c>
      <x:c r="G6" s="44" t="s">
        <x:v>35</x:v>
      </x:c>
      <x:c r="H6" s="43" t="s">
        <x:v>33</x:v>
      </x:c>
      <x:c r="I6" s="47"/>
      <x:c r="J6" s="47"/>
    </x:row>
    <x:row r="7" spans="1:10">
      <x:c r="A7" s="48" t="s">
        <x:v>36</x:v>
      </x:c>
      <x:c r="B7" s="49" t="s">
        <x:v>37</x:v>
      </x:c>
      <x:c r="C7" s="50" t="s">
        <x:v>37</x:v>
      </x:c>
      <x:c r="D7" s="50" t="s">
        <x:v>37</x:v>
      </x:c>
      <x:c r="E7" s="51" t="s">
        <x:v>37</x:v>
      </x:c>
      <x:c r="F7" s="50" t="s">
        <x:v>37</x:v>
      </x:c>
      <x:c r="G7" s="51" t="s">
        <x:v>37</x:v>
      </x:c>
      <x:c r="H7" s="50" t="s">
        <x:v>37</x:v>
      </x:c>
      <x:c r="I7" s="52"/>
      <x:c r="J7" s="52"/>
    </x:row>
    <x:row r="8" spans="1:10">
      <x:c r="B8" s="2" t="s">
        <x:v>38</x:v>
      </x:c>
      <x:c r="C8" s="2" t="s">
        <x:v>39</x:v>
      </x:c>
      <x:c r="D8" s="2" t="s">
        <x:v>40</x:v>
      </x:c>
      <x:c r="E8" s="3">
        <x:v>44652.375</x:v>
      </x:c>
      <x:c r="F8" s="2" t="s">
        <x:v>41</x:v>
      </x:c>
      <x:c r="G8" s="3">
        <x:v>45748.4375</x:v>
      </x:c>
      <x:c r="H8" s="2" t="s">
        <x:v>42</x:v>
      </x:c>
      <x:c r="I8" s="34" t="s">
        <x:v>43</x:v>
      </x:c>
      <x:c r="J8" s="1" t="s">
        <x:v>33</x:v>
      </x:c>
    </x:row>
    <x:row r="9" spans="1:10" ht="37" customHeight="1">
      <x:c r="B9" s="2" t="s">
        <x:v>44</x:v>
      </x:c>
      <x:c r="C9" s="32" t="s">
        <x:v>45</x:v>
      </x:c>
      <x:c r="D9" s="2" t="s">
        <x:v>38</x:v>
      </x:c>
      <x:c r="E9" s="3">
        <x:v>44655.3854166667</x:v>
      </x:c>
      <x:c r="F9" s="2" t="s">
        <x:v>42</x:v>
      </x:c>
      <x:c r="G9" s="3">
        <x:v>45820.5972222222</x:v>
      </x:c>
      <x:c r="H9" s="2" t="s">
        <x:v>46</x:v>
      </x:c>
      <x:c r="I9" s="34" t="s">
        <x:v>43</x:v>
      </x:c>
      <x:c r="J9" s="1" t="s">
        <x:v>33</x:v>
      </x:c>
    </x:row>
    <x:row r="10" spans="1:10">
      <x:c r="B10" s="2" t="s">
        <x:v>47</x:v>
      </x:c>
      <x:c r="C10" s="2" t="s">
        <x:v>48</x:v>
      </x:c>
      <x:c r="D10" s="2" t="s">
        <x:v>38</x:v>
      </x:c>
      <x:c r="E10" s="3">
        <x:v>44655.3958333333</x:v>
      </x:c>
      <x:c r="F10" s="2" t="s">
        <x:v>42</x:v>
      </x:c>
      <x:c r="G10" s="3">
        <x:v>46071.4895833333</x:v>
      </x:c>
      <x:c r="H10" s="2" t="s">
        <x:v>46</x:v>
      </x:c>
      <x:c r="I10" s="34" t="s">
        <x:v>43</x:v>
      </x:c>
      <x:c r="J10" s="1" t="s">
        <x:v>33</x:v>
      </x:c>
    </x:row>
    <x:row r="11" spans="1:10" ht="29" customHeight="1">
      <x:c r="B11" s="2" t="s">
        <x:v>50</x:v>
      </x:c>
      <x:c r="C11" s="2" t="s">
        <x:v>49</x:v>
      </x:c>
      <x:c r="D11" s="2" t="s">
        <x:v>40</x:v>
      </x:c>
      <x:c r="E11" s="3">
        <x:v>44743.4166666667</x:v>
      </x:c>
      <x:c r="F11" s="2" t="s">
        <x:v>41</x:v>
      </x:c>
      <x:c r="G11" s="3">
        <x:v>45905.6736111111</x:v>
      </x:c>
      <x:c r="H11" s="2" t="s">
        <x:v>42</x:v>
      </x:c>
      <x:c r="I11" s="34" t="s">
        <x:v>43</x:v>
      </x:c>
      <x:c r="J11" s="1" t="s">
        <x:v>33</x:v>
      </x:c>
    </x:row>
    <x:row r="12" spans="1:10" ht="29" customHeight="1">
      <x:c r="B12" s="2" t="s">
        <x:v>52</x:v>
      </x:c>
      <x:c r="C12" s="2" t="s">
        <x:v>51</x:v>
      </x:c>
      <x:c r="D12" s="2" t="s">
        <x:v>50</x:v>
      </x:c>
      <x:c r="E12" s="3">
        <x:v>44747.4305555556</x:v>
      </x:c>
      <x:c r="F12" s="2" t="s">
        <x:v>46</x:v>
      </x:c>
      <x:c r="G12" s="3">
        <x:v>46044.5694444444</x:v>
      </x:c>
      <x:c r="H12" s="2" t="s">
        <x:v>53</x:v>
      </x:c>
      <x:c r="I12" s="34" t="s">
        <x:v>43</x:v>
      </x:c>
      <x:c r="J12" s="1" t="s">
        <x:v>33</x:v>
      </x:c>
    </x:row>
    <x:row r="13" spans="1:10" ht="29" customHeight="1">
      <x:c r="B13" s="2" t="s">
        <x:v>54</x:v>
      </x:c>
      <x:c r="C13" s="2" t="s">
        <x:v>55</x:v>
      </x:c>
      <x:c r="D13" s="2" t="s">
        <x:v>50</x:v>
      </x:c>
      <x:c r="E13" s="3">
        <x:v>44936.40625</x:v>
      </x:c>
      <x:c r="F13" s="2" t="s">
        <x:v>46</x:v>
      </x:c>
      <x:c r="G13" s="3">
        <x:v>46092.6423611111</x:v>
      </x:c>
      <x:c r="H13" s="2" t="s">
        <x:v>42</x:v>
      </x:c>
      <x:c r="I13" s="34" t="s">
        <x:v>43</x:v>
      </x:c>
      <x:c r="J13" s="1" t="s">
        <x:v>33</x:v>
      </x:c>
    </x:row>
    <x:row r="14" spans="1:10">
      <x:c r="B14" s="2" t="s">
        <x:v>57</x:v>
      </x:c>
      <x:c r="C14" s="2" t="s">
        <x:v>56</x:v>
      </x:c>
      <x:c r="D14" s="2" t="s">
        <x:v>40</x:v>
      </x:c>
      <x:c r="E14" s="3">
        <x:v>44515.3680555556</x:v>
      </x:c>
      <x:c r="F14" s="2" t="s">
        <x:v>41</x:v>
      </x:c>
      <x:c r="G14" s="3">
        <x:v>45992.4131944444</x:v>
      </x:c>
      <x:c r="H14" s="2" t="s">
        <x:v>42</x:v>
      </x:c>
      <x:c r="I14" s="34" t="s">
        <x:v>43</x:v>
      </x:c>
      <x:c r="J14" s="1" t="s">
        <x:v>33</x:v>
      </x:c>
    </x:row>
    <x:row r="15" spans="1:10">
      <x:c r="B15" s="2" t="s">
        <x:v>59</x:v>
      </x:c>
      <x:c r="C15" s="2" t="s">
        <x:v>58</x:v>
      </x:c>
      <x:c r="D15" s="2" t="s">
        <x:v>57</x:v>
      </x:c>
      <x:c r="E15" s="3">
        <x:v>44531.3819444444</x:v>
      </x:c>
      <x:c r="F15" s="2" t="s">
        <x:v>42</x:v>
      </x:c>
      <x:c r="G15" s="3">
        <x:v>46120.7118055556</x:v>
      </x:c>
      <x:c r="H15" s="2" t="s">
        <x:v>46</x:v>
      </x:c>
      <x:c r="I15" s="34" t="s">
        <x:v>43</x:v>
      </x:c>
      <x:c r="J15" s="1" t="s">
        <x:v>33</x:v>
      </x:c>
    </x:row>
    <x:row r="16" spans="1:10">
      <x:c r="B16" s="2" t="s">
        <x:v>61</x:v>
      </x:c>
      <x:c r="C16" s="2" t="s">
        <x:v>60</x:v>
      </x:c>
      <x:c r="D16" s="2" t="s">
        <x:v>57</x:v>
      </x:c>
      <x:c r="E16" s="3">
        <x:v>44606.5625</x:v>
      </x:c>
      <x:c r="F16" s="2" t="s">
        <x:v>46</x:v>
      </x:c>
      <x:c r="G16" s="3">
        <x:v>45950.4270833333</x:v>
      </x:c>
      <x:c r="H16" s="2" t="s">
        <x:v>42</x:v>
      </x:c>
      <x:c r="I16" s="34" t="s">
        <x:v>43</x:v>
      </x:c>
      <x:c r="J16" s="1" t="s">
        <x:v>33</x:v>
      </x:c>
    </x:row>
    <x:row r="17" spans="1:10">
      <x:c r="B17" s="2" t="s">
        <x:v>63</x:v>
      </x:c>
      <x:c r="C17" s="2" t="s">
        <x:v>62</x:v>
      </x:c>
      <x:c r="D17" s="2" t="s">
        <x:v>40</x:v>
      </x:c>
      <x:c r="E17" s="3">
        <x:v>45019.375</x:v>
      </x:c>
      <x:c r="F17" s="2" t="s">
        <x:v>53</x:v>
      </x:c>
      <x:c r="G17" s="3">
        <x:v>46192.5243055556</x:v>
      </x:c>
      <x:c r="H17" s="2" t="s">
        <x:v>53</x:v>
      </x:c>
      <x:c r="I17" s="34" t="s">
        <x:v>43</x:v>
      </x:c>
      <x:c r="J17" s="1" t="s">
        <x:v>33</x:v>
      </x:c>
    </x:row>
  </x:sheetData>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7"/>
  <x:sheetViews>
    <x:sheetView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bestFit="1" customWidth="1"/>
    <x:col min="3" max="3" width="7.632812" style="2" bestFit="1" customWidth="1"/>
    <x:col min="4" max="4" width="35.179688" style="2" bestFit="1" customWidth="1"/>
    <x:col min="5" max="5" width="12.726562" style="2" bestFit="1" customWidth="1"/>
    <x:col min="6" max="6" width="39.089844" style="2" bestFit="1" customWidth="1"/>
    <x:col min="7" max="7" width="29.179688" style="1" bestFit="1" customWidth="1"/>
    <x:col min="8" max="8" width="19.179688" style="3" bestFit="1" customWidth="1"/>
    <x:col min="9" max="9" width="16.726562" style="2" bestFit="1" customWidth="1"/>
    <x:col min="10" max="10" width="19.179688" style="3" bestFit="1" customWidth="1"/>
    <x:col min="11" max="11" width="16.726562" style="2" bestFit="1" customWidth="1"/>
    <x:col min="12" max="12" width="10.726562" style="1" customWidth="1"/>
    <x:col min="13" max="13" width="48.726562" style="1" customWidth="1"/>
    <x:col min="14" max="16384" width="9.179688" style="1" customWidth="1"/>
  </x:cols>
  <x:sheetData>
    <x:row r="1" spans="1:13" s="4" customFormat="1">
      <x:c r="A1" s="38" t="s">
        <x:v>0</x:v>
      </x:c>
      <x:c r="B1" s="39" t="s">
        <x:v>65</x:v>
      </x:c>
      <x:c r="C1" s="40" t="s">
        <x:v>2</x:v>
      </x:c>
      <x:c r="D1" s="39" t="s">
        <x:v>64</x:v>
      </x:c>
      <x:c r="E1" s="40" t="s">
        <x:v>4</x:v>
      </x:c>
      <x:c r="F1" s="39" t="s">
        <x:v>5</x:v>
      </x:c>
      <x:c r="H1" s="8"/>
      <x:c r="I1" s="9"/>
      <x:c r="J1" s="8"/>
      <x:c r="K1" s="9"/>
    </x:row>
    <x:row r="2" spans="1:13" ht="29" customHeight="1" s="4" customFormat="1">
      <x:c r="A2" s="38" t="s">
        <x:v>6</x:v>
      </x:c>
      <x:c r="B2" s="35" t="s">
        <x:v>67</x:v>
      </x:c>
      <x:c r="C2" s="9"/>
      <x:c r="D2" s="9"/>
      <x:c r="E2" s="9"/>
      <x:c r="F2" s="9"/>
      <x:c r="H2" s="8"/>
      <x:c r="I2" s="9"/>
      <x:c r="J2" s="8"/>
      <x:c r="K2" s="9"/>
    </x:row>
    <x:row r="3" spans="1:13" s="4" customFormat="1">
      <x:c r="A3" s="41" t="s">
        <x:v>8</x:v>
      </x:c>
      <x:c r="B3" s="42" t="s">
        <x:v>66</x:v>
      </x:c>
      <x:c r="C3" s="43" t="s">
        <x:v>9</x:v>
      </x:c>
      <x:c r="D3" s="43" t="s">
        <x:v>68</x:v>
      </x:c>
      <x:c r="E3" s="43" t="s">
        <x:v>69</x:v>
      </x:c>
      <x:c r="F3" s="43" t="s">
        <x:v>70</x:v>
      </x:c>
      <x:c r="G3" s="53" t="s">
        <x:v>71</x:v>
      </x:c>
      <x:c r="H3" s="44" t="s">
        <x:v>12</x:v>
      </x:c>
      <x:c r="I3" s="43" t="s">
        <x:v>13</x:v>
      </x:c>
      <x:c r="J3" s="44" t="s">
        <x:v>14</x:v>
      </x:c>
      <x:c r="K3" s="43" t="s">
        <x:v>15</x:v>
      </x:c>
      <x:c r="L3" s="45" t="s">
        <x:v>16</x:v>
      </x:c>
      <x:c r="M3" s="45" t="s">
        <x:v>17</x:v>
      </x:c>
    </x:row>
    <x:row r="4" spans="1:13" s="4" customFormat="1">
      <x:c r="A4" s="41" t="s">
        <x:v>18</x:v>
      </x:c>
      <x:c r="B4" s="42" t="s">
        <x:v>72</x:v>
      </x:c>
      <x:c r="C4" s="43" t="s">
        <x:v>19</x:v>
      </x:c>
      <x:c r="D4" s="43" t="s">
        <x:v>73</x:v>
      </x:c>
      <x:c r="E4" s="43" t="s">
        <x:v>74</x:v>
      </x:c>
      <x:c r="F4" s="43" t="s">
        <x:v>75</x:v>
      </x:c>
      <x:c r="G4" s="47" t="s">
        <x:v>76</x:v>
      </x:c>
      <x:c r="H4" s="46" t="s">
        <x:v>22</x:v>
      </x:c>
      <x:c r="I4" s="43" t="s">
        <x:v>23</x:v>
      </x:c>
      <x:c r="J4" s="46" t="s">
        <x:v>24</x:v>
      </x:c>
      <x:c r="K4" s="43" t="s">
        <x:v>25</x:v>
      </x:c>
      <x:c r="L4" s="47"/>
      <x:c r="M4" s="47"/>
    </x:row>
    <x:row r="5" spans="1:13" s="4" customFormat="1">
      <x:c r="A5" s="41" t="s">
        <x:v>26</x:v>
      </x:c>
      <x:c r="B5" s="42" t="s">
        <x:v>77</x:v>
      </x:c>
      <x:c r="C5" s="43" t="s">
        <x:v>27</x:v>
      </x:c>
      <x:c r="D5" s="43" t="s">
        <x:v>78</x:v>
      </x:c>
      <x:c r="E5" s="43" t="s">
        <x:v>78</x:v>
      </x:c>
      <x:c r="F5" s="43" t="s">
        <x:v>79</x:v>
      </x:c>
      <x:c r="G5" s="53" t="s">
        <x:v>80</x:v>
      </x:c>
      <x:c r="H5" s="44" t="s">
        <x:v>29</x:v>
      </x:c>
      <x:c r="I5" s="43" t="s">
        <x:v>30</x:v>
      </x:c>
      <x:c r="J5" s="44" t="s">
        <x:v>29</x:v>
      </x:c>
      <x:c r="K5" s="43" t="s">
        <x:v>30</x:v>
      </x:c>
      <x:c r="L5" s="47"/>
      <x:c r="M5" s="47"/>
    </x:row>
    <x:row r="6" spans="1:13" s="4" customFormat="1">
      <x:c r="A6" s="38" t="s">
        <x:v>31</x:v>
      </x:c>
      <x:c r="B6" s="42" t="s">
        <x:v>32</x:v>
      </x:c>
      <x:c r="C6" s="43" t="s">
        <x:v>33</x:v>
      </x:c>
      <x:c r="D6" s="43" t="s">
        <x:v>33</x:v>
      </x:c>
      <x:c r="E6" s="43" t="s">
        <x:v>33</x:v>
      </x:c>
      <x:c r="F6" s="43" t="s">
        <x:v>34</x:v>
      </x:c>
      <x:c r="G6" s="53" t="s">
        <x:v>35</x:v>
      </x:c>
      <x:c r="H6" s="44" t="s">
        <x:v>35</x:v>
      </x:c>
      <x:c r="I6" s="43" t="s">
        <x:v>33</x:v>
      </x:c>
      <x:c r="J6" s="44" t="s">
        <x:v>35</x:v>
      </x:c>
      <x:c r="K6" s="43" t="s">
        <x:v>33</x:v>
      </x:c>
      <x:c r="L6" s="47"/>
      <x:c r="M6" s="47"/>
    </x:row>
    <x:row r="7" spans="1:13">
      <x:c r="A7" s="48" t="s">
        <x:v>36</x:v>
      </x:c>
      <x:c r="B7" s="49" t="s">
        <x:v>37</x:v>
      </x:c>
      <x:c r="C7" s="50" t="s">
        <x:v>37</x:v>
      </x:c>
      <x:c r="D7" s="50" t="s">
        <x:v>37</x:v>
      </x:c>
      <x:c r="E7" s="50" t="s">
        <x:v>37</x:v>
      </x:c>
      <x:c r="F7" s="50" t="s">
        <x:v>37</x:v>
      </x:c>
      <x:c r="G7" s="54" t="s">
        <x:v>37</x:v>
      </x:c>
      <x:c r="H7" s="51" t="s">
        <x:v>37</x:v>
      </x:c>
      <x:c r="I7" s="50" t="s">
        <x:v>37</x:v>
      </x:c>
      <x:c r="J7" s="51" t="s">
        <x:v>37</x:v>
      </x:c>
      <x:c r="K7" s="50" t="s">
        <x:v>37</x:v>
      </x:c>
      <x:c r="L7" s="52"/>
      <x:c r="M7" s="52"/>
    </x:row>
    <x:row r="8" spans="1:13">
      <x:c r="B8" s="2" t="s">
        <x:v>81</x:v>
      </x:c>
      <x:c r="C8" s="2" t="s">
        <x:v>82</x:v>
      </x:c>
      <x:c r="D8" s="2" t="s">
        <x:v>83</x:v>
      </x:c>
      <x:c r="E8" s="2" t="s">
        <x:v>84</x:v>
      </x:c>
      <x:c r="F8" s="2" t="s">
        <x:v>85</x:v>
      </x:c>
      <x:c r="G8" s="31">
        <x:v>1</x:v>
      </x:c>
      <x:c r="H8" s="3">
        <x:v>43192.375</x:v>
      </x:c>
      <x:c r="I8" s="2" t="s">
        <x:v>86</x:v>
      </x:c>
      <x:c r="J8" s="3">
        <x:v>45422.5555555556</x:v>
      </x:c>
      <x:c r="K8" s="2" t="s">
        <x:v>87</x:v>
      </x:c>
      <x:c r="L8" s="34" t="s">
        <x:v>43</x:v>
      </x:c>
      <x:c r="M8" s="1" t="s">
        <x:v>33</x:v>
      </x:c>
    </x:row>
    <x:row r="9" spans="1:13">
      <x:c r="B9" s="2" t="s">
        <x:v>88</x:v>
      </x:c>
      <x:c r="C9" s="2" t="s">
        <x:v>89</x:v>
      </x:c>
      <x:c r="D9" s="2" t="s">
        <x:v>90</x:v>
      </x:c>
      <x:c r="E9" s="2" t="s">
        <x:v>91</x:v>
      </x:c>
      <x:c r="F9" s="2" t="s">
        <x:v>92</x:v>
      </x:c>
      <x:c r="G9" s="31">
        <x:v>1</x:v>
      </x:c>
      <x:c r="H9" s="3">
        <x:v>43556.3854166667</x:v>
      </x:c>
      <x:c r="I9" s="2" t="s">
        <x:v>87</x:v>
      </x:c>
      <x:c r="J9" s="3">
        <x:v>45918.4444444444</x:v>
      </x:c>
      <x:c r="K9" s="2" t="s">
        <x:v>93</x:v>
      </x:c>
      <x:c r="L9" s="34" t="s">
        <x:v>43</x:v>
      </x:c>
      <x:c r="M9" s="1" t="s">
        <x:v>33</x:v>
      </x:c>
    </x:row>
    <x:row r="10" spans="1:13">
      <x:c r="B10" s="2" t="s">
        <x:v>94</x:v>
      </x:c>
      <x:c r="C10" s="2" t="s">
        <x:v>95</x:v>
      </x:c>
      <x:c r="D10" s="2" t="s">
        <x:v>96</x:v>
      </x:c>
      <x:c r="E10" s="2" t="s">
        <x:v>97</x:v>
      </x:c>
      <x:c r="F10" s="2" t="s">
        <x:v>98</x:v>
      </x:c>
      <x:c r="G10" s="31">
        <x:v>1</x:v>
      </x:c>
      <x:c r="H10" s="3">
        <x:v>43922.3958333333</x:v>
      </x:c>
      <x:c r="I10" s="2" t="s">
        <x:v>93</x:v>
      </x:c>
      <x:c r="J10" s="3">
        <x:v>46044.6319444444</x:v>
      </x:c>
      <x:c r="K10" s="2" t="s">
        <x:v>87</x:v>
      </x:c>
      <x:c r="L10" s="34" t="s">
        <x:v>43</x:v>
      </x:c>
      <x:c r="M10" s="1" t="s">
        <x:v>33</x:v>
      </x:c>
    </x:row>
    <x:row r="11" spans="1:13">
      <x:c r="B11" s="2" t="s">
        <x:v>99</x:v>
      </x:c>
      <x:c r="C11" s="2" t="s">
        <x:v>100</x:v>
      </x:c>
      <x:c r="D11" s="2" t="s">
        <x:v>101</x:v>
      </x:c>
      <x:c r="E11" s="2" t="s">
        <x:v>102</x:v>
      </x:c>
      <x:c r="F11" s="2" t="s">
        <x:v>103</x:v>
      </x:c>
      <x:c r="G11" s="31">
        <x:v>1</x:v>
      </x:c>
      <x:c r="H11" s="3">
        <x:v>44287.4166666667</x:v>
      </x:c>
      <x:c r="I11" s="2" t="s">
        <x:v>86</x:v>
      </x:c>
      <x:c r="J11" s="3">
        <x:v>45995.4826388889</x:v>
      </x:c>
      <x:c r="K11" s="2" t="s">
        <x:v>93</x:v>
      </x:c>
      <x:c r="L11" s="34" t="s">
        <x:v>43</x:v>
      </x:c>
      <x:c r="M11" s="1" t="s">
        <x:v>33</x:v>
      </x:c>
    </x:row>
    <x:row r="12" spans="1:13">
      <x:c r="B12" s="2" t="s">
        <x:v>104</x:v>
      </x:c>
      <x:c r="C12" s="2" t="s">
        <x:v>105</x:v>
      </x:c>
      <x:c r="D12" s="2" t="s">
        <x:v>106</x:v>
      </x:c>
      <x:c r="E12" s="2" t="s">
        <x:v>107</x:v>
      </x:c>
      <x:c r="F12" s="2" t="s">
        <x:v>108</x:v>
      </x:c>
      <x:c r="G12" s="31">
        <x:v>1</x:v>
      </x:c>
      <x:c r="H12" s="3">
        <x:v>44652.3784722222</x:v>
      </x:c>
      <x:c r="I12" s="2" t="s">
        <x:v>87</x:v>
      </x:c>
      <x:c r="J12" s="3">
        <x:v>46069.6840277778</x:v>
      </x:c>
      <x:c r="K12" s="2" t="s">
        <x:v>87</x:v>
      </x:c>
      <x:c r="L12" s="34" t="s">
        <x:v>43</x:v>
      </x:c>
      <x:c r="M12" s="1" t="s">
        <x:v>33</x:v>
      </x:c>
    </x:row>
    <x:row r="13" spans="1:13">
      <x:c r="B13" s="2" t="s">
        <x:v>109</x:v>
      </x:c>
      <x:c r="C13" s="2" t="s">
        <x:v>110</x:v>
      </x:c>
      <x:c r="D13" s="2" t="s">
        <x:v>111</x:v>
      </x:c>
      <x:c r="E13" s="2" t="s">
        <x:v>112</x:v>
      </x:c>
      <x:c r="F13" s="2" t="s">
        <x:v>113</x:v>
      </x:c>
      <x:c r="G13" s="31">
        <x:v>1</x:v>
      </x:c>
      <x:c r="H13" s="3">
        <x:v>45019.3888888889</x:v>
      </x:c>
      <x:c r="I13" s="2" t="s">
        <x:v>93</x:v>
      </x:c>
      <x:c r="J13" s="3">
        <x:v>46185.5868055556</x:v>
      </x:c>
      <x:c r="K13" s="2" t="s">
        <x:v>114</x:v>
      </x:c>
      <x:c r="L13" s="34" t="s">
        <x:v>43</x:v>
      </x:c>
      <x:c r="M13" s="1" t="s">
        <x:v>33</x:v>
      </x:c>
    </x:row>
    <x:row r="14" spans="1:13">
      <x:c r="B14" s="2" t="s">
        <x:v>115</x:v>
      </x:c>
      <x:c r="C14" s="2" t="s">
        <x:v>116</x:v>
      </x:c>
      <x:c r="D14" s="2" t="s">
        <x:v>117</x:v>
      </x:c>
      <x:c r="E14" s="2" t="s">
        <x:v>118</x:v>
      </x:c>
      <x:c r="F14" s="2" t="s">
        <x:v>119</x:v>
      </x:c>
      <x:c r="G14" s="31">
        <x:v>1</x:v>
      </x:c>
      <x:c r="H14" s="3">
        <x:v>45383.375</x:v>
      </x:c>
      <x:c r="I14" s="2" t="s">
        <x:v>114</x:v>
      </x:c>
      <x:c r="J14" s="3">
        <x:v>46162.71875</x:v>
      </x:c>
      <x:c r="K14" s="2" t="s">
        <x:v>114</x:v>
      </x:c>
      <x:c r="L14" s="34" t="s">
        <x:v>43</x:v>
      </x:c>
      <x:c r="M14" s="1" t="s">
        <x:v>33</x:v>
      </x:c>
    </x:row>
    <x:row r="15" spans="1:13">
      <x:c r="B15" s="2" t="s">
        <x:v>120</x:v>
      </x:c>
      <x:c r="C15" s="2" t="s">
        <x:v>82</x:v>
      </x:c>
      <x:c r="D15" s="2" t="s">
        <x:v>121</x:v>
      </x:c>
      <x:c r="E15" s="2" t="s">
        <x:v>122</x:v>
      </x:c>
      <x:c r="F15" s="2" t="s">
        <x:v>123</x:v>
      </x:c>
      <x:c r="G15" s="31">
        <x:v>1</x:v>
      </x:c>
      <x:c r="H15" s="3">
        <x:v>42926.4375</x:v>
      </x:c>
      <x:c r="I15" s="2" t="s">
        <x:v>86</x:v>
      </x:c>
      <x:c r="J15" s="3">
        <x:v>45723.4097222222</x:v>
      </x:c>
      <x:c r="K15" s="2" t="s">
        <x:v>93</x:v>
      </x:c>
      <x:c r="L15" s="34" t="s">
        <x:v>43</x:v>
      </x:c>
      <x:c r="M15" s="1" t="s">
        <x:v>33</x:v>
      </x:c>
    </x:row>
    <x:row r="16" spans="1:13">
      <x:c r="B16" s="2" t="s">
        <x:v>124</x:v>
      </x:c>
      <x:c r="C16" s="2" t="s">
        <x:v>89</x:v>
      </x:c>
      <x:c r="D16" s="2" t="s">
        <x:v>125</x:v>
      </x:c>
      <x:c r="E16" s="2" t="s">
        <x:v>126</x:v>
      </x:c>
      <x:c r="F16" s="2" t="s">
        <x:v>127</x:v>
      </x:c>
      <x:c r="G16" s="31">
        <x:v>1</x:v>
      </x:c>
      <x:c r="H16" s="3">
        <x:v>43739.40625</x:v>
      </x:c>
      <x:c r="I16" s="2" t="s">
        <x:v>87</x:v>
      </x:c>
      <x:c r="J16" s="3">
        <x:v>46130.5208333333</x:v>
      </x:c>
      <x:c r="K16" s="2" t="s">
        <x:v>93</x:v>
      </x:c>
      <x:c r="L16" s="34" t="s">
        <x:v>43</x:v>
      </x:c>
      <x:c r="M16" s="1" t="s">
        <x:v>33</x:v>
      </x:c>
    </x:row>
    <x:row r="17" spans="1:13">
      <x:c r="B17" s="2" t="s">
        <x:v>128</x:v>
      </x:c>
      <x:c r="C17" s="2" t="s">
        <x:v>89</x:v>
      </x:c>
      <x:c r="D17" s="2" t="s">
        <x:v>129</x:v>
      </x:c>
      <x:c r="E17" s="2" t="s">
        <x:v>130</x:v>
      </x:c>
      <x:c r="F17" s="2" t="s">
        <x:v>131</x:v>
      </x:c>
      <x:c r="G17" s="31">
        <x:v>1</x:v>
      </x:c>
      <x:c r="H17" s="3">
        <x:v>44060.4583333333</x:v>
      </x:c>
      <x:c r="I17" s="2" t="s">
        <x:v>93</x:v>
      </x:c>
      <x:c r="J17" s="3">
        <x:v>45898.6736111111</x:v>
      </x:c>
      <x:c r="K17" s="2" t="s">
        <x:v>87</x:v>
      </x:c>
      <x:c r="L17" s="34" t="s">
        <x:v>43</x:v>
      </x:c>
      <x:c r="M17" s="1" t="s">
        <x:v>33</x:v>
      </x:c>
    </x:row>
    <x:row r="18" spans="1:13">
      <x:c r="B18" s="2" t="s">
        <x:v>132</x:v>
      </x:c>
      <x:c r="C18" s="2" t="s">
        <x:v>95</x:v>
      </x:c>
      <x:c r="D18" s="2" t="s">
        <x:v>133</x:v>
      </x:c>
      <x:c r="E18" s="2" t="s">
        <x:v>134</x:v>
      </x:c>
      <x:c r="F18" s="2" t="s">
        <x:v>135</x:v>
      </x:c>
      <x:c r="G18" s="31">
        <x:v>1</x:v>
      </x:c>
      <x:c r="H18" s="3">
        <x:v>44440.3819444444</x:v>
      </x:c>
      <x:c r="I18" s="2" t="s">
        <x:v>86</x:v>
      </x:c>
      <x:c r="J18" s="3">
        <x:v>46084.4548611111</x:v>
      </x:c>
      <x:c r="K18" s="2" t="s">
        <x:v>114</x:v>
      </x:c>
      <x:c r="L18" s="34" t="s">
        <x:v>43</x:v>
      </x:c>
      <x:c r="M18" s="1" t="s">
        <x:v>33</x:v>
      </x:c>
    </x:row>
    <x:row r="19" spans="1:13">
      <x:c r="B19" s="2" t="s">
        <x:v>136</x:v>
      </x:c>
      <x:c r="C19" s="2" t="s">
        <x:v>100</x:v>
      </x:c>
      <x:c r="D19" s="2" t="s">
        <x:v>137</x:v>
      </x:c>
      <x:c r="E19" s="2" t="s">
        <x:v>138</x:v>
      </x:c>
      <x:c r="F19" s="2" t="s">
        <x:v>139</x:v>
      </x:c>
      <x:c r="G19" s="31">
        <x:v>1</x:v>
      </x:c>
      <x:c r="H19" s="3">
        <x:v>44713.3923611111</x:v>
      </x:c>
      <x:c r="I19" s="2" t="s">
        <x:v>93</x:v>
      </x:c>
      <x:c r="J19" s="3">
        <x:v>46031.5729166667</x:v>
      </x:c>
      <x:c r="K19" s="2" t="s">
        <x:v>93</x:v>
      </x:c>
      <x:c r="L19" s="34" t="s">
        <x:v>43</x:v>
      </x:c>
      <x:c r="M19" s="1" t="s">
        <x:v>33</x:v>
      </x:c>
    </x:row>
    <x:row r="20" spans="1:13">
      <x:c r="B20" s="2" t="s">
        <x:v>140</x:v>
      </x:c>
      <x:c r="C20" s="2" t="s">
        <x:v>100</x:v>
      </x:c>
      <x:c r="D20" s="2" t="s">
        <x:v>141</x:v>
      </x:c>
      <x:c r="E20" s="2" t="s">
        <x:v>142</x:v>
      </x:c>
      <x:c r="F20" s="2" t="s">
        <x:v>143</x:v>
      </x:c>
      <x:c r="G20" s="31">
        <x:v>1</x:v>
      </x:c>
      <x:c r="H20" s="3">
        <x:v>45110.4270833333</x:v>
      </x:c>
      <x:c r="I20" s="2" t="s">
        <x:v>87</x:v>
      </x:c>
      <x:c r="J20" s="3">
        <x:v>46174.6458333333</x:v>
      </x:c>
      <x:c r="K20" s="2" t="s">
        <x:v>87</x:v>
      </x:c>
      <x:c r="L20" s="34" t="s">
        <x:v>43</x:v>
      </x:c>
      <x:c r="M20" s="1" t="s">
        <x:v>33</x:v>
      </x:c>
    </x:row>
    <x:row r="21" spans="1:13">
      <x:c r="B21" s="2" t="s">
        <x:v>144</x:v>
      </x:c>
      <x:c r="C21" s="2" t="s">
        <x:v>82</x:v>
      </x:c>
      <x:c r="D21" s="2" t="s">
        <x:v>145</x:v>
      </x:c>
      <x:c r="E21" s="2" t="s">
        <x:v>146</x:v>
      </x:c>
      <x:c r="F21" s="2" t="s">
        <x:v>147</x:v>
      </x:c>
      <x:c r="G21" s="31">
        <x:v>1</x:v>
      </x:c>
      <x:c r="H21" s="3">
        <x:v>45306.4097222222</x:v>
      </x:c>
      <x:c r="I21" s="2" t="s">
        <x:v>86</x:v>
      </x:c>
      <x:c r="J21" s="3">
        <x:v>46080.4722222222</x:v>
      </x:c>
      <x:c r="K21" s="2" t="s">
        <x:v>93</x:v>
      </x:c>
      <x:c r="L21" s="34" t="s">
        <x:v>43</x:v>
      </x:c>
      <x:c r="M21" s="1" t="s">
        <x:v>33</x:v>
      </x:c>
    </x:row>
    <x:row r="22" spans="1:13">
      <x:c r="B22" s="2" t="s">
        <x:v>148</x:v>
      </x:c>
      <x:c r="C22" s="2" t="s">
        <x:v>105</x:v>
      </x:c>
      <x:c r="D22" s="2" t="s">
        <x:v>149</x:v>
      </x:c>
      <x:c r="E22" s="2" t="s">
        <x:v>150</x:v>
      </x:c>
      <x:c r="F22" s="2" t="s">
        <x:v>151</x:v>
      </x:c>
      <x:c r="G22" s="31">
        <x:v>0</x:v>
      </x:c>
      <x:c r="H22" s="3">
        <x:v>43405.3715277778</x:v>
      </x:c>
      <x:c r="I22" s="2" t="s">
        <x:v>87</x:v>
      </x:c>
      <x:c r="J22" s="3">
        <x:v>45646.7361111111</x:v>
      </x:c>
      <x:c r="K22" s="2" t="s">
        <x:v>87</x:v>
      </x:c>
      <x:c r="L22" s="34" t="s">
        <x:v>43</x:v>
      </x:c>
      <x:c r="M22" s="1" t="s">
        <x:v>33</x:v>
      </x:c>
    </x:row>
    <x:row r="23" spans="1:13">
      <x:c r="B23" s="2" t="s">
        <x:v>152</x:v>
      </x:c>
      <x:c r="C23" s="2" t="s">
        <x:v>110</x:v>
      </x:c>
      <x:c r="D23" s="2" t="s">
        <x:v>153</x:v>
      </x:c>
      <x:c r="E23" s="2" t="s">
        <x:v>154</x:v>
      </x:c>
      <x:c r="F23" s="2" t="s">
        <x:v>155</x:v>
      </x:c>
      <x:c r="G23" s="31">
        <x:v>1</x:v>
      </x:c>
      <x:c r="H23" s="3">
        <x:v>43619.3993055556</x:v>
      </x:c>
      <x:c r="I23" s="2" t="s">
        <x:v>93</x:v>
      </x:c>
      <x:c r="J23" s="3">
        <x:v>46150.6180555556</x:v>
      </x:c>
      <x:c r="K23" s="2" t="s">
        <x:v>114</x:v>
      </x:c>
      <x:c r="L23" s="34" t="s">
        <x:v>43</x:v>
      </x:c>
      <x:c r="M23" s="1" t="s">
        <x:v>33</x:v>
      </x:c>
    </x:row>
    <x:row r="24" spans="1:13">
      <x:c r="B24" s="2" t="s">
        <x:v>156</x:v>
      </x:c>
      <x:c r="C24" s="2" t="s">
        <x:v>116</x:v>
      </x:c>
      <x:c r="D24" s="2" t="s">
        <x:v>157</x:v>
      </x:c>
      <x:c r="E24" s="2" t="s">
        <x:v>158</x:v>
      </x:c>
      <x:c r="F24" s="2" t="s">
        <x:v>159</x:v>
      </x:c>
      <x:c r="G24" s="31">
        <x:v>1</x:v>
      </x:c>
      <x:c r="H24" s="3">
        <x:v>44166.4201388889</x:v>
      </x:c>
      <x:c r="I24" s="2" t="s">
        <x:v>114</x:v>
      </x:c>
      <x:c r="J24" s="3">
        <x:v>45975.6666666667</x:v>
      </x:c>
      <x:c r="K24" s="2" t="s">
        <x:v>114</x:v>
      </x:c>
      <x:c r="L24" s="34" t="s">
        <x:v>43</x:v>
      </x:c>
      <x:c r="M24" s="1" t="s">
        <x:v>33</x:v>
      </x:c>
    </x:row>
    <x:row r="25" spans="1:13">
      <x:c r="B25" s="2" t="s">
        <x:v>160</x:v>
      </x:c>
      <x:c r="C25" s="2" t="s">
        <x:v>95</x:v>
      </x:c>
      <x:c r="D25" s="2" t="s">
        <x:v>161</x:v>
      </x:c>
      <x:c r="E25" s="2" t="s">
        <x:v>162</x:v>
      </x:c>
      <x:c r="F25" s="2" t="s">
        <x:v>163</x:v>
      </x:c>
      <x:c r="G25" s="31">
        <x:v>1</x:v>
      </x:c>
      <x:c r="H25" s="3">
        <x:v>44326.4027777778</x:v>
      </x:c>
      <x:c r="I25" s="2" t="s">
        <x:v>86</x:v>
      </x:c>
      <x:c r="J25" s="3">
        <x:v>46115.5104166667</x:v>
      </x:c>
      <x:c r="K25" s="2" t="s">
        <x:v>93</x:v>
      </x:c>
      <x:c r="L25" s="34" t="s">
        <x:v>43</x:v>
      </x:c>
      <x:c r="M25" s="1" t="s">
        <x:v>33</x:v>
      </x:c>
    </x:row>
    <x:row r="26" spans="1:13">
      <x:c r="B26" s="2" t="s">
        <x:v>164</x:v>
      </x:c>
      <x:c r="C26" s="2" t="s">
        <x:v>89</x:v>
      </x:c>
      <x:c r="D26" s="2" t="s">
        <x:v>165</x:v>
      </x:c>
      <x:c r="E26" s="2" t="s">
        <x:v>166</x:v>
      </x:c>
      <x:c r="F26" s="2" t="s">
        <x:v>167</x:v>
      </x:c>
      <x:c r="G26" s="31">
        <x:v>0</x:v>
      </x:c>
      <x:c r="H26" s="3">
        <x:v>44837.4305555556</x:v>
      </x:c>
      <x:c r="I26" s="2" t="s">
        <x:v>87</x:v>
      </x:c>
      <x:c r="J26" s="3">
        <x:v>45709.6284722222</x:v>
      </x:c>
      <x:c r="K26" s="2" t="s">
        <x:v>87</x:v>
      </x:c>
      <x:c r="L26" s="34" t="s">
        <x:v>43</x:v>
      </x:c>
      <x:c r="M26" s="1" t="s">
        <x:v>33</x:v>
      </x:c>
    </x:row>
    <x:row r="27" spans="1:13">
      <x:c r="B27" s="2" t="s">
        <x:v>168</x:v>
      </x:c>
      <x:c r="C27" s="2" t="s">
        <x:v>105</x:v>
      </x:c>
      <x:c r="D27" s="2" t="s">
        <x:v>169</x:v>
      </x:c>
      <x:c r="E27" s="2" t="s">
        <x:v>170</x:v>
      </x:c>
      <x:c r="F27" s="2" t="s">
        <x:v>171</x:v>
      </x:c>
      <x:c r="G27" s="31">
        <x:v>1</x:v>
      </x:c>
      <x:c r="H27" s="3">
        <x:v>45231.375</x:v>
      </x:c>
      <x:c r="I27" s="2" t="s">
        <x:v>93</x:v>
      </x:c>
      <x:c r="J27" s="3">
        <x:v>46198.4375</x:v>
      </x:c>
      <x:c r="K27" s="2" t="s">
        <x:v>93</x:v>
      </x:c>
      <x:c r="L27" s="34" t="s">
        <x:v>43</x:v>
      </x:c>
      <x:c r="M27" s="1" t="s">
        <x:v>33</x:v>
      </x:c>
    </x:row>
  </x:sheetData>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37"/>
  <x:sheetViews>
    <x:sheetView zoomScale="85" zoomScaleNormal="85" workbookViewId="0">
      <x:pane xSplit="2" ySplit="7" topLeftCell="C8" activePane="bottomRight" state="frozenSplit"/>
      <x:selection activeCell="B2" sqref="B2"/>
      <x:selection pane="bottomRight" activeCell="B2" sqref="B2"/>
    </x:sheetView>
  </x:sheetViews>
  <x:sheetFormatPr defaultColWidth="9.179688" defaultRowHeight="14.5"/>
  <x:cols>
    <x:col min="1" max="1" width="18.726562" style="1" customWidth="1"/>
    <x:col min="2" max="2" width="11.453125" style="2" bestFit="1" customWidth="1"/>
    <x:col min="3" max="3" width="33.816406" style="2" bestFit="1" customWidth="1"/>
    <x:col min="4" max="4" width="49.269531" style="2" bestFit="1" customWidth="1"/>
    <x:col min="5" max="5" width="14.632812" style="2" bestFit="1" customWidth="1"/>
    <x:col min="6" max="6" width="13.632812" style="2" bestFit="1" customWidth="1"/>
    <x:col min="7" max="7" width="46.90625" style="2" bestFit="1" customWidth="1"/>
    <x:col min="8" max="8" width="53.632812" style="2" bestFit="1" customWidth="1"/>
    <x:col min="9" max="9" width="62.542969" style="2" bestFit="1" customWidth="1"/>
    <x:col min="10" max="10" width="34.816406" style="2" bestFit="1" customWidth="1"/>
    <x:col min="11" max="11" width="39.363281" style="2" bestFit="1" customWidth="1"/>
    <x:col min="12" max="12" width="43" style="2" bestFit="1" customWidth="1"/>
    <x:col min="13" max="13" width="31.453125" style="2" bestFit="1" customWidth="1"/>
    <x:col min="14" max="14" width="11.726562" style="1" bestFit="1" customWidth="1"/>
    <x:col min="15" max="15" width="20.179688" style="3" bestFit="1" customWidth="1"/>
    <x:col min="16" max="16" width="16.90625" style="2" bestFit="1" customWidth="1"/>
    <x:col min="17" max="17" width="20.179688" style="3" bestFit="1" customWidth="1"/>
    <x:col min="18" max="18" width="16.90625" style="2" bestFit="1" customWidth="1"/>
    <x:col min="19" max="19" width="10.726562" style="1" customWidth="1"/>
    <x:col min="20" max="20" width="48.726562" style="1" customWidth="1"/>
    <x:col min="21" max="16384" width="9.179688" style="1" customWidth="1"/>
  </x:cols>
  <x:sheetData>
    <x:row r="1" spans="1:20" s="4" customFormat="1">
      <x:c r="A1" s="38" t="s">
        <x:v>0</x:v>
      </x:c>
      <x:c r="B1" s="39" t="s">
        <x:v>172</x:v>
      </x:c>
      <x:c r="C1" s="40" t="s">
        <x:v>2</x:v>
      </x:c>
      <x:c r="D1" s="39" t="s">
        <x:v>173</x:v>
      </x:c>
      <x:c r="E1" s="40" t="s">
        <x:v>4</x:v>
      </x:c>
      <x:c r="F1" s="39" t="s">
        <x:v>5</x:v>
      </x:c>
      <x:c r="G1" s="9"/>
      <x:c r="H1" s="9"/>
      <x:c r="I1" s="9"/>
      <x:c r="J1" s="9"/>
      <x:c r="K1" s="9"/>
      <x:c r="L1" s="9"/>
      <x:c r="M1" s="9"/>
      <x:c r="O1" s="8"/>
      <x:c r="P1" s="9"/>
      <x:c r="Q1" s="8"/>
      <x:c r="R1" s="9"/>
    </x:row>
    <x:row r="2" spans="1:20" s="4" customFormat="1">
      <x:c r="A2" s="38" t="s">
        <x:v>6</x:v>
      </x:c>
      <x:c r="B2" s="33" t="s">
        <x:v>175</x:v>
      </x:c>
      <x:c r="C2" s="9"/>
      <x:c r="D2" s="9"/>
      <x:c r="E2" s="9"/>
      <x:c r="F2" s="9"/>
      <x:c r="G2" s="9"/>
      <x:c r="H2" s="9"/>
      <x:c r="I2" s="9"/>
      <x:c r="J2" s="9"/>
      <x:c r="K2" s="9"/>
      <x:c r="L2" s="9"/>
      <x:c r="M2" s="9"/>
      <x:c r="O2" s="8"/>
      <x:c r="P2" s="9"/>
      <x:c r="Q2" s="8"/>
      <x:c r="R2" s="9"/>
    </x:row>
    <x:row r="3" spans="1:20" s="4" customFormat="1">
      <x:c r="A3" s="41" t="s">
        <x:v>8</x:v>
      </x:c>
      <x:c r="B3" s="42" t="s">
        <x:v>174</x:v>
      </x:c>
      <x:c r="C3" s="43" t="s">
        <x:v>176</x:v>
      </x:c>
      <x:c r="D3" s="43" t="s">
        <x:v>177</x:v>
      </x:c>
      <x:c r="E3" s="43" t="s">
        <x:v>178</x:v>
      </x:c>
      <x:c r="F3" s="43" t="s">
        <x:v>179</x:v>
      </x:c>
      <x:c r="G3" s="43" t="s">
        <x:v>70</x:v>
      </x:c>
      <x:c r="H3" s="43" t="s">
        <x:v>180</x:v>
      </x:c>
      <x:c r="I3" s="43" t="s">
        <x:v>181</x:v>
      </x:c>
      <x:c r="J3" s="43" t="s">
        <x:v>182</x:v>
      </x:c>
      <x:c r="K3" s="43" t="s">
        <x:v>183</x:v>
      </x:c>
      <x:c r="L3" s="43" t="s">
        <x:v>184</x:v>
      </x:c>
      <x:c r="M3" s="43" t="s">
        <x:v>185</x:v>
      </x:c>
      <x:c r="N3" s="53" t="s">
        <x:v>71</x:v>
      </x:c>
      <x:c r="O3" s="44" t="s">
        <x:v>12</x:v>
      </x:c>
      <x:c r="P3" s="43" t="s">
        <x:v>13</x:v>
      </x:c>
      <x:c r="Q3" s="44" t="s">
        <x:v>14</x:v>
      </x:c>
      <x:c r="R3" s="43" t="s">
        <x:v>15</x:v>
      </x:c>
      <x:c r="S3" s="45" t="s">
        <x:v>16</x:v>
      </x:c>
      <x:c r="T3" s="45" t="s">
        <x:v>17</x:v>
      </x:c>
    </x:row>
    <x:row r="4" spans="1:20" s="4" customFormat="1">
      <x:c r="A4" s="41" t="s">
        <x:v>18</x:v>
      </x:c>
      <x:c r="B4" s="42" t="s">
        <x:v>186</x:v>
      </x:c>
      <x:c r="C4" s="43" t="s">
        <x:v>187</x:v>
      </x:c>
      <x:c r="D4" s="43" t="s">
        <x:v>188</x:v>
      </x:c>
      <x:c r="E4" s="43" t="s">
        <x:v>189</x:v>
      </x:c>
      <x:c r="F4" s="43" t="s">
        <x:v>190</x:v>
      </x:c>
      <x:c r="G4" s="43" t="s">
        <x:v>191</x:v>
      </x:c>
      <x:c r="H4" s="43" t="s">
        <x:v>192</x:v>
      </x:c>
      <x:c r="I4" s="43" t="s">
        <x:v>193</x:v>
      </x:c>
      <x:c r="J4" s="43" t="s">
        <x:v>194</x:v>
      </x:c>
      <x:c r="K4" s="43" t="s">
        <x:v>195</x:v>
      </x:c>
      <x:c r="L4" s="43" t="s">
        <x:v>196</x:v>
      </x:c>
      <x:c r="M4" s="43" t="s">
        <x:v>197</x:v>
      </x:c>
      <x:c r="N4" s="47" t="s">
        <x:v>198</x:v>
      </x:c>
      <x:c r="O4" s="46" t="s">
        <x:v>22</x:v>
      </x:c>
      <x:c r="P4" s="43" t="s">
        <x:v>23</x:v>
      </x:c>
      <x:c r="Q4" s="46" t="s">
        <x:v>24</x:v>
      </x:c>
      <x:c r="R4" s="43" t="s">
        <x:v>25</x:v>
      </x:c>
      <x:c r="S4" s="47"/>
      <x:c r="T4" s="47"/>
    </x:row>
    <x:row r="5" spans="1:20" s="4" customFormat="1">
      <x:c r="A5" s="41" t="s">
        <x:v>26</x:v>
      </x:c>
      <x:c r="B5" s="42" t="s">
        <x:v>77</x:v>
      </x:c>
      <x:c r="C5" s="43" t="s">
        <x:v>199</x:v>
      </x:c>
      <x:c r="D5" s="43" t="s">
        <x:v>199</x:v>
      </x:c>
      <x:c r="E5" s="43" t="s">
        <x:v>28</x:v>
      </x:c>
      <x:c r="F5" s="43" t="s">
        <x:v>30</x:v>
      </x:c>
      <x:c r="G5" s="43" t="s">
        <x:v>79</x:v>
      </x:c>
      <x:c r="H5" s="43" t="s">
        <x:v>199</x:v>
      </x:c>
      <x:c r="I5" s="43" t="s">
        <x:v>199</x:v>
      </x:c>
      <x:c r="J5" s="43" t="s">
        <x:v>28</x:v>
      </x:c>
      <x:c r="K5" s="43" t="s">
        <x:v>28</x:v>
      </x:c>
      <x:c r="L5" s="43" t="s">
        <x:v>30</x:v>
      </x:c>
      <x:c r="M5" s="43" t="s">
        <x:v>200</x:v>
      </x:c>
      <x:c r="N5" s="53" t="s">
        <x:v>80</x:v>
      </x:c>
      <x:c r="O5" s="44" t="s">
        <x:v>29</x:v>
      </x:c>
      <x:c r="P5" s="43" t="s">
        <x:v>30</x:v>
      </x:c>
      <x:c r="Q5" s="44" t="s">
        <x:v>29</x:v>
      </x:c>
      <x:c r="R5" s="43" t="s">
        <x:v>30</x:v>
      </x:c>
      <x:c r="S5" s="47"/>
      <x:c r="T5" s="47"/>
    </x:row>
    <x:row r="6" spans="1:20" s="4" customFormat="1">
      <x:c r="A6" s="38" t="s">
        <x:v>31</x:v>
      </x:c>
      <x:c r="B6" s="42" t="s">
        <x:v>32</x:v>
      </x:c>
      <x:c r="C6" s="43" t="s">
        <x:v>33</x:v>
      </x:c>
      <x:c r="D6" s="43" t="s">
        <x:v>34</x:v>
      </x:c>
      <x:c r="E6" s="43" t="s">
        <x:v>34</x:v>
      </x:c>
      <x:c r="F6" s="43" t="s">
        <x:v>34</x:v>
      </x:c>
      <x:c r="G6" s="43" t="s">
        <x:v>34</x:v>
      </x:c>
      <x:c r="H6" s="43" t="s">
        <x:v>34</x:v>
      </x:c>
      <x:c r="I6" s="43" t="s">
        <x:v>34</x:v>
      </x:c>
      <x:c r="J6" s="43" t="s">
        <x:v>34</x:v>
      </x:c>
      <x:c r="K6" s="43" t="s">
        <x:v>34</x:v>
      </x:c>
      <x:c r="L6" s="43" t="s">
        <x:v>34</x:v>
      </x:c>
      <x:c r="M6" s="43" t="s">
        <x:v>35</x:v>
      </x:c>
      <x:c r="N6" s="53" t="s">
        <x:v>35</x:v>
      </x:c>
      <x:c r="O6" s="44" t="s">
        <x:v>35</x:v>
      </x:c>
      <x:c r="P6" s="43" t="s">
        <x:v>33</x:v>
      </x:c>
      <x:c r="Q6" s="44" t="s">
        <x:v>35</x:v>
      </x:c>
      <x:c r="R6" s="43" t="s">
        <x:v>33</x:v>
      </x:c>
      <x:c r="S6" s="47"/>
      <x:c r="T6" s="47"/>
    </x:row>
    <x:row r="7" spans="1:20">
      <x:c r="A7" s="48" t="s">
        <x:v>36</x:v>
      </x:c>
      <x:c r="B7" s="49" t="s">
        <x:v>37</x:v>
      </x:c>
      <x:c r="C7" s="50" t="s">
        <x:v>37</x:v>
      </x:c>
      <x:c r="D7" s="50" t="s">
        <x:v>37</x:v>
      </x:c>
      <x:c r="E7" s="50" t="s">
        <x:v>37</x:v>
      </x:c>
      <x:c r="F7" s="50" t="s">
        <x:v>37</x:v>
      </x:c>
      <x:c r="G7" s="50" t="s">
        <x:v>37</x:v>
      </x:c>
      <x:c r="H7" s="50" t="s">
        <x:v>37</x:v>
      </x:c>
      <x:c r="I7" s="50" t="s">
        <x:v>37</x:v>
      </x:c>
      <x:c r="J7" s="50" t="s">
        <x:v>37</x:v>
      </x:c>
      <x:c r="K7" s="50" t="s">
        <x:v>37</x:v>
      </x:c>
      <x:c r="L7" s="50" t="s">
        <x:v>37</x:v>
      </x:c>
      <x:c r="M7" s="50" t="s">
        <x:v>37</x:v>
      </x:c>
      <x:c r="N7" s="54" t="s">
        <x:v>37</x:v>
      </x:c>
      <x:c r="O7" s="51" t="s">
        <x:v>37</x:v>
      </x:c>
      <x:c r="P7" s="50" t="s">
        <x:v>37</x:v>
      </x:c>
      <x:c r="Q7" s="51" t="s">
        <x:v>37</x:v>
      </x:c>
      <x:c r="R7" s="50" t="s">
        <x:v>37</x:v>
      </x:c>
      <x:c r="S7" s="52"/>
      <x:c r="T7" s="52"/>
    </x:row>
    <x:row r="8" spans="1:20">
      <x:c r="B8" s="2" t="s">
        <x:v>201</x:v>
      </x:c>
      <x:c r="C8" s="2" t="s">
        <x:v>202</x:v>
      </x:c>
      <x:c r="D8" s="2" t="s">
        <x:v>203</x:v>
      </x:c>
      <x:c r="E8" s="2" t="s">
        <x:v>204</x:v>
      </x:c>
      <x:c r="F8" s="2" t="s">
        <x:v>205</x:v>
      </x:c>
      <x:c r="G8" s="2" t="s">
        <x:v>206</x:v>
      </x:c>
      <x:c r="H8" s="2" t="s">
        <x:v>207</x:v>
      </x:c>
      <x:c r="I8" s="2" t="s">
        <x:v>208</x:v>
      </x:c>
      <x:c r="J8" s="2" t="s">
        <x:v>209</x:v>
      </x:c>
      <x:c r="K8" s="2" t="s">
        <x:v>210</x:v>
      </x:c>
      <x:c r="L8" s="2" t="s">
        <x:v>211</x:v>
      </x:c>
      <x:c r="M8" s="2" t="s">
        <x:v>212</x:v>
      </x:c>
      <x:c r="N8" s="31">
        <x:v>1</x:v>
      </x:c>
      <x:c r="O8" s="3">
        <x:v>43234.3958333333</x:v>
      </x:c>
      <x:c r="P8" s="2" t="s">
        <x:v>86</x:v>
      </x:c>
      <x:c r="Q8" s="3">
        <x:v>45755.5555555556</x:v>
      </x:c>
      <x:c r="R8" s="2" t="s">
        <x:v>87</x:v>
      </x:c>
      <x:c r="S8" s="34" t="s">
        <x:v>43</x:v>
      </x:c>
      <x:c r="T8" s="1" t="s">
        <x:v>33</x:v>
      </x:c>
    </x:row>
    <x:row r="9" spans="1:20">
      <x:c r="B9" s="2" t="s">
        <x:v>213</x:v>
      </x:c>
      <x:c r="C9" s="2" t="s">
        <x:v>214</x:v>
      </x:c>
      <x:c r="D9" s="2" t="s">
        <x:v>215</x:v>
      </x:c>
      <x:c r="E9" s="2" t="s">
        <x:v>216</x:v>
      </x:c>
      <x:c r="F9" s="2" t="s">
        <x:v>217</x:v>
      </x:c>
      <x:c r="G9" s="2" t="s">
        <x:v>218</x:v>
      </x:c>
      <x:c r="H9" s="2" t="s">
        <x:v>219</x:v>
      </x:c>
      <x:c r="I9" s="2" t="s">
        <x:v>220</x:v>
      </x:c>
      <x:c r="J9" s="2" t="s">
        <x:v>221</x:v>
      </x:c>
      <x:c r="K9" s="2" t="s">
        <x:v>210</x:v>
      </x:c>
      <x:c r="L9" s="2" t="s">
        <x:v>222</x:v>
      </x:c>
      <x:c r="M9" s="2" t="s">
        <x:v>212</x:v>
      </x:c>
      <x:c r="N9" s="31">
        <x:v>1</x:v>
      </x:c>
      <x:c r="O9" s="3">
        <x:v>43497.4270833333</x:v>
      </x:c>
      <x:c r="P9" s="2" t="s">
        <x:v>87</x:v>
      </x:c>
      <x:c r="Q9" s="3">
        <x:v>46072.4861111111</x:v>
      </x:c>
      <x:c r="R9" s="2" t="s">
        <x:v>93</x:v>
      </x:c>
      <x:c r="S9" s="34" t="s">
        <x:v>43</x:v>
      </x:c>
      <x:c r="T9" s="1" t="s">
        <x:v>33</x:v>
      </x:c>
    </x:row>
    <x:row r="10" spans="1:20">
      <x:c r="B10" s="2" t="s">
        <x:v>223</x:v>
      </x:c>
      <x:c r="C10" s="2" t="s">
        <x:v>224</x:v>
      </x:c>
      <x:c r="D10" s="2" t="s">
        <x:v>225</x:v>
      </x:c>
      <x:c r="E10" s="2" t="s">
        <x:v>226</x:v>
      </x:c>
      <x:c r="F10" s="2" t="s">
        <x:v>227</x:v>
      </x:c>
      <x:c r="G10" s="2" t="s">
        <x:v>228</x:v>
      </x:c>
      <x:c r="H10" s="2" t="s">
        <x:v>229</x:v>
      </x:c>
      <x:c r="I10" s="2" t="s">
        <x:v>230</x:v>
      </x:c>
      <x:c r="J10" s="2" t="s">
        <x:v>231</x:v>
      </x:c>
      <x:c r="K10" s="2" t="s">
        <x:v>210</x:v>
      </x:c>
      <x:c r="L10" s="2" t="s">
        <x:v>232</x:v>
      </x:c>
      <x:c r="M10" s="2" t="s">
        <x:v>212</x:v>
      </x:c>
      <x:c r="N10" s="31">
        <x:v>1</x:v>
      </x:c>
      <x:c r="O10" s="3">
        <x:v>44018.40625</x:v>
      </x:c>
      <x:c r="P10" s="2" t="s">
        <x:v>93</x:v>
      </x:c>
      <x:c r="Q10" s="3">
        <x:v>45973.6701388889</x:v>
      </x:c>
      <x:c r="R10" s="2" t="s">
        <x:v>87</x:v>
      </x:c>
      <x:c r="S10" s="34" t="s">
        <x:v>43</x:v>
      </x:c>
      <x:c r="T10" s="1" t="s">
        <x:v>33</x:v>
      </x:c>
    </x:row>
    <x:row r="11" spans="1:20">
      <x:c r="B11" s="2" t="s">
        <x:v>233</x:v>
      </x:c>
      <x:c r="C11" s="2" t="s">
        <x:v>234</x:v>
      </x:c>
      <x:c r="D11" s="2" t="s">
        <x:v>235</x:v>
      </x:c>
      <x:c r="E11" s="2" t="s">
        <x:v>236</x:v>
      </x:c>
      <x:c r="F11" s="2" t="s">
        <x:v>237</x:v>
      </x:c>
      <x:c r="G11" s="2" t="s">
        <x:v>238</x:v>
      </x:c>
      <x:c r="H11" s="2" t="s">
        <x:v>239</x:v>
      </x:c>
      <x:c r="I11" s="2" t="s">
        <x:v>240</x:v>
      </x:c>
      <x:c r="J11" s="2" t="s">
        <x:v>241</x:v>
      </x:c>
      <x:c r="K11" s="2" t="s">
        <x:v>210</x:v>
      </x:c>
      <x:c r="L11" s="2" t="s">
        <x:v>242</x:v>
      </x:c>
      <x:c r="M11" s="2" t="s">
        <x:v>212</x:v>
      </x:c>
      <x:c r="N11" s="31">
        <x:v>1</x:v>
      </x:c>
      <x:c r="O11" s="3">
        <x:v>44277.4583333333</x:v>
      </x:c>
      <x:c r="P11" s="2" t="s">
        <x:v>86</x:v>
      </x:c>
      <x:c r="Q11" s="3">
        <x:v>46082.4375</x:v>
      </x:c>
      <x:c r="R11" s="2" t="s">
        <x:v>93</x:v>
      </x:c>
      <x:c r="S11" s="34" t="s">
        <x:v>43</x:v>
      </x:c>
      <x:c r="T11" s="1" t="s">
        <x:v>33</x:v>
      </x:c>
    </x:row>
    <x:row r="12" spans="1:20">
      <x:c r="B12" s="2" t="s">
        <x:v>243</x:v>
      </x:c>
      <x:c r="C12" s="2" t="s">
        <x:v>244</x:v>
      </x:c>
      <x:c r="D12" s="2" t="s">
        <x:v>245</x:v>
      </x:c>
      <x:c r="E12" s="2" t="s">
        <x:v>246</x:v>
      </x:c>
      <x:c r="F12" s="2" t="s">
        <x:v>247</x:v>
      </x:c>
      <x:c r="G12" s="2" t="s">
        <x:v>248</x:v>
      </x:c>
      <x:c r="H12" s="2" t="s">
        <x:v>249</x:v>
      </x:c>
      <x:c r="I12" s="2" t="s">
        <x:v>250</x:v>
      </x:c>
      <x:c r="J12" s="2" t="s">
        <x:v>251</x:v>
      </x:c>
      <x:c r="K12" s="2" t="s">
        <x:v>210</x:v>
      </x:c>
      <x:c r="L12" s="2" t="s">
        <x:v>252</x:v>
      </x:c>
      <x:c r="M12" s="2" t="s">
        <x:v>212</x:v>
      </x:c>
      <x:c r="N12" s="31">
        <x:v>1</x:v>
      </x:c>
      <x:c r="O12" s="3">
        <x:v>44578.4305555556</x:v>
      </x:c>
      <x:c r="P12" s="2" t="s">
        <x:v>87</x:v>
      </x:c>
      <x:c r="Q12" s="3">
        <x:v>46188.5902777778</x:v>
      </x:c>
      <x:c r="R12" s="2" t="s">
        <x:v>114</x:v>
      </x:c>
      <x:c r="S12" s="34" t="s">
        <x:v>43</x:v>
      </x:c>
      <x:c r="T12" s="1" t="s">
        <x:v>33</x:v>
      </x:c>
    </x:row>
    <x:row r="13" spans="1:20">
      <x:c r="B13" s="2" t="s">
        <x:v>253</x:v>
      </x:c>
      <x:c r="C13" s="2" t="s">
        <x:v>254</x:v>
      </x:c>
      <x:c r="D13" s="2" t="s">
        <x:v>255</x:v>
      </x:c>
      <x:c r="E13" s="2" t="s">
        <x:v>256</x:v>
      </x:c>
      <x:c r="F13" s="2" t="s">
        <x:v>257</x:v>
      </x:c>
      <x:c r="G13" s="2" t="s">
        <x:v>258</x:v>
      </x:c>
      <x:c r="H13" s="2" t="s">
        <x:v>259</x:v>
      </x:c>
      <x:c r="I13" s="2" t="s">
        <x:v>260</x:v>
      </x:c>
      <x:c r="J13" s="2" t="s">
        <x:v>261</x:v>
      </x:c>
      <x:c r="K13" s="2" t="s">
        <x:v>210</x:v>
      </x:c>
      <x:c r="L13" s="2" t="s">
        <x:v>262</x:v>
      </x:c>
      <x:c r="M13" s="2" t="s">
        <x:v>212</x:v>
      </x:c>
      <x:c r="N13" s="31">
        <x:v>1</x:v>
      </x:c>
      <x:c r="O13" s="3">
        <x:v>42982.3819444444</x:v>
      </x:c>
      <x:c r="P13" s="2" t="s">
        <x:v>93</x:v>
      </x:c>
      <x:c r="Q13" s="3">
        <x:v>45631.65625</x:v>
      </x:c>
      <x:c r="R13" s="2" t="s">
        <x:v>87</x:v>
      </x:c>
      <x:c r="S13" s="34" t="s">
        <x:v>43</x:v>
      </x:c>
      <x:c r="T13" s="1" t="s">
        <x:v>33</x:v>
      </x:c>
    </x:row>
    <x:row r="14" spans="1:20">
      <x:c r="B14" s="2" t="s">
        <x:v>263</x:v>
      </x:c>
      <x:c r="C14" s="2" t="s">
        <x:v>264</x:v>
      </x:c>
      <x:c r="D14" s="2" t="s">
        <x:v>265</x:v>
      </x:c>
      <x:c r="E14" s="2" t="s">
        <x:v>266</x:v>
      </x:c>
      <x:c r="F14" s="2" t="s">
        <x:v>267</x:v>
      </x:c>
      <x:c r="G14" s="2" t="s">
        <x:v>268</x:v>
      </x:c>
      <x:c r="H14" s="2" t="s">
        <x:v>269</x:v>
      </x:c>
      <x:c r="I14" s="2" t="s">
        <x:v>270</x:v>
      </x:c>
      <x:c r="J14" s="2" t="s">
        <x:v>271</x:v>
      </x:c>
      <x:c r="K14" s="2" t="s">
        <x:v>272</x:v>
      </x:c>
      <x:c r="L14" s="2" t="s">
        <x:v>273</x:v>
      </x:c>
      <x:c r="M14" s="2" t="s">
        <x:v>212</x:v>
      </x:c>
      <x:c r="N14" s="31">
        <x:v>1</x:v>
      </x:c>
      <x:c r="O14" s="3">
        <x:v>43626.5590277778</x:v>
      </x:c>
      <x:c r="P14" s="2" t="s">
        <x:v>86</x:v>
      </x:c>
      <x:c r="Q14" s="3">
        <x:v>45890.4131944444</x:v>
      </x:c>
      <x:c r="R14" s="2" t="s">
        <x:v>93</x:v>
      </x:c>
      <x:c r="S14" s="34" t="s">
        <x:v>43</x:v>
      </x:c>
      <x:c r="T14" s="1" t="s">
        <x:v>33</x:v>
      </x:c>
    </x:row>
    <x:row r="15" spans="1:20">
      <x:c r="B15" s="2" t="s">
        <x:v>274</x:v>
      </x:c>
      <x:c r="C15" s="2" t="s">
        <x:v>275</x:v>
      </x:c>
      <x:c r="D15" s="2" t="s">
        <x:v>276</x:v>
      </x:c>
      <x:c r="E15" s="2" t="s">
        <x:v>277</x:v>
      </x:c>
      <x:c r="F15" s="2" t="s">
        <x:v>278</x:v>
      </x:c>
      <x:c r="G15" s="2" t="s">
        <x:v>279</x:v>
      </x:c>
      <x:c r="H15" s="2" t="s">
        <x:v>280</x:v>
      </x:c>
      <x:c r="I15" s="2" t="s">
        <x:v>281</x:v>
      </x:c>
      <x:c r="J15" s="2" t="s">
        <x:v>209</x:v>
      </x:c>
      <x:c r="K15" s="2" t="s">
        <x:v>210</x:v>
      </x:c>
      <x:c r="L15" s="2" t="s">
        <x:v>282</x:v>
      </x:c>
      <x:c r="M15" s="2" t="s">
        <x:v>212</x:v>
      </x:c>
      <x:c r="N15" s="31">
        <x:v>1</x:v>
      </x:c>
      <x:c r="O15" s="3">
        <x:v>44137.4444444444</x:v>
      </x:c>
      <x:c r="P15" s="2" t="s">
        <x:v>87</x:v>
      </x:c>
      <x:c r="Q15" s="3">
        <x:v>46052.7083333333</x:v>
      </x:c>
      <x:c r="R15" s="2" t="s">
        <x:v>87</x:v>
      </x:c>
      <x:c r="S15" s="34" t="s">
        <x:v>43</x:v>
      </x:c>
      <x:c r="T15" s="1" t="s">
        <x:v>33</x:v>
      </x:c>
    </x:row>
    <x:row r="16" spans="1:20">
      <x:c r="B16" s="2" t="s">
        <x:v>283</x:v>
      </x:c>
      <x:c r="C16" s="2" t="s">
        <x:v>284</x:v>
      </x:c>
      <x:c r="D16" s="2" t="s">
        <x:v>285</x:v>
      </x:c>
      <x:c r="E16" s="2" t="s">
        <x:v>286</x:v>
      </x:c>
      <x:c r="F16" s="2" t="s">
        <x:v>287</x:v>
      </x:c>
      <x:c r="G16" s="2" t="s">
        <x:v>288</x:v>
      </x:c>
      <x:c r="H16" s="2" t="s">
        <x:v>289</x:v>
      </x:c>
      <x:c r="I16" s="2" t="s">
        <x:v>290</x:v>
      </x:c>
      <x:c r="J16" s="2" t="s">
        <x:v>291</x:v>
      </x:c>
      <x:c r="K16" s="2" t="s">
        <x:v>210</x:v>
      </x:c>
      <x:c r="L16" s="2" t="s">
        <x:v>292</x:v>
      </x:c>
      <x:c r="M16" s="2" t="s">
        <x:v>212</x:v>
      </x:c>
      <x:c r="N16" s="31">
        <x:v>1</x:v>
      </x:c>
      <x:c r="O16" s="3">
        <x:v>44327.4097222222</x:v>
      </x:c>
      <x:c r="P16" s="2" t="s">
        <x:v>93</x:v>
      </x:c>
      <x:c r="Q16" s="3">
        <x:v>46123.5243055556</x:v>
      </x:c>
      <x:c r="R16" s="2" t="s">
        <x:v>93</x:v>
      </x:c>
      <x:c r="S16" s="34" t="s">
        <x:v>43</x:v>
      </x:c>
      <x:c r="T16" s="1" t="s">
        <x:v>33</x:v>
      </x:c>
    </x:row>
    <x:row r="17" spans="1:20">
      <x:c r="B17" s="2" t="s">
        <x:v>293</x:v>
      </x:c>
      <x:c r="C17" s="2" t="s">
        <x:v>294</x:v>
      </x:c>
      <x:c r="D17" s="2" t="s">
        <x:v>295</x:v>
      </x:c>
      <x:c r="E17" s="2" t="s">
        <x:v>296</x:v>
      </x:c>
      <x:c r="F17" s="2" t="s">
        <x:v>297</x:v>
      </x:c>
      <x:c r="G17" s="2" t="s">
        <x:v>298</x:v>
      </x:c>
      <x:c r="H17" s="2" t="s">
        <x:v>299</x:v>
      </x:c>
      <x:c r="I17" s="2" t="s">
        <x:v>300</x:v>
      </x:c>
      <x:c r="J17" s="2" t="s">
        <x:v>231</x:v>
      </x:c>
      <x:c r="K17" s="2" t="s">
        <x:v>210</x:v>
      </x:c>
      <x:c r="L17" s="2" t="s">
        <x:v>301</x:v>
      </x:c>
      <x:c r="M17" s="2" t="s">
        <x:v>212</x:v>
      </x:c>
      <x:c r="N17" s="31">
        <x:v>1</x:v>
      </x:c>
      <x:c r="O17" s="3">
        <x:v>43437.4826388889</x:v>
      </x:c>
      <x:c r="P17" s="2" t="s">
        <x:v>86</x:v>
      </x:c>
      <x:c r="Q17" s="3">
        <x:v>45855.6423611111</x:v>
      </x:c>
      <x:c r="R17" s="2" t="s">
        <x:v>114</x:v>
      </x:c>
      <x:c r="S17" s="34" t="s">
        <x:v>43</x:v>
      </x:c>
      <x:c r="T17" s="1" t="s">
        <x:v>33</x:v>
      </x:c>
    </x:row>
    <x:row r="18" spans="1:20">
      <x:c r="B18" s="2" t="s">
        <x:v>302</x:v>
      </x:c>
      <x:c r="C18" s="2" t="s">
        <x:v>303</x:v>
      </x:c>
      <x:c r="D18" s="2" t="s">
        <x:v>304</x:v>
      </x:c>
      <x:c r="E18" s="2" t="s">
        <x:v>305</x:v>
      </x:c>
      <x:c r="F18" s="2" t="s">
        <x:v>306</x:v>
      </x:c>
      <x:c r="G18" s="2" t="s">
        <x:v>307</x:v>
      </x:c>
      <x:c r="H18" s="2" t="s">
        <x:v>308</x:v>
      </x:c>
      <x:c r="I18" s="2" t="s">
        <x:v>309</x:v>
      </x:c>
      <x:c r="J18" s="2" t="s">
        <x:v>310</x:v>
      </x:c>
      <x:c r="K18" s="2" t="s">
        <x:v>210</x:v>
      </x:c>
      <x:c r="L18" s="2" t="s">
        <x:v>311</x:v>
      </x:c>
      <x:c r="M18" s="2" t="s">
        <x:v>212</x:v>
      </x:c>
      <x:c r="N18" s="31">
        <x:v>1</x:v>
      </x:c>
      <x:c r="O18" s="3">
        <x:v>43570.3784722222</x:v>
      </x:c>
      <x:c r="P18" s="2" t="s">
        <x:v>87</x:v>
      </x:c>
      <x:c r="Q18" s="3">
        <x:v>46055.4236111111</x:v>
      </x:c>
      <x:c r="R18" s="2" t="s">
        <x:v>93</x:v>
      </x:c>
      <x:c r="S18" s="34" t="s">
        <x:v>43</x:v>
      </x:c>
      <x:c r="T18" s="1" t="s">
        <x:v>33</x:v>
      </x:c>
    </x:row>
    <x:row r="19" spans="1:20">
      <x:c r="B19" s="2" t="s">
        <x:v>312</x:v>
      </x:c>
      <x:c r="C19" s="2" t="s">
        <x:v>313</x:v>
      </x:c>
      <x:c r="D19" s="2" t="s">
        <x:v>314</x:v>
      </x:c>
      <x:c r="E19" s="2" t="s">
        <x:v>315</x:v>
      </x:c>
      <x:c r="F19" s="2" t="s">
        <x:v>316</x:v>
      </x:c>
      <x:c r="G19" s="2" t="s">
        <x:v>317</x:v>
      </x:c>
      <x:c r="H19" s="2" t="s">
        <x:v>318</x:v>
      </x:c>
      <x:c r="I19" s="2" t="s">
        <x:v>319</x:v>
      </x:c>
      <x:c r="J19" s="2" t="s">
        <x:v>320</x:v>
      </x:c>
      <x:c r="K19" s="2" t="s">
        <x:v>210</x:v>
      </x:c>
      <x:c r="L19" s="2" t="s">
        <x:v>321</x:v>
      </x:c>
      <x:c r="M19" s="2" t="s">
        <x:v>212</x:v>
      </x:c>
      <x:c r="N19" s="31">
        <x:v>1</x:v>
      </x:c>
      <x:c r="O19" s="3">
        <x:v>43881.4166666667</x:v>
      </x:c>
      <x:c r="P19" s="2" t="s">
        <x:v>93</x:v>
      </x:c>
      <x:c r="Q19" s="3">
        <x:v>45954.6180555556</x:v>
      </x:c>
      <x:c r="R19" s="2" t="s">
        <x:v>87</x:v>
      </x:c>
      <x:c r="S19" s="34" t="s">
        <x:v>43</x:v>
      </x:c>
      <x:c r="T19" s="1" t="s">
        <x:v>33</x:v>
      </x:c>
    </x:row>
    <x:row r="20" spans="1:20">
      <x:c r="B20" s="2" t="s">
        <x:v>322</x:v>
      </x:c>
      <x:c r="C20" s="2" t="s">
        <x:v>323</x:v>
      </x:c>
      <x:c r="D20" s="2" t="s">
        <x:v>324</x:v>
      </x:c>
      <x:c r="E20" s="2" t="s">
        <x:v>325</x:v>
      </x:c>
      <x:c r="F20" s="2" t="s">
        <x:v>326</x:v>
      </x:c>
      <x:c r="G20" s="2" t="s">
        <x:v>327</x:v>
      </x:c>
      <x:c r="H20" s="2" t="s">
        <x:v>328</x:v>
      </x:c>
      <x:c r="I20" s="2" t="s">
        <x:v>329</x:v>
      </x:c>
      <x:c r="J20" s="2" t="s">
        <x:v>221</x:v>
      </x:c>
      <x:c r="K20" s="2" t="s">
        <x:v>210</x:v>
      </x:c>
      <x:c r="L20" s="2" t="s">
        <x:v>330</x:v>
      </x:c>
      <x:c r="M20" s="2" t="s">
        <x:v>212</x:v>
      </x:c>
      <x:c r="N20" s="31">
        <x:v>1</x:v>
      </x:c>
      <x:c r="O20" s="3">
        <x:v>44410.5416666667</x:v>
      </x:c>
      <x:c r="P20" s="2" t="s">
        <x:v>86</x:v>
      </x:c>
      <x:c r="Q20" s="3">
        <x:v>46155.6875</x:v>
      </x:c>
      <x:c r="R20" s="2" t="s">
        <x:v>93</x:v>
      </x:c>
      <x:c r="S20" s="34" t="s">
        <x:v>43</x:v>
      </x:c>
      <x:c r="T20" s="1" t="s">
        <x:v>33</x:v>
      </x:c>
    </x:row>
    <x:row r="21" spans="1:20">
      <x:c r="B21" s="2" t="s">
        <x:v>331</x:v>
      </x:c>
      <x:c r="C21" s="2" t="s">
        <x:v>332</x:v>
      </x:c>
      <x:c r="D21" s="2" t="s">
        <x:v>333</x:v>
      </x:c>
      <x:c r="E21" s="2" t="s">
        <x:v>334</x:v>
      </x:c>
      <x:c r="F21" s="2" t="s">
        <x:v>335</x:v>
      </x:c>
      <x:c r="G21" s="2" t="s">
        <x:v>336</x:v>
      </x:c>
      <x:c r="H21" s="2" t="s">
        <x:v>337</x:v>
      </x:c>
      <x:c r="I21" s="2" t="s">
        <x:v>338</x:v>
      </x:c>
      <x:c r="J21" s="2" t="s">
        <x:v>339</x:v>
      </x:c>
      <x:c r="K21" s="2" t="s">
        <x:v>210</x:v>
      </x:c>
      <x:c r="L21" s="2" t="s">
        <x:v>340</x:v>
      </x:c>
      <x:c r="M21" s="2" t="s">
        <x:v>212</x:v>
      </x:c>
      <x:c r="N21" s="31">
        <x:v>1</x:v>
      </x:c>
      <x:c r="O21" s="3">
        <x:v>44816.3923611111</x:v>
      </x:c>
      <x:c r="P21" s="2" t="s">
        <x:v>87</x:v>
      </x:c>
      <x:c r="Q21" s="3">
        <x:v>46177.4722222222</x:v>
      </x:c>
      <x:c r="R21" s="2" t="s">
        <x:v>114</x:v>
      </x:c>
      <x:c r="S21" s="34" t="s">
        <x:v>43</x:v>
      </x:c>
      <x:c r="T21" s="1" t="s">
        <x:v>33</x:v>
      </x:c>
    </x:row>
    <x:row r="22" spans="1:20">
      <x:c r="B22" s="2" t="s">
        <x:v>341</x:v>
      </x:c>
      <x:c r="C22" s="2" t="s">
        <x:v>342</x:v>
      </x:c>
      <x:c r="D22" s="2" t="s">
        <x:v>343</x:v>
      </x:c>
      <x:c r="E22" s="2" t="s">
        <x:v>344</x:v>
      </x:c>
      <x:c r="F22" s="2" t="s">
        <x:v>345</x:v>
      </x:c>
      <x:c r="G22" s="2" t="s">
        <x:v>346</x:v>
      </x:c>
      <x:c r="H22" s="2" t="s">
        <x:v>347</x:v>
      </x:c>
      <x:c r="I22" s="2" t="s">
        <x:v>348</x:v>
      </x:c>
      <x:c r="J22" s="2" t="s">
        <x:v>310</x:v>
      </x:c>
      <x:c r="K22" s="2" t="s">
        <x:v>210</x:v>
      </x:c>
      <x:c r="L22" s="2" t="s">
        <x:v>349</x:v>
      </x:c>
      <x:c r="M22" s="2" t="s">
        <x:v>212</x:v>
      </x:c>
      <x:c r="N22" s="31">
        <x:v>0</x:v>
      </x:c>
      <x:c r="O22" s="3">
        <x:v>42905.4479166667</x:v>
      </x:c>
      <x:c r="P22" s="2" t="s">
        <x:v>93</x:v>
      </x:c>
      <x:c r="Q22" s="3">
        <x:v>45562.5520833333</x:v>
      </x:c>
      <x:c r="R22" s="2" t="s">
        <x:v>87</x:v>
      </x:c>
      <x:c r="S22" s="34" t="s">
        <x:v>43</x:v>
      </x:c>
      <x:c r="T22" s="1" t="s">
        <x:v>33</x:v>
      </x:c>
    </x:row>
    <x:row r="23" spans="1:20">
      <x:c r="B23" s="2" t="s">
        <x:v>350</x:v>
      </x:c>
      <x:c r="C23" s="2" t="s">
        <x:v>351</x:v>
      </x:c>
      <x:c r="D23" s="2" t="s">
        <x:v>352</x:v>
      </x:c>
      <x:c r="E23" s="2" t="s">
        <x:v>353</x:v>
      </x:c>
      <x:c r="F23" s="2" t="s">
        <x:v>354</x:v>
      </x:c>
      <x:c r="G23" s="2" t="s">
        <x:v>355</x:v>
      </x:c>
      <x:c r="H23" s="2" t="s">
        <x:v>356</x:v>
      </x:c>
      <x:c r="I23" s="2" t="s">
        <x:v>357</x:v>
      </x:c>
      <x:c r="J23" s="2" t="s">
        <x:v>241</x:v>
      </x:c>
      <x:c r="K23" s="2" t="s">
        <x:v>210</x:v>
      </x:c>
      <x:c r="L23" s="2" t="s">
        <x:v>358</x:v>
      </x:c>
      <x:c r="M23" s="2" t="s">
        <x:v>212</x:v>
      </x:c>
      <x:c r="N23" s="31">
        <x:v>1</x:v>
      </x:c>
      <x:c r="O23" s="3">
        <x:v>43374.4027777778</x:v>
      </x:c>
      <x:c r="P23" s="2" t="s">
        <x:v>86</x:v>
      </x:c>
      <x:c r="Q23" s="3">
        <x:v>45814.4201388889</x:v>
      </x:c>
      <x:c r="R23" s="2" t="s">
        <x:v>93</x:v>
      </x:c>
      <x:c r="S23" s="34" t="s">
        <x:v>43</x:v>
      </x:c>
      <x:c r="T23" s="1" t="s">
        <x:v>33</x:v>
      </x:c>
    </x:row>
    <x:row r="24" spans="1:20">
      <x:c r="B24" s="2" t="s">
        <x:v>359</x:v>
      </x:c>
      <x:c r="C24" s="2" t="s">
        <x:v>360</x:v>
      </x:c>
      <x:c r="D24" s="2" t="s">
        <x:v>361</x:v>
      </x:c>
      <x:c r="E24" s="2" t="s">
        <x:v>362</x:v>
      </x:c>
      <x:c r="F24" s="2" t="s">
        <x:v>363</x:v>
      </x:c>
      <x:c r="G24" s="2" t="s">
        <x:v>364</x:v>
      </x:c>
      <x:c r="H24" s="2" t="s">
        <x:v>365</x:v>
      </x:c>
      <x:c r="I24" s="2" t="s">
        <x:v>366</x:v>
      </x:c>
      <x:c r="J24" s="2" t="s">
        <x:v>221</x:v>
      </x:c>
      <x:c r="K24" s="2" t="s">
        <x:v>210</x:v>
      </x:c>
      <x:c r="L24" s="2" t="s">
        <x:v>367</x:v>
      </x:c>
      <x:c r="M24" s="2" t="s">
        <x:v>212</x:v>
      </x:c>
      <x:c r="N24" s="31">
        <x:v>1</x:v>
      </x:c>
      <x:c r="O24" s="3">
        <x:v>43808.46875</x:v>
      </x:c>
      <x:c r="P24" s="2" t="s">
        <x:v>87</x:v>
      </x:c>
      <x:c r="Q24" s="3">
        <x:v>46099.625</x:v>
      </x:c>
      <x:c r="R24" s="2" t="s">
        <x:v>114</x:v>
      </x:c>
      <x:c r="S24" s="34" t="s">
        <x:v>43</x:v>
      </x:c>
      <x:c r="T24" s="1" t="s">
        <x:v>33</x:v>
      </x:c>
    </x:row>
    <x:row r="25" spans="1:20">
      <x:c r="B25" s="2" t="s">
        <x:v>368</x:v>
      </x:c>
      <x:c r="C25" s="2" t="s">
        <x:v>369</x:v>
      </x:c>
      <x:c r="D25" s="2" t="s">
        <x:v>370</x:v>
      </x:c>
      <x:c r="E25" s="2" t="s">
        <x:v>371</x:v>
      </x:c>
      <x:c r="F25" s="2" t="s">
        <x:v>372</x:v>
      </x:c>
      <x:c r="G25" s="2" t="s">
        <x:v>373</x:v>
      </x:c>
      <x:c r="H25" s="2" t="s">
        <x:v>374</x:v>
      </x:c>
      <x:c r="I25" s="2" t="s">
        <x:v>375</x:v>
      </x:c>
      <x:c r="J25" s="2" t="s">
        <x:v>376</x:v>
      </x:c>
      <x:c r="K25" s="2" t="s">
        <x:v>210</x:v>
      </x:c>
      <x:c r="L25" s="2" t="s">
        <x:v>377</x:v>
      </x:c>
      <x:c r="M25" s="2" t="s">
        <x:v>212</x:v>
      </x:c>
      <x:c r="N25" s="31">
        <x:v>1</x:v>
      </x:c>
      <x:c r="O25" s="3">
        <x:v>43976.3715277778</x:v>
      </x:c>
      <x:c r="P25" s="2" t="s">
        <x:v>93</x:v>
      </x:c>
      <x:c r="Q25" s="3">
        <x:v>46006.6805555556</x:v>
      </x:c>
      <x:c r="R25" s="2" t="s">
        <x:v>93</x:v>
      </x:c>
      <x:c r="S25" s="34" t="s">
        <x:v>43</x:v>
      </x:c>
      <x:c r="T25" s="1" t="s">
        <x:v>33</x:v>
      </x:c>
    </x:row>
    <x:row r="26" spans="1:20">
      <x:c r="B26" s="2" t="s">
        <x:v>378</x:v>
      </x:c>
      <x:c r="C26" s="2" t="s">
        <x:v>379</x:v>
      </x:c>
      <x:c r="D26" s="2" t="s">
        <x:v>380</x:v>
      </x:c>
      <x:c r="E26" s="2" t="s">
        <x:v>381</x:v>
      </x:c>
      <x:c r="F26" s="2" t="s">
        <x:v>382</x:v>
      </x:c>
      <x:c r="G26" s="2" t="s">
        <x:v>383</x:v>
      </x:c>
      <x:c r="H26" s="2" t="s">
        <x:v>384</x:v>
      </x:c>
      <x:c r="I26" s="2" t="s">
        <x:v>385</x:v>
      </x:c>
      <x:c r="J26" s="2" t="s">
        <x:v>221</x:v>
      </x:c>
      <x:c r="K26" s="2" t="s">
        <x:v>210</x:v>
      </x:c>
      <x:c r="L26" s="2" t="s">
        <x:v>386</x:v>
      </x:c>
      <x:c r="M26" s="2" t="s">
        <x:v>212</x:v>
      </x:c>
      <x:c r="N26" s="31">
        <x:v>1</x:v>
      </x:c>
      <x:c r="O26" s="3">
        <x:v>44214.3993055556</x:v>
      </x:c>
      <x:c r="P26" s="2" t="s">
        <x:v>114</x:v>
      </x:c>
      <x:c r="Q26" s="3">
        <x:v>46136.5</x:v>
      </x:c>
      <x:c r="R26" s="2" t="s">
        <x:v>114</x:v>
      </x:c>
      <x:c r="S26" s="34" t="s">
        <x:v>43</x:v>
      </x:c>
      <x:c r="T26" s="1" t="s">
        <x:v>33</x:v>
      </x:c>
    </x:row>
    <x:row r="27" spans="1:20">
      <x:c r="B27" s="2" t="s">
        <x:v>387</x:v>
      </x:c>
      <x:c r="C27" s="2" t="s">
        <x:v>388</x:v>
      </x:c>
      <x:c r="D27" s="2" t="s">
        <x:v>389</x:v>
      </x:c>
      <x:c r="E27" s="2" t="s">
        <x:v>390</x:v>
      </x:c>
      <x:c r="F27" s="2" t="s">
        <x:v>391</x:v>
      </x:c>
      <x:c r="G27" s="2" t="s">
        <x:v>392</x:v>
      </x:c>
      <x:c r="H27" s="2" t="s">
        <x:v>393</x:v>
      </x:c>
      <x:c r="I27" s="2" t="s">
        <x:v>394</x:v>
      </x:c>
      <x:c r="J27" s="2" t="s">
        <x:v>395</x:v>
      </x:c>
      <x:c r="K27" s="2" t="s">
        <x:v>210</x:v>
      </x:c>
      <x:c r="L27" s="2" t="s">
        <x:v>396</x:v>
      </x:c>
      <x:c r="M27" s="2" t="s">
        <x:v>212</x:v>
      </x:c>
      <x:c r="N27" s="31">
        <x:v>1</x:v>
      </x:c>
      <x:c r="O27" s="3">
        <x:v>44655.4340277778</x:v>
      </x:c>
      <x:c r="P27" s="2" t="s">
        <x:v>86</x:v>
      </x:c>
      <x:c r="Q27" s="3">
        <x:v>46144.6145833333</x:v>
      </x:c>
      <x:c r="R27" s="2" t="s">
        <x:v>93</x:v>
      </x:c>
      <x:c r="S27" s="34" t="s">
        <x:v>43</x:v>
      </x:c>
      <x:c r="T27" s="1" t="s">
        <x:v>33</x:v>
      </x:c>
    </x:row>
    <x:row r="28" spans="1:20">
      <x:c r="B28" s="2" t="s">
        <x:v>397</x:v>
      </x:c>
      <x:c r="C28" s="2" t="s">
        <x:v>398</x:v>
      </x:c>
      <x:c r="D28" s="2" t="s">
        <x:v>399</x:v>
      </x:c>
      <x:c r="E28" s="2" t="s">
        <x:v>400</x:v>
      </x:c>
      <x:c r="F28" s="2" t="s">
        <x:v>401</x:v>
      </x:c>
      <x:c r="G28" s="2" t="s">
        <x:v>402</x:v>
      </x:c>
      <x:c r="H28" s="2" t="s">
        <x:v>403</x:v>
      </x:c>
      <x:c r="I28" s="2" t="s">
        <x:v>404</x:v>
      </x:c>
      <x:c r="J28" s="2" t="s">
        <x:v>320</x:v>
      </x:c>
      <x:c r="K28" s="2" t="s">
        <x:v>210</x:v>
      </x:c>
      <x:c r="L28" s="2" t="s">
        <x:v>405</x:v>
      </x:c>
      <x:c r="M28" s="2" t="s">
        <x:v>212</x:v>
      </x:c>
      <x:c r="N28" s="31">
        <x:v>1</x:v>
      </x:c>
      <x:c r="O28" s="3">
        <x:v>43164.3888888889</x:v>
      </x:c>
      <x:c r="P28" s="2" t="s">
        <x:v>87</x:v>
      </x:c>
      <x:c r="Q28" s="3">
        <x:v>45800.4965277778</x:v>
      </x:c>
      <x:c r="R28" s="2" t="s">
        <x:v>87</x:v>
      </x:c>
      <x:c r="S28" s="34" t="s">
        <x:v>43</x:v>
      </x:c>
      <x:c r="T28" s="1" t="s">
        <x:v>33</x:v>
      </x:c>
    </x:row>
    <x:row r="29" spans="1:20">
      <x:c r="B29" s="2" t="s">
        <x:v>406</x:v>
      </x:c>
      <x:c r="C29" s="2" t="s">
        <x:v>407</x:v>
      </x:c>
      <x:c r="D29" s="2" t="s">
        <x:v>408</x:v>
      </x:c>
      <x:c r="E29" s="2" t="s">
        <x:v>409</x:v>
      </x:c>
      <x:c r="F29" s="2" t="s">
        <x:v>410</x:v>
      </x:c>
      <x:c r="G29" s="2" t="s">
        <x:v>411</x:v>
      </x:c>
      <x:c r="H29" s="2" t="s">
        <x:v>412</x:v>
      </x:c>
      <x:c r="I29" s="2" t="s">
        <x:v>413</x:v>
      </x:c>
      <x:c r="J29" s="2" t="s">
        <x:v>320</x:v>
      </x:c>
      <x:c r="K29" s="2" t="s">
        <x:v>210</x:v>
      </x:c>
      <x:c r="L29" s="2" t="s">
        <x:v>414</x:v>
      </x:c>
      <x:c r="M29" s="2" t="s">
        <x:v>212</x:v>
      </x:c>
      <x:c r="N29" s="31">
        <x:v>1</x:v>
      </x:c>
      <x:c r="O29" s="3">
        <x:v>43696.5486111111</x:v>
      </x:c>
      <x:c r="P29" s="2" t="s">
        <x:v>93</x:v>
      </x:c>
      <x:c r="Q29" s="3">
        <x:v>46038.40625</x:v>
      </x:c>
      <x:c r="R29" s="2" t="s">
        <x:v>93</x:v>
      </x:c>
      <x:c r="S29" s="34" t="s">
        <x:v>43</x:v>
      </x:c>
      <x:c r="T29" s="1" t="s">
        <x:v>33</x:v>
      </x:c>
    </x:row>
    <x:row r="30" spans="1:20">
      <x:c r="B30" s="2" t="s">
        <x:v>415</x:v>
      </x:c>
      <x:c r="C30" s="2" t="s">
        <x:v>416</x:v>
      </x:c>
      <x:c r="D30" s="2" t="s">
        <x:v>417</x:v>
      </x:c>
      <x:c r="E30" s="2" t="s">
        <x:v>418</x:v>
      </x:c>
      <x:c r="F30" s="2" t="s">
        <x:v>419</x:v>
      </x:c>
      <x:c r="G30" s="2" t="s">
        <x:v>420</x:v>
      </x:c>
      <x:c r="H30" s="2" t="s">
        <x:v>421</x:v>
      </x:c>
      <x:c r="I30" s="2" t="s">
        <x:v>422</x:v>
      </x:c>
      <x:c r="J30" s="2" t="s">
        <x:v>423</x:v>
      </x:c>
      <x:c r="K30" s="2" t="s">
        <x:v>210</x:v>
      </x:c>
      <x:c r="L30" s="2" t="s">
        <x:v>424</x:v>
      </x:c>
      <x:c r="M30" s="2" t="s">
        <x:v>212</x:v>
      </x:c>
      <x:c r="N30" s="31">
        <x:v>1</x:v>
      </x:c>
      <x:c r="O30" s="3">
        <x:v>44081.4513888889</x:v>
      </x:c>
      <x:c r="P30" s="2" t="s">
        <x:v>86</x:v>
      </x:c>
      <x:c r="Q30" s="3">
        <x:v>45902.6493055556</x:v>
      </x:c>
      <x:c r="R30" s="2" t="s">
        <x:v>114</x:v>
      </x:c>
      <x:c r="S30" s="34" t="s">
        <x:v>43</x:v>
      </x:c>
      <x:c r="T30" s="1" t="s">
        <x:v>33</x:v>
      </x:c>
    </x:row>
    <x:row r="31" spans="1:20">
      <x:c r="B31" s="2" t="s">
        <x:v>425</x:v>
      </x:c>
      <x:c r="C31" s="2" t="s">
        <x:v>426</x:v>
      </x:c>
      <x:c r="D31" s="2" t="s">
        <x:v>427</x:v>
      </x:c>
      <x:c r="E31" s="2" t="s">
        <x:v>428</x:v>
      </x:c>
      <x:c r="F31" s="2" t="s">
        <x:v>429</x:v>
      </x:c>
      <x:c r="G31" s="2" t="s">
        <x:v>430</x:v>
      </x:c>
      <x:c r="H31" s="2" t="s">
        <x:v>431</x:v>
      </x:c>
      <x:c r="I31" s="2" t="s">
        <x:v>432</x:v>
      </x:c>
      <x:c r="J31" s="2" t="s">
        <x:v>320</x:v>
      </x:c>
      <x:c r="K31" s="2" t="s">
        <x:v>210</x:v>
      </x:c>
      <x:c r="L31" s="2" t="s">
        <x:v>433</x:v>
      </x:c>
      <x:c r="M31" s="2" t="s">
        <x:v>212</x:v>
      </x:c>
      <x:c r="N31" s="31">
        <x:v>1</x:v>
      </x:c>
      <x:c r="O31" s="3">
        <x:v>44501.4131944444</x:v>
      </x:c>
      <x:c r="P31" s="2" t="s">
        <x:v>87</x:v>
      </x:c>
      <x:c r="Q31" s="3">
        <x:v>46191.4340277778</x:v>
      </x:c>
      <x:c r="R31" s="2" t="s">
        <x:v>87</x:v>
      </x:c>
      <x:c r="S31" s="34" t="s">
        <x:v>43</x:v>
      </x:c>
      <x:c r="T31" s="1" t="s">
        <x:v>33</x:v>
      </x:c>
    </x:row>
    <x:row r="32" spans="1:20">
      <x:c r="B32" s="2" t="s">
        <x:v>434</x:v>
      </x:c>
      <x:c r="C32" s="2" t="s">
        <x:v>435</x:v>
      </x:c>
      <x:c r="D32" s="2" t="s">
        <x:v>436</x:v>
      </x:c>
      <x:c r="E32" s="2" t="s">
        <x:v>437</x:v>
      </x:c>
      <x:c r="F32" s="2" t="s">
        <x:v>438</x:v>
      </x:c>
      <x:c r="G32" s="2" t="s">
        <x:v>439</x:v>
      </x:c>
      <x:c r="H32" s="2" t="s">
        <x:v>440</x:v>
      </x:c>
      <x:c r="I32" s="2" t="s">
        <x:v>290</x:v>
      </x:c>
      <x:c r="J32" s="2" t="s">
        <x:v>241</x:v>
      </x:c>
      <x:c r="K32" s="2" t="s">
        <x:v>210</x:v>
      </x:c>
      <x:c r="L32" s="2" t="s">
        <x:v>441</x:v>
      </x:c>
      <x:c r="M32" s="2" t="s">
        <x:v>212</x:v>
      </x:c>
      <x:c r="N32" s="31">
        <x:v>1</x:v>
      </x:c>
      <x:c r="O32" s="3">
        <x:v>44907.4618055556</x:v>
      </x:c>
      <x:c r="P32" s="2" t="s">
        <x:v>93</x:v>
      </x:c>
      <x:c r="Q32" s="3">
        <x:v>46203.7222222222</x:v>
      </x:c>
      <x:c r="R32" s="2" t="s">
        <x:v>93</x:v>
      </x:c>
      <x:c r="S32" s="34" t="s">
        <x:v>43</x:v>
      </x:c>
      <x:c r="T32" s="1" t="s">
        <x:v>33</x:v>
      </x:c>
    </x:row>
    <x:row r="33" spans="1:20">
      <x:c r="B33" s="2" t="s">
        <x:v>442</x:v>
      </x:c>
      <x:c r="C33" s="2" t="s">
        <x:v>443</x:v>
      </x:c>
      <x:c r="D33" s="2" t="s">
        <x:v>444</x:v>
      </x:c>
      <x:c r="E33" s="2" t="s">
        <x:v>445</x:v>
      </x:c>
      <x:c r="F33" s="2" t="s">
        <x:v>446</x:v>
      </x:c>
      <x:c r="G33" s="2" t="s">
        <x:v>447</x:v>
      </x:c>
      <x:c r="H33" s="2" t="s">
        <x:v>448</x:v>
      </x:c>
      <x:c r="I33" s="2" t="s">
        <x:v>449</x:v>
      </x:c>
      <x:c r="J33" s="2" t="s">
        <x:v>241</x:v>
      </x:c>
      <x:c r="K33" s="2" t="s">
        <x:v>210</x:v>
      </x:c>
      <x:c r="L33" s="2" t="s">
        <x:v>450</x:v>
      </x:c>
      <x:c r="M33" s="2" t="s">
        <x:v>212</x:v>
      </x:c>
      <x:c r="N33" s="31">
        <x:v>1</x:v>
      </x:c>
      <x:c r="O33" s="3">
        <x:v>43024.3854166667</x:v>
      </x:c>
      <x:c r="P33" s="2" t="s">
        <x:v>86</x:v>
      </x:c>
      <x:c r="Q33" s="3">
        <x:v>45686.5694444444</x:v>
      </x:c>
      <x:c r="R33" s="2" t="s">
        <x:v>87</x:v>
      </x:c>
      <x:c r="S33" s="34" t="s">
        <x:v>43</x:v>
      </x:c>
      <x:c r="T33" s="1" t="s">
        <x:v>33</x:v>
      </x:c>
    </x:row>
    <x:row r="34" spans="1:20">
      <x:c r="B34" s="2" t="s">
        <x:v>451</x:v>
      </x:c>
      <x:c r="C34" s="2" t="s">
        <x:v>452</x:v>
      </x:c>
      <x:c r="D34" s="2" t="s">
        <x:v>453</x:v>
      </x:c>
      <x:c r="E34" s="2" t="s">
        <x:v>454</x:v>
      </x:c>
      <x:c r="F34" s="2" t="s">
        <x:v>455</x:v>
      </x:c>
      <x:c r="G34" s="2" t="s">
        <x:v>456</x:v>
      </x:c>
      <x:c r="H34" s="2" t="s">
        <x:v>457</x:v>
      </x:c>
      <x:c r="I34" s="2" t="s">
        <x:v>458</x:v>
      </x:c>
      <x:c r="J34" s="2" t="s">
        <x:v>231</x:v>
      </x:c>
      <x:c r="K34" s="2" t="s">
        <x:v>210</x:v>
      </x:c>
      <x:c r="L34" s="2" t="s">
        <x:v>459</x:v>
      </x:c>
      <x:c r="M34" s="2" t="s">
        <x:v>212</x:v>
      </x:c>
      <x:c r="N34" s="31">
        <x:v>0</x:v>
      </x:c>
      <x:c r="O34" s="3">
        <x:v>43304.4409722222</x:v>
      </x:c>
      <x:c r="P34" s="2" t="s">
        <x:v>87</x:v>
      </x:c>
      <x:c r="Q34" s="3">
        <x:v>45604.7013888889</x:v>
      </x:c>
      <x:c r="R34" s="2" t="s">
        <x:v>93</x:v>
      </x:c>
      <x:c r="S34" s="34" t="s">
        <x:v>43</x:v>
      </x:c>
      <x:c r="T34" s="1" t="s">
        <x:v>33</x:v>
      </x:c>
    </x:row>
    <x:row r="35" spans="1:20">
      <x:c r="B35" s="2" t="s">
        <x:v>460</x:v>
      </x:c>
      <x:c r="C35" s="2" t="s">
        <x:v>461</x:v>
      </x:c>
      <x:c r="D35" s="2" t="s">
        <x:v>462</x:v>
      </x:c>
      <x:c r="E35" s="2" t="s">
        <x:v>463</x:v>
      </x:c>
      <x:c r="F35" s="2" t="s">
        <x:v>464</x:v>
      </x:c>
      <x:c r="G35" s="2" t="s">
        <x:v>465</x:v>
      </x:c>
      <x:c r="H35" s="2" t="s">
        <x:v>466</x:v>
      </x:c>
      <x:c r="I35" s="2" t="s">
        <x:v>366</x:v>
      </x:c>
      <x:c r="J35" s="2" t="s">
        <x:v>209</x:v>
      </x:c>
      <x:c r="K35" s="2" t="s">
        <x:v>210</x:v>
      </x:c>
      <x:c r="L35" s="2" t="s">
        <x:v>467</x:v>
      </x:c>
      <x:c r="M35" s="2" t="s">
        <x:v>212</x:v>
      </x:c>
      <x:c r="N35" s="31">
        <x:v>1</x:v>
      </x:c>
      <x:c r="O35" s="3">
        <x:v>43592.3784722222</x:v>
      </x:c>
      <x:c r="P35" s="2" t="s">
        <x:v>93</x:v>
      </x:c>
      <x:c r="Q35" s="3">
        <x:v>46106.4791666667</x:v>
      </x:c>
      <x:c r="R35" s="2" t="s">
        <x:v>93</x:v>
      </x:c>
      <x:c r="S35" s="34" t="s">
        <x:v>43</x:v>
      </x:c>
      <x:c r="T35" s="1" t="s">
        <x:v>33</x:v>
      </x:c>
    </x:row>
    <x:row r="36" spans="1:20">
      <x:c r="B36" s="2" t="s">
        <x:v>468</x:v>
      </x:c>
      <x:c r="C36" s="2" t="s">
        <x:v>469</x:v>
      </x:c>
      <x:c r="D36" s="2" t="s">
        <x:v>470</x:v>
      </x:c>
      <x:c r="E36" s="2" t="s">
        <x:v>471</x:v>
      </x:c>
      <x:c r="F36" s="2" t="s">
        <x:v>472</x:v>
      </x:c>
      <x:c r="G36" s="2" t="s">
        <x:v>473</x:v>
      </x:c>
      <x:c r="H36" s="2" t="s">
        <x:v>474</x:v>
      </x:c>
      <x:c r="I36" s="2" t="s">
        <x:v>475</x:v>
      </x:c>
      <x:c r="J36" s="2" t="s">
        <x:v>339</x:v>
      </x:c>
      <x:c r="K36" s="2" t="s">
        <x:v>210</x:v>
      </x:c>
      <x:c r="L36" s="2" t="s">
        <x:v>476</x:v>
      </x:c>
      <x:c r="M36" s="2" t="s">
        <x:v>212</x:v>
      </x:c>
      <x:c r="N36" s="31">
        <x:v>1</x:v>
      </x:c>
      <x:c r="O36" s="3">
        <x:v>43906.4236111111</x:v>
      </x:c>
      <x:c r="P36" s="2" t="s">
        <x:v>86</x:v>
      </x:c>
      <x:c r="Q36" s="3">
        <x:v>45877.59375</x:v>
      </x:c>
      <x:c r="R36" s="2" t="s">
        <x:v>87</x:v>
      </x:c>
      <x:c r="S36" s="34" t="s">
        <x:v>43</x:v>
      </x:c>
      <x:c r="T36" s="1" t="s">
        <x:v>33</x:v>
      </x:c>
    </x:row>
    <x:row r="37" spans="1:20">
      <x:c r="B37" s="2" t="s">
        <x:v>477</x:v>
      </x:c>
      <x:c r="C37" s="2" t="s">
        <x:v>478</x:v>
      </x:c>
      <x:c r="D37" s="2" t="s">
        <x:v>479</x:v>
      </x:c>
      <x:c r="E37" s="2" t="s">
        <x:v>480</x:v>
      </x:c>
      <x:c r="F37" s="2" t="s">
        <x:v>481</x:v>
      </x:c>
      <x:c r="G37" s="2" t="s">
        <x:v>482</x:v>
      </x:c>
      <x:c r="H37" s="2" t="s">
        <x:v>483</x:v>
      </x:c>
      <x:c r="I37" s="2" t="s">
        <x:v>484</x:v>
      </x:c>
      <x:c r="J37" s="2" t="s">
        <x:v>221</x:v>
      </x:c>
      <x:c r="K37" s="2" t="s">
        <x:v>210</x:v>
      </x:c>
      <x:c r="L37" s="2" t="s">
        <x:v>485</x:v>
      </x:c>
      <x:c r="M37" s="2" t="s">
        <x:v>212</x:v>
      </x:c>
      <x:c r="N37" s="31">
        <x:v>0</x:v>
      </x:c>
      <x:c r="O37" s="3">
        <x:v>44375.3923611111</x:v>
      </x:c>
      <x:c r="P37" s="2" t="s">
        <x:v>87</x:v>
      </x:c>
      <x:c r="Q37" s="3">
        <x:v>46010.53125</x:v>
      </x:c>
      <x:c r="R37" s="2" t="s">
        <x:v>114</x:v>
      </x:c>
      <x:c r="S37" s="34" t="s">
        <x:v>43</x:v>
      </x:c>
      <x:c r="T37" s="1" t="s">
        <x:v>33</x:v>
      </x:c>
    </x:row>
  </x:sheetData>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43"/>
  <x:sheetViews>
    <x:sheetView tabSelected="1" zoomScale="85" zoomScaleNormal="85" workbookViewId="0">
      <x:pane xSplit="3" ySplit="7" topLeftCell="D8" activePane="bottomRight" state="frozenSplit"/>
      <x:selection activeCell="B2" sqref="B2"/>
      <x:selection pane="bottomRight" activeCell="B2" sqref="B2"/>
    </x:sheetView>
  </x:sheetViews>
  <x:sheetFormatPr defaultColWidth="9.179688" defaultRowHeight="14.5"/>
  <x:cols>
    <x:col min="1" max="1" width="18.726562" style="1" customWidth="1"/>
    <x:col min="2" max="2" width="40.726562" style="2" customWidth="1"/>
    <x:col min="3" max="3" width="41.816406" style="2" customWidth="1"/>
    <x:col min="4" max="4" width="16.726562" style="2" customWidth="1"/>
    <x:col min="5" max="5" width="25.269531" style="2" customWidth="1"/>
    <x:col min="6" max="8" width="14.726562" style="1" customWidth="1"/>
    <x:col min="9" max="9" width="21.632812" style="30" customWidth="1"/>
    <x:col min="10" max="10" width="20.363281" style="30" customWidth="1"/>
    <x:col min="11" max="11" width="16.726562" style="2" customWidth="1"/>
    <x:col min="12" max="12" width="11.453125"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c r="A1" s="38" t="s">
        <x:v>486</x:v>
      </x:c>
      <x:c r="B1" s="39" t="s">
        <x:v>487</x:v>
      </x:c>
      <x:c r="C1" s="40" t="s">
        <x:v>488</x:v>
      </x:c>
      <x:c r="D1" s="39" t="s">
        <x:v>489</x:v>
      </x:c>
      <x:c r="E1" s="40" t="s">
        <x:v>4</x:v>
      </x:c>
      <x:c r="F1" s="39" t="s">
        <x:v>5</x:v>
      </x:c>
      <x:c r="I1" s="26"/>
      <x:c r="J1" s="26"/>
      <x:c r="K1" s="9"/>
      <x:c r="M1" s="8"/>
      <x:c r="N1" s="9"/>
      <x:c r="O1" s="8"/>
      <x:c r="P1" s="9"/>
    </x:row>
    <x:row r="2" spans="1:18" ht="28.5" customHeight="1" s="4" customFormat="1">
      <x:c r="A2" s="38" t="s">
        <x:v>491</x:v>
      </x:c>
      <x:c r="B2" s="55" t="s">
        <x:v>175</x:v>
      </x:c>
      <x:c r="C2" s="9"/>
      <x:c r="D2" s="9"/>
      <x:c r="E2" s="9"/>
      <x:c r="I2" s="26"/>
      <x:c r="J2" s="26"/>
      <x:c r="K2" s="9"/>
      <x:c r="M2" s="8"/>
      <x:c r="N2" s="9"/>
      <x:c r="O2" s="8"/>
      <x:c r="P2" s="9"/>
    </x:row>
    <x:row r="3" spans="1:18" ht="29" customHeight="1" s="4" customFormat="1">
      <x:c r="A3" s="41" t="s">
        <x:v>490</x:v>
      </x:c>
      <x:c r="B3" s="42" t="s">
        <x:v>492</x:v>
      </x:c>
      <x:c r="C3" s="43" t="s">
        <x:v>493</x:v>
      </x:c>
      <x:c r="D3" s="43" t="s">
        <x:v>494</x:v>
      </x:c>
      <x:c r="E3" s="43" t="s">
        <x:v>495</x:v>
      </x:c>
      <x:c r="F3" s="53" t="s">
        <x:v>496</x:v>
      </x:c>
      <x:c r="G3" s="53" t="s">
        <x:v>497</x:v>
      </x:c>
      <x:c r="H3" s="53" t="s">
        <x:v>498</x:v>
      </x:c>
      <x:c r="I3" s="56" t="s">
        <x:v>499</x:v>
      </x:c>
      <x:c r="J3" s="56" t="s">
        <x:v>500</x:v>
      </x:c>
      <x:c r="K3" s="43" t="s">
        <x:v>501</x:v>
      </x:c>
      <x:c r="L3" s="53" t="s">
        <x:v>71</x:v>
      </x:c>
      <x:c r="M3" s="44" t="s">
        <x:v>12</x:v>
      </x:c>
      <x:c r="N3" s="43" t="s">
        <x:v>13</x:v>
      </x:c>
      <x:c r="O3" s="44" t="s">
        <x:v>14</x:v>
      </x:c>
      <x:c r="P3" s="43" t="s">
        <x:v>15</x:v>
      </x:c>
      <x:c r="Q3" s="45" t="s">
        <x:v>502</x:v>
      </x:c>
      <x:c r="R3" s="45" t="s">
        <x:v>503</x:v>
      </x:c>
    </x:row>
    <x:row r="4" spans="1:18" ht="18.5" customHeight="1" s="4" customFormat="1">
      <x:c r="A4" s="41" t="s">
        <x:v>504</x:v>
      </x:c>
      <x:c r="B4" s="42" t="s">
        <x:v>505</x:v>
      </x:c>
      <x:c r="C4" s="43" t="s">
        <x:v>506</x:v>
      </x:c>
      <x:c r="D4" s="43" t="s">
        <x:v>507</x:v>
      </x:c>
      <x:c r="E4" s="43" t="s">
        <x:v>508</x:v>
      </x:c>
      <x:c r="F4" s="47" t="s">
        <x:v>509</x:v>
      </x:c>
      <x:c r="G4" s="47" t="s">
        <x:v>510</x:v>
      </x:c>
      <x:c r="H4" s="47" t="s">
        <x:v>511</x:v>
      </x:c>
      <x:c r="I4" s="57" t="s">
        <x:v>512</x:v>
      </x:c>
      <x:c r="J4" s="57" t="s">
        <x:v>513</x:v>
      </x:c>
      <x:c r="K4" s="43" t="s">
        <x:v>514</x:v>
      </x:c>
      <x:c r="L4" s="47" t="s">
        <x:v>515</x:v>
      </x:c>
      <x:c r="M4" s="46" t="s">
        <x:v>516</x:v>
      </x:c>
      <x:c r="N4" s="43" t="s">
        <x:v>517</x:v>
      </x:c>
      <x:c r="O4" s="46" t="s">
        <x:v>518</x:v>
      </x:c>
      <x:c r="P4" s="43" t="s">
        <x:v>519</x:v>
      </x:c>
      <x:c r="Q4" s="47"/>
      <x:c r="R4" s="47"/>
    </x:row>
    <x:row r="5" spans="1:18" s="4" customFormat="1">
      <x:c r="A5" s="41" t="s">
        <x:v>520</x:v>
      </x:c>
      <x:c r="B5" s="42" t="s">
        <x:v>77</x:v>
      </x:c>
      <x:c r="C5" s="43" t="s">
        <x:v>199</x:v>
      </x:c>
      <x:c r="D5" s="43" t="s">
        <x:v>521</x:v>
      </x:c>
      <x:c r="E5" s="43" t="s">
        <x:v>30</x:v>
      </x:c>
      <x:c r="F5" s="53" t="s">
        <x:v>80</x:v>
      </x:c>
      <x:c r="G5" s="53" t="s">
        <x:v>80</x:v>
      </x:c>
      <x:c r="H5" s="53" t="s">
        <x:v>522</x:v>
      </x:c>
      <x:c r="I5" s="56" t="s">
        <x:v>523</x:v>
      </x:c>
      <x:c r="J5" s="56" t="s">
        <x:v>523</x:v>
      </x:c>
      <x:c r="K5" s="43" t="s">
        <x:v>524</x:v>
      </x:c>
      <x:c r="L5" s="53" t="s">
        <x:v>80</x:v>
      </x:c>
      <x:c r="M5" s="44" t="s">
        <x:v>29</x:v>
      </x:c>
      <x:c r="N5" s="43" t="s">
        <x:v>30</x:v>
      </x:c>
      <x:c r="O5" s="44" t="s">
        <x:v>29</x:v>
      </x:c>
      <x:c r="P5" s="43" t="s">
        <x:v>30</x:v>
      </x:c>
      <x:c r="Q5" s="47"/>
      <x:c r="R5" s="47"/>
    </x:row>
    <x:row r="6" spans="1:18" s="4" customFormat="1">
      <x:c r="A6" s="38" t="s">
        <x:v>525</x:v>
      </x:c>
      <x:c r="B6" s="42" t="s">
        <x:v>32</x:v>
      </x:c>
      <x:c r="C6" s="43" t="s">
        <x:v>33</x:v>
      </x:c>
      <x:c r="D6" s="43" t="s">
        <x:v>33</x:v>
      </x:c>
      <x:c r="E6" s="43" t="s">
        <x:v>34</x:v>
      </x:c>
      <x:c r="F6" s="53" t="s">
        <x:v>35</x:v>
      </x:c>
      <x:c r="G6" s="53" t="s">
        <x:v>35</x:v>
      </x:c>
      <x:c r="H6" s="53" t="s">
        <x:v>34</x:v>
      </x:c>
      <x:c r="I6" s="56" t="s">
        <x:v>35</x:v>
      </x:c>
      <x:c r="J6" s="56" t="s">
        <x:v>35</x:v>
      </x:c>
      <x:c r="K6" s="43" t="s">
        <x:v>35</x:v>
      </x:c>
      <x:c r="L6" s="53" t="s">
        <x:v>35</x:v>
      </x:c>
      <x:c r="M6" s="44" t="s">
        <x:v>35</x:v>
      </x:c>
      <x:c r="N6" s="43" t="s">
        <x:v>33</x:v>
      </x:c>
      <x:c r="O6" s="44" t="s">
        <x:v>35</x:v>
      </x:c>
      <x:c r="P6" s="43" t="s">
        <x:v>33</x:v>
      </x:c>
      <x:c r="Q6" s="47"/>
      <x:c r="R6" s="47"/>
    </x:row>
    <x:row r="7" spans="1:18">
      <x:c r="A7" s="48" t="s">
        <x:v>526</x:v>
      </x:c>
      <x:c r="B7" s="49" t="s">
        <x:v>37</x:v>
      </x:c>
      <x:c r="C7" s="50" t="s">
        <x:v>37</x:v>
      </x:c>
      <x:c r="D7" s="50" t="s">
        <x:v>37</x:v>
      </x:c>
      <x:c r="E7" s="50" t="s">
        <x:v>37</x:v>
      </x:c>
      <x:c r="F7" s="54" t="s">
        <x:v>37</x:v>
      </x:c>
      <x:c r="G7" s="54" t="s">
        <x:v>37</x:v>
      </x:c>
      <x:c r="H7" s="54" t="s">
        <x:v>37</x:v>
      </x:c>
      <x:c r="I7" s="58" t="s">
        <x:v>37</x:v>
      </x:c>
      <x:c r="J7" s="58" t="s">
        <x:v>37</x:v>
      </x:c>
      <x:c r="K7" s="50" t="s">
        <x:v>37</x:v>
      </x:c>
      <x:c r="L7" s="54" t="s">
        <x:v>37</x:v>
      </x:c>
      <x:c r="M7" s="51" t="s">
        <x:v>37</x:v>
      </x:c>
      <x:c r="N7" s="50" t="s">
        <x:v>37</x:v>
      </x:c>
      <x:c r="O7" s="51" t="s">
        <x:v>37</x:v>
      </x:c>
      <x:c r="P7" s="50" t="s">
        <x:v>37</x:v>
      </x:c>
      <x:c r="Q7" s="52"/>
      <x:c r="R7" s="52"/>
    </x:row>
    <x:row r="8" spans="1:18" ht="18.5" customHeight="1">
      <x:c r="B8" s="2" t="s">
        <x:v>527</x:v>
      </x:c>
      <x:c r="C8" s="2" t="s">
        <x:v>528</x:v>
      </x:c>
      <x:c r="D8" s="2" t="s">
        <x:v>529</x:v>
      </x:c>
      <x:c r="E8" s="2" t="s">
        <x:v>530</x:v>
      </x:c>
      <x:c r="F8" s="1">
        <x:v>1</x:v>
      </x:c>
      <x:c r="G8" s="1">
        <x:v>1</x:v>
      </x:c>
      <x:c r="I8" s="30">
        <x:v>12500</x:v>
      </x:c>
      <x:c r="J8" s="30">
        <x:v>35000</x:v>
      </x:c>
      <x:c r="K8" s="2" t="s">
        <x:v>531</x:v>
      </x:c>
      <x:c r="L8" s="1">
        <x:v>1</x:v>
      </x:c>
      <x:c r="M8" s="3">
        <x:f>NOW()</x:f>
      </x:c>
      <x:c r="N8" s="2" t="s">
        <x:v>46</x:v>
      </x:c>
      <x:c r="O8" s="3">
        <x:f>M8</x:f>
      </x:c>
      <x:c r="P8" s="2">
        <x:f>N8</x:f>
      </x:c>
      <x:c r="Q8" s="34" t="s">
        <x:v>43</x:v>
      </x:c>
      <x:c r="R8" s="1" t="s">
        <x:v>33</x:v>
      </x:c>
    </x:row>
    <x:row r="9" spans="1:18" ht="18.5" customHeight="1">
      <x:c r="B9" s="2" t="s">
        <x:v>532</x:v>
      </x:c>
      <x:c r="C9" s="2" t="s">
        <x:v>534</x:v>
      </x:c>
      <x:c r="D9" s="2" t="s">
        <x:v>529</x:v>
      </x:c>
      <x:c r="E9" s="2" t="s">
        <x:v>535</x:v>
      </x:c>
      <x:c r="F9" s="1">
        <x:v>1</x:v>
      </x:c>
      <x:c r="G9" s="1">
        <x:v>1</x:v>
      </x:c>
      <x:c r="I9" s="30">
        <x:v>15000</x:v>
      </x:c>
      <x:c r="J9" s="30">
        <x:v>42500</x:v>
      </x:c>
      <x:c r="K9" s="2" t="s">
        <x:v>531</x:v>
      </x:c>
      <x:c r="L9" s="1">
        <x:v>1</x:v>
      </x:c>
      <x:c r="M9" s="3">
        <x:f>NOW()</x:f>
      </x:c>
      <x:c r="N9" s="2" t="s">
        <x:v>93</x:v>
      </x:c>
      <x:c r="O9" s="3">
        <x:f>M9</x:f>
      </x:c>
      <x:c r="P9" s="2">
        <x:f>N9</x:f>
      </x:c>
      <x:c r="Q9" s="34" t="s">
        <x:v>43</x:v>
      </x:c>
      <x:c r="R9" s="1" t="s">
        <x:v>33</x:v>
      </x:c>
    </x:row>
    <x:row r="10" spans="1:18" ht="18.5" customHeight="1">
      <x:c r="B10" s="2" t="s">
        <x:v>536</x:v>
      </x:c>
      <x:c r="C10" s="2" t="s">
        <x:v>537</x:v>
      </x:c>
      <x:c r="D10" s="2" t="s">
        <x:v>529</x:v>
      </x:c>
      <x:c r="E10" s="2" t="s">
        <x:v>538</x:v>
      </x:c>
      <x:c r="F10" s="1">
        <x:v>1</x:v>
      </x:c>
      <x:c r="G10" s="1">
        <x:v>1</x:v>
      </x:c>
      <x:c r="I10" s="30">
        <x:v>17500</x:v>
      </x:c>
      <x:c r="J10" s="30">
        <x:v>50000</x:v>
      </x:c>
      <x:c r="K10" s="2" t="s">
        <x:v>531</x:v>
      </x:c>
      <x:c r="L10" s="1">
        <x:v>1</x:v>
      </x:c>
      <x:c r="M10" s="3">
        <x:f>NOW()</x:f>
      </x:c>
      <x:c r="N10" s="2" t="s">
        <x:v>93</x:v>
      </x:c>
      <x:c r="O10" s="3">
        <x:f>M10</x:f>
      </x:c>
      <x:c r="P10" s="2">
        <x:f>N10</x:f>
      </x:c>
      <x:c r="Q10" s="34" t="s">
        <x:v>43</x:v>
      </x:c>
      <x:c r="R10" s="1" t="s">
        <x:v>33</x:v>
      </x:c>
    </x:row>
    <x:row r="11" spans="1:18" ht="18.5" customHeight="1">
      <x:c r="B11" s="2" t="s">
        <x:v>539</x:v>
      </x:c>
      <x:c r="C11" s="2" t="s">
        <x:v>540</x:v>
      </x:c>
      <x:c r="D11" s="2" t="s">
        <x:v>529</x:v>
      </x:c>
      <x:c r="E11" s="2" t="s">
        <x:v>530</x:v>
      </x:c>
      <x:c r="F11" s="1">
        <x:v>1</x:v>
      </x:c>
      <x:c r="G11" s="1">
        <x:v>1</x:v>
      </x:c>
      <x:c r="I11" s="30">
        <x:v>7500</x:v>
      </x:c>
      <x:c r="J11" s="30">
        <x:v>25000</x:v>
      </x:c>
      <x:c r="K11" s="2" t="s">
        <x:v>531</x:v>
      </x:c>
      <x:c r="L11" s="1">
        <x:v>1</x:v>
      </x:c>
      <x:c r="M11" s="3">
        <x:f>NOW()</x:f>
      </x:c>
      <x:c r="N11" s="2" t="s">
        <x:v>93</x:v>
      </x:c>
      <x:c r="O11" s="3">
        <x:f>M11</x:f>
      </x:c>
      <x:c r="P11" s="2">
        <x:f>N11</x:f>
      </x:c>
      <x:c r="Q11" s="34" t="s">
        <x:v>43</x:v>
      </x:c>
      <x:c r="R11" s="1" t="s">
        <x:v>33</x:v>
      </x:c>
    </x:row>
    <x:row r="12" spans="1:18" ht="18.5" customHeight="1">
      <x:c r="B12" s="2" t="s">
        <x:v>541</x:v>
      </x:c>
      <x:c r="C12" s="2" t="s">
        <x:v>542</x:v>
      </x:c>
      <x:c r="D12" s="2" t="s">
        <x:v>529</x:v>
      </x:c>
      <x:c r="E12" s="2" t="s">
        <x:v>535</x:v>
      </x:c>
      <x:c r="F12" s="1">
        <x:v>1</x:v>
      </x:c>
      <x:c r="G12" s="1">
        <x:v>1</x:v>
      </x:c>
      <x:c r="I12" s="30">
        <x:v>10000</x:v>
      </x:c>
      <x:c r="J12" s="30">
        <x:v>32000</x:v>
      </x:c>
      <x:c r="K12" s="2" t="s">
        <x:v>531</x:v>
      </x:c>
      <x:c r="L12" s="1">
        <x:v>1</x:v>
      </x:c>
      <x:c r="M12" s="3">
        <x:f>NOW()</x:f>
      </x:c>
      <x:c r="N12" s="2" t="s">
        <x:v>93</x:v>
      </x:c>
      <x:c r="O12" s="3">
        <x:f>M12</x:f>
      </x:c>
      <x:c r="P12" s="2">
        <x:f>N12</x:f>
      </x:c>
      <x:c r="Q12" s="34" t="s">
        <x:v>43</x:v>
      </x:c>
      <x:c r="R12" s="1" t="s">
        <x:v>33</x:v>
      </x:c>
    </x:row>
    <x:row r="13" spans="1:18" ht="18.5" customHeight="1">
      <x:c r="B13" s="2" t="s">
        <x:v>543</x:v>
      </x:c>
      <x:c r="C13" s="2" t="s">
        <x:v>544</x:v>
      </x:c>
      <x:c r="D13" s="2" t="s">
        <x:v>529</x:v>
      </x:c>
      <x:c r="E13" s="2" t="s">
        <x:v>538</x:v>
      </x:c>
      <x:c r="F13" s="1">
        <x:v>1</x:v>
      </x:c>
      <x:c r="G13" s="1">
        <x:v>1</x:v>
      </x:c>
      <x:c r="I13" s="30">
        <x:v>12500</x:v>
      </x:c>
      <x:c r="J13" s="30">
        <x:v>40000</x:v>
      </x:c>
      <x:c r="K13" s="2" t="s">
        <x:v>531</x:v>
      </x:c>
      <x:c r="L13" s="1">
        <x:v>1</x:v>
      </x:c>
      <x:c r="M13" s="3">
        <x:f>NOW()</x:f>
      </x:c>
      <x:c r="N13" s="2" t="s">
        <x:v>93</x:v>
      </x:c>
      <x:c r="O13" s="3">
        <x:f>M13</x:f>
      </x:c>
      <x:c r="P13" s="2">
        <x:f>N13</x:f>
      </x:c>
      <x:c r="Q13" s="34" t="s">
        <x:v>43</x:v>
      </x:c>
      <x:c r="R13" s="1" t="s">
        <x:v>33</x:v>
      </x:c>
    </x:row>
    <x:row r="14" spans="1:18">
      <x:c r="B14" s="2" t="s">
        <x:v>545</x:v>
      </x:c>
      <x:c r="C14" s="2" t="s">
        <x:v>546</x:v>
      </x:c>
      <x:c r="D14" s="2" t="s">
        <x:v>533</x:v>
      </x:c>
      <x:c r="F14" s="1">
        <x:v>1</x:v>
      </x:c>
      <x:c r="G14" s="1">
        <x:v>1</x:v>
      </x:c>
      <x:c r="I14" s="30">
        <x:v>12500</x:v>
      </x:c>
      <x:c r="J14" s="30">
        <x:v>35000</x:v>
      </x:c>
      <x:c r="K14" s="2" t="s">
        <x:v>531</x:v>
      </x:c>
      <x:c r="L14" s="1">
        <x:v>1</x:v>
      </x:c>
      <x:c r="M14" s="3">
        <x:f>NOW()</x:f>
      </x:c>
      <x:c r="N14" s="2" t="s">
        <x:v>93</x:v>
      </x:c>
      <x:c r="O14" s="3">
        <x:f>M14</x:f>
      </x:c>
      <x:c r="P14" s="2">
        <x:f>N14</x:f>
      </x:c>
      <x:c r="Q14" s="34" t="s">
        <x:v>43</x:v>
      </x:c>
      <x:c r="R14" s="1" t="s">
        <x:v>33</x:v>
      </x:c>
    </x:row>
    <x:row r="15" spans="1:18">
      <x:c r="B15" s="2" t="s">
        <x:v>548</x:v>
      </x:c>
      <x:c r="C15" s="2" t="s">
        <x:v>549</x:v>
      </x:c>
      <x:c r="D15" s="2" t="s">
        <x:v>533</x:v>
      </x:c>
      <x:c r="F15" s="1">
        <x:v>1</x:v>
      </x:c>
      <x:c r="G15" s="1">
        <x:v>1</x:v>
      </x:c>
      <x:c r="I15" s="30">
        <x:v>15000</x:v>
      </x:c>
      <x:c r="J15" s="30">
        <x:v>42500</x:v>
      </x:c>
      <x:c r="K15" s="2" t="s">
        <x:v>531</x:v>
      </x:c>
      <x:c r="L15" s="1">
        <x:v>1</x:v>
      </x:c>
      <x:c r="M15" s="3">
        <x:f>NOW()</x:f>
      </x:c>
      <x:c r="N15" s="2" t="s">
        <x:v>93</x:v>
      </x:c>
      <x:c r="O15" s="3">
        <x:f>M15</x:f>
      </x:c>
      <x:c r="P15" s="2">
        <x:f>N15</x:f>
      </x:c>
      <x:c r="Q15" s="34" t="s">
        <x:v>43</x:v>
      </x:c>
      <x:c r="R15" s="1" t="s">
        <x:v>33</x:v>
      </x:c>
    </x:row>
    <x:row r="16" spans="1:18">
      <x:c r="B16" s="2" t="s">
        <x:v>547</x:v>
      </x:c>
      <x:c r="C16" s="2" t="s">
        <x:v>551</x:v>
      </x:c>
      <x:c r="D16" s="2" t="s">
        <x:v>533</x:v>
      </x:c>
      <x:c r="F16" s="1">
        <x:v>1</x:v>
      </x:c>
      <x:c r="G16" s="1">
        <x:v>1</x:v>
      </x:c>
      <x:c r="I16" s="30">
        <x:v>17500</x:v>
      </x:c>
      <x:c r="J16" s="30">
        <x:v>50000</x:v>
      </x:c>
      <x:c r="K16" s="2" t="s">
        <x:v>531</x:v>
      </x:c>
      <x:c r="L16" s="1">
        <x:v>1</x:v>
      </x:c>
      <x:c r="M16" s="3">
        <x:f>NOW()</x:f>
      </x:c>
      <x:c r="N16" s="2" t="s">
        <x:v>93</x:v>
      </x:c>
      <x:c r="O16" s="3">
        <x:f>M16</x:f>
      </x:c>
      <x:c r="P16" s="2">
        <x:f>N16</x:f>
      </x:c>
      <x:c r="Q16" s="34" t="s">
        <x:v>43</x:v>
      </x:c>
      <x:c r="R16" s="1" t="s">
        <x:v>33</x:v>
      </x:c>
    </x:row>
    <x:row r="17" spans="1:18">
      <x:c r="B17" s="2" t="s">
        <x:v>550</x:v>
      </x:c>
      <x:c r="C17" s="2" t="s">
        <x:v>553</x:v>
      </x:c>
      <x:c r="D17" s="2" t="s">
        <x:v>533</x:v>
      </x:c>
      <x:c r="F17" s="1">
        <x:v>1</x:v>
      </x:c>
      <x:c r="G17" s="1">
        <x:v>1</x:v>
      </x:c>
      <x:c r="I17" s="30">
        <x:v>10000</x:v>
      </x:c>
      <x:c r="J17" s="30">
        <x:v>30000</x:v>
      </x:c>
      <x:c r="K17" s="2" t="s">
        <x:v>531</x:v>
      </x:c>
      <x:c r="L17" s="1">
        <x:v>1</x:v>
      </x:c>
      <x:c r="M17" s="3">
        <x:f>NOW()</x:f>
      </x:c>
      <x:c r="N17" s="2" t="s">
        <x:v>93</x:v>
      </x:c>
      <x:c r="O17" s="3">
        <x:f>M17</x:f>
      </x:c>
      <x:c r="P17" s="2">
        <x:f>N17</x:f>
      </x:c>
      <x:c r="Q17" s="34" t="s">
        <x:v>43</x:v>
      </x:c>
      <x:c r="R17" s="1" t="s">
        <x:v>33</x:v>
      </x:c>
    </x:row>
    <x:row r="18" spans="1:18">
      <x:c r="B18" s="2" t="s">
        <x:v>552</x:v>
      </x:c>
      <x:c r="C18" s="2" t="s">
        <x:v>555</x:v>
      </x:c>
      <x:c r="D18" s="2" t="s">
        <x:v>533</x:v>
      </x:c>
      <x:c r="F18" s="1">
        <x:v>1</x:v>
      </x:c>
      <x:c r="G18" s="1">
        <x:v>1</x:v>
      </x:c>
      <x:c r="I18" s="30">
        <x:v>12500</x:v>
      </x:c>
      <x:c r="J18" s="30">
        <x:v>40000</x:v>
      </x:c>
      <x:c r="K18" s="2" t="s">
        <x:v>531</x:v>
      </x:c>
      <x:c r="L18" s="1">
        <x:v>1</x:v>
      </x:c>
      <x:c r="M18" s="3">
        <x:f>NOW()</x:f>
      </x:c>
      <x:c r="N18" s="2" t="s">
        <x:v>93</x:v>
      </x:c>
      <x:c r="O18" s="3">
        <x:f>M18</x:f>
      </x:c>
      <x:c r="P18" s="2">
        <x:f>N18</x:f>
      </x:c>
      <x:c r="Q18" s="34" t="s">
        <x:v>43</x:v>
      </x:c>
      <x:c r="R18" s="1" t="s">
        <x:v>33</x:v>
      </x:c>
    </x:row>
    <x:row r="19" spans="1:18">
      <x:c r="B19" s="2" t="s">
        <x:v>554</x:v>
      </x:c>
      <x:c r="C19" s="2" t="s">
        <x:v>557</x:v>
      </x:c>
      <x:c r="D19" s="2" t="s">
        <x:v>533</x:v>
      </x:c>
      <x:c r="F19" s="1">
        <x:v>1</x:v>
      </x:c>
      <x:c r="G19" s="1">
        <x:v>1</x:v>
      </x:c>
      <x:c r="I19" s="30">
        <x:v>15000</x:v>
      </x:c>
      <x:c r="J19" s="30">
        <x:v>50000</x:v>
      </x:c>
      <x:c r="K19" s="2" t="s">
        <x:v>531</x:v>
      </x:c>
      <x:c r="L19" s="1">
        <x:v>1</x:v>
      </x:c>
      <x:c r="M19" s="3">
        <x:f>NOW()</x:f>
      </x:c>
      <x:c r="N19" s="2" t="s">
        <x:v>93</x:v>
      </x:c>
      <x:c r="O19" s="3">
        <x:f>M19</x:f>
      </x:c>
      <x:c r="P19" s="2">
        <x:f>N19</x:f>
      </x:c>
      <x:c r="Q19" s="34" t="s">
        <x:v>43</x:v>
      </x:c>
      <x:c r="R19" s="1" t="s">
        <x:v>33</x:v>
      </x:c>
    </x:row>
    <x:row r="20" spans="1:18" ht="18.5" customHeight="1">
      <x:c r="B20" s="2" t="s">
        <x:v>556</x:v>
      </x:c>
      <x:c r="C20" s="2" t="s">
        <x:v>559</x:v>
      </x:c>
      <x:c r="D20" s="2" t="s">
        <x:v>558</x:v>
      </x:c>
      <x:c r="F20" s="1">
        <x:v>0</x:v>
      </x:c>
      <x:c r="G20" s="1">
        <x:v>0</x:v>
      </x:c>
      <x:c r="I20" s="30">
        <x:v>3000</x:v>
      </x:c>
      <x:c r="J20" s="30">
        <x:v>15000</x:v>
      </x:c>
      <x:c r="K20" s="2" t="s">
        <x:v>531</x:v>
      </x:c>
      <x:c r="L20" s="1">
        <x:v>1</x:v>
      </x:c>
      <x:c r="M20" s="3">
        <x:f>NOW()</x:f>
      </x:c>
      <x:c r="N20" s="2" t="s">
        <x:v>93</x:v>
      </x:c>
      <x:c r="O20" s="3">
        <x:f>M20</x:f>
      </x:c>
      <x:c r="P20" s="2">
        <x:f>N20</x:f>
      </x:c>
      <x:c r="Q20" s="34" t="s">
        <x:v>43</x:v>
      </x:c>
      <x:c r="R20" s="1" t="s">
        <x:v>33</x:v>
      </x:c>
    </x:row>
    <x:row r="21" spans="1:18" ht="18.5" customHeight="1">
      <x:c r="B21" s="2" t="s">
        <x:v>561</x:v>
      </x:c>
      <x:c r="C21" s="2" t="s">
        <x:v>562</x:v>
      </x:c>
      <x:c r="D21" s="2" t="s">
        <x:v>558</x:v>
      </x:c>
      <x:c r="F21" s="1">
        <x:v>0</x:v>
      </x:c>
      <x:c r="G21" s="1">
        <x:v>0</x:v>
      </x:c>
      <x:c r="I21" s="30">
        <x:v>5000</x:v>
      </x:c>
      <x:c r="J21" s="30">
        <x:v>20000</x:v>
      </x:c>
      <x:c r="K21" s="2" t="s">
        <x:v>531</x:v>
      </x:c>
      <x:c r="L21" s="1">
        <x:v>1</x:v>
      </x:c>
      <x:c r="M21" s="3">
        <x:f>NOW()</x:f>
      </x:c>
      <x:c r="N21" s="2" t="s">
        <x:v>93</x:v>
      </x:c>
      <x:c r="O21" s="3">
        <x:f>M21</x:f>
      </x:c>
      <x:c r="P21" s="2">
        <x:f>N21</x:f>
      </x:c>
      <x:c r="Q21" s="34" t="s">
        <x:v>43</x:v>
      </x:c>
      <x:c r="R21" s="1" t="s">
        <x:v>33</x:v>
      </x:c>
    </x:row>
    <x:row r="22" spans="1:18" ht="18.5" customHeight="1">
      <x:c r="B22" s="2" t="s">
        <x:v>563</x:v>
      </x:c>
      <x:c r="C22" s="2" t="s">
        <x:v>564</x:v>
      </x:c>
      <x:c r="D22" s="2" t="s">
        <x:v>558</x:v>
      </x:c>
      <x:c r="F22" s="1">
        <x:v>0</x:v>
      </x:c>
      <x:c r="G22" s="1">
        <x:v>0</x:v>
      </x:c>
      <x:c r="I22" s="30">
        <x:v>7000</x:v>
      </x:c>
      <x:c r="J22" s="30">
        <x:v>25000</x:v>
      </x:c>
      <x:c r="K22" s="2" t="s">
        <x:v>531</x:v>
      </x:c>
      <x:c r="L22" s="1">
        <x:v>1</x:v>
      </x:c>
      <x:c r="M22" s="3">
        <x:f>NOW()</x:f>
      </x:c>
      <x:c r="N22" s="2" t="s">
        <x:v>93</x:v>
      </x:c>
      <x:c r="O22" s="3">
        <x:f>M22</x:f>
      </x:c>
      <x:c r="P22" s="2">
        <x:f>N22</x:f>
      </x:c>
      <x:c r="Q22" s="34" t="s">
        <x:v>43</x:v>
      </x:c>
      <x:c r="R22" s="1" t="s">
        <x:v>33</x:v>
      </x:c>
    </x:row>
    <x:row r="23" spans="1:18" ht="33" customHeight="1">
      <x:c r="B23" s="2" t="s">
        <x:v>565</x:v>
      </x:c>
      <x:c r="C23" s="2" t="s">
        <x:v>560</x:v>
      </x:c>
      <x:c r="D23" s="2" t="s">
        <x:v>558</x:v>
      </x:c>
      <x:c r="F23" s="1">
        <x:v>1</x:v>
      </x:c>
      <x:c r="G23" s="1">
        <x:v>0</x:v>
      </x:c>
      <x:c r="I23" s="30">
        <x:v>6000</x:v>
      </x:c>
      <x:c r="J23" s="30">
        <x:v>20000</x:v>
      </x:c>
      <x:c r="K23" s="2" t="s">
        <x:v>531</x:v>
      </x:c>
      <x:c r="L23" s="1">
        <x:v>1</x:v>
      </x:c>
      <x:c r="M23" s="3">
        <x:f>NOW()</x:f>
      </x:c>
      <x:c r="N23" s="2" t="s">
        <x:v>93</x:v>
      </x:c>
      <x:c r="O23" s="3">
        <x:f>M23</x:f>
      </x:c>
      <x:c r="P23" s="2">
        <x:f>N23</x:f>
      </x:c>
      <x:c r="Q23" s="34" t="s">
        <x:v>43</x:v>
      </x:c>
      <x:c r="R23" s="1" t="s">
        <x:v>33</x:v>
      </x:c>
    </x:row>
    <x:row r="24" spans="1:18" ht="33" customHeight="1">
      <x:c r="B24" s="2" t="s">
        <x:v>567</x:v>
      </x:c>
      <x:c r="C24" s="2" t="s">
        <x:v>568</x:v>
      </x:c>
      <x:c r="D24" s="2" t="s">
        <x:v>558</x:v>
      </x:c>
      <x:c r="F24" s="1">
        <x:v>1</x:v>
      </x:c>
      <x:c r="G24" s="1">
        <x:v>0</x:v>
      </x:c>
      <x:c r="I24" s="30">
        <x:v>8000</x:v>
      </x:c>
      <x:c r="J24" s="30">
        <x:v>30000</x:v>
      </x:c>
      <x:c r="K24" s="2" t="s">
        <x:v>531</x:v>
      </x:c>
      <x:c r="L24" s="1">
        <x:v>1</x:v>
      </x:c>
      <x:c r="M24" s="3">
        <x:f>NOW()</x:f>
      </x:c>
      <x:c r="N24" s="2" t="s">
        <x:v>93</x:v>
      </x:c>
      <x:c r="O24" s="3">
        <x:f>M24</x:f>
      </x:c>
      <x:c r="P24" s="2">
        <x:f>N24</x:f>
      </x:c>
      <x:c r="Q24" s="34" t="s">
        <x:v>43</x:v>
      </x:c>
      <x:c r="R24" s="1" t="s">
        <x:v>33</x:v>
      </x:c>
    </x:row>
    <x:row r="25" spans="1:18" ht="33" customHeight="1">
      <x:c r="B25" s="2" t="s">
        <x:v>569</x:v>
      </x:c>
      <x:c r="C25" s="2" t="s">
        <x:v>570</x:v>
      </x:c>
      <x:c r="D25" s="2" t="s">
        <x:v>558</x:v>
      </x:c>
      <x:c r="F25" s="1">
        <x:v>1</x:v>
      </x:c>
      <x:c r="G25" s="1">
        <x:v>0</x:v>
      </x:c>
      <x:c r="I25" s="30">
        <x:v>12000</x:v>
      </x:c>
      <x:c r="J25" s="30">
        <x:v>40000</x:v>
      </x:c>
      <x:c r="K25" s="2" t="s">
        <x:v>531</x:v>
      </x:c>
      <x:c r="L25" s="1">
        <x:v>1</x:v>
      </x:c>
      <x:c r="M25" s="3">
        <x:f>NOW()</x:f>
      </x:c>
      <x:c r="N25" s="2" t="s">
        <x:v>93</x:v>
      </x:c>
      <x:c r="O25" s="3">
        <x:f>M25</x:f>
      </x:c>
      <x:c r="P25" s="2">
        <x:f>N25</x:f>
      </x:c>
      <x:c r="Q25" s="34" t="s">
        <x:v>43</x:v>
      </x:c>
      <x:c r="R25" s="1" t="s">
        <x:v>33</x:v>
      </x:c>
    </x:row>
    <x:row r="26" spans="1:18" ht="18.5" customHeight="1">
      <x:c r="B26" s="2" t="s">
        <x:v>571</x:v>
      </x:c>
      <x:c r="C26" s="2" t="s">
        <x:v>572</x:v>
      </x:c>
      <x:c r="D26" s="2" t="s">
        <x:v>558</x:v>
      </x:c>
      <x:c r="F26" s="1">
        <x:v>0</x:v>
      </x:c>
      <x:c r="G26" s="1">
        <x:v>0</x:v>
      </x:c>
      <x:c r="I26" s="30">
        <x:f>I20-1250</x:f>
      </x:c>
      <x:c r="J26" s="30">
        <x:f>J20-5000</x:f>
      </x:c>
      <x:c r="K26" s="2" t="s">
        <x:v>531</x:v>
      </x:c>
      <x:c r="L26" s="1">
        <x:v>1</x:v>
      </x:c>
      <x:c r="M26" s="3">
        <x:f>NOW()</x:f>
      </x:c>
      <x:c r="N26" s="2" t="s">
        <x:v>93</x:v>
      </x:c>
      <x:c r="O26" s="3">
        <x:f>M26</x:f>
      </x:c>
      <x:c r="P26" s="2">
        <x:f>N26</x:f>
      </x:c>
      <x:c r="Q26" s="34" t="s">
        <x:v>43</x:v>
      </x:c>
      <x:c r="R26" s="1" t="s">
        <x:v>33</x:v>
      </x:c>
    </x:row>
    <x:row r="27" spans="1:18" ht="18.5" customHeight="1">
      <x:c r="B27" s="2" t="s">
        <x:v>573</x:v>
      </x:c>
      <x:c r="C27" s="2" t="s">
        <x:v>574</x:v>
      </x:c>
      <x:c r="D27" s="2" t="s">
        <x:v>558</x:v>
      </x:c>
      <x:c r="F27" s="1">
        <x:v>0</x:v>
      </x:c>
      <x:c r="G27" s="1">
        <x:v>0</x:v>
      </x:c>
      <x:c r="I27" s="30">
        <x:f>I21-1250</x:f>
      </x:c>
      <x:c r="J27" s="30">
        <x:f>J21-5000</x:f>
      </x:c>
      <x:c r="K27" s="2" t="s">
        <x:v>531</x:v>
      </x:c>
      <x:c r="L27" s="1">
        <x:v>1</x:v>
      </x:c>
      <x:c r="M27" s="3">
        <x:f>NOW()</x:f>
      </x:c>
      <x:c r="N27" s="2" t="s">
        <x:v>93</x:v>
      </x:c>
      <x:c r="O27" s="3">
        <x:f>M27</x:f>
      </x:c>
      <x:c r="P27" s="2">
        <x:f>N27</x:f>
      </x:c>
      <x:c r="Q27" s="34" t="s">
        <x:v>43</x:v>
      </x:c>
      <x:c r="R27" s="1" t="s">
        <x:v>33</x:v>
      </x:c>
    </x:row>
    <x:row r="28" spans="1:18" ht="18.5" customHeight="1">
      <x:c r="B28" s="2" t="s">
        <x:v>575</x:v>
      </x:c>
      <x:c r="C28" s="2" t="s">
        <x:v>576</x:v>
      </x:c>
      <x:c r="D28" s="2" t="s">
        <x:v>558</x:v>
      </x:c>
      <x:c r="F28" s="1">
        <x:v>0</x:v>
      </x:c>
      <x:c r="G28" s="1">
        <x:v>0</x:v>
      </x:c>
      <x:c r="I28" s="30">
        <x:f>I22-1250</x:f>
      </x:c>
      <x:c r="J28" s="30">
        <x:f>J22-5000</x:f>
      </x:c>
      <x:c r="K28" s="2" t="s">
        <x:v>531</x:v>
      </x:c>
      <x:c r="L28" s="1">
        <x:v>1</x:v>
      </x:c>
      <x:c r="M28" s="3">
        <x:f>NOW()</x:f>
      </x:c>
      <x:c r="N28" s="2" t="s">
        <x:v>93</x:v>
      </x:c>
      <x:c r="O28" s="3">
        <x:f>M28</x:f>
      </x:c>
      <x:c r="P28" s="2">
        <x:f>N28</x:f>
      </x:c>
      <x:c r="Q28" s="34" t="s">
        <x:v>43</x:v>
      </x:c>
      <x:c r="R28" s="1" t="s">
        <x:v>33</x:v>
      </x:c>
    </x:row>
    <x:row r="29" spans="1:18" ht="37" customHeight="1">
      <x:c r="B29" s="2" t="s">
        <x:v>577</x:v>
      </x:c>
      <x:c r="C29" s="2" t="s">
        <x:v>566</x:v>
      </x:c>
      <x:c r="D29" s="2" t="s">
        <x:v>558</x:v>
      </x:c>
      <x:c r="F29" s="1">
        <x:v>1</x:v>
      </x:c>
      <x:c r="G29" s="1">
        <x:v>0</x:v>
      </x:c>
      <x:c r="I29" s="30">
        <x:f>I23-1200</x:f>
      </x:c>
      <x:c r="J29" s="30">
        <x:f>J23-5000</x:f>
      </x:c>
      <x:c r="K29" s="2" t="s">
        <x:v>531</x:v>
      </x:c>
      <x:c r="L29" s="1">
        <x:v>1</x:v>
      </x:c>
      <x:c r="M29" s="3">
        <x:f>NOW()</x:f>
      </x:c>
      <x:c r="N29" s="2" t="s">
        <x:v>93</x:v>
      </x:c>
      <x:c r="O29" s="3">
        <x:f>M29</x:f>
      </x:c>
      <x:c r="P29" s="2">
        <x:f>N29</x:f>
      </x:c>
      <x:c r="Q29" s="34" t="s">
        <x:v>43</x:v>
      </x:c>
      <x:c r="R29" s="1" t="s">
        <x:v>33</x:v>
      </x:c>
    </x:row>
    <x:row r="30" spans="1:18" ht="37" customHeight="1">
      <x:c r="B30" s="2" t="s">
        <x:v>579</x:v>
      </x:c>
      <x:c r="C30" s="2" t="s">
        <x:v>580</x:v>
      </x:c>
      <x:c r="D30" s="2" t="s">
        <x:v>558</x:v>
      </x:c>
      <x:c r="F30" s="1">
        <x:v>1</x:v>
      </x:c>
      <x:c r="G30" s="1">
        <x:v>0</x:v>
      </x:c>
      <x:c r="I30" s="30">
        <x:f>I24-1200</x:f>
      </x:c>
      <x:c r="J30" s="30">
        <x:f>J24-5000</x:f>
      </x:c>
      <x:c r="K30" s="2" t="s">
        <x:v>531</x:v>
      </x:c>
      <x:c r="L30" s="1">
        <x:v>1</x:v>
      </x:c>
      <x:c r="M30" s="3">
        <x:f>NOW()</x:f>
      </x:c>
      <x:c r="N30" s="2" t="s">
        <x:v>93</x:v>
      </x:c>
      <x:c r="O30" s="3">
        <x:f>M30</x:f>
      </x:c>
      <x:c r="P30" s="2">
        <x:f>N30</x:f>
      </x:c>
      <x:c r="Q30" s="34" t="s">
        <x:v>43</x:v>
      </x:c>
      <x:c r="R30" s="1" t="s">
        <x:v>33</x:v>
      </x:c>
    </x:row>
    <x:row r="31" spans="1:18" ht="37" customHeight="1">
      <x:c r="B31" s="2" t="s">
        <x:v>581</x:v>
      </x:c>
      <x:c r="C31" s="2" t="s">
        <x:v>582</x:v>
      </x:c>
      <x:c r="D31" s="2" t="s">
        <x:v>558</x:v>
      </x:c>
      <x:c r="F31" s="1">
        <x:v>1</x:v>
      </x:c>
      <x:c r="G31" s="1">
        <x:v>0</x:v>
      </x:c>
      <x:c r="I31" s="30">
        <x:f>I25-1200</x:f>
      </x:c>
      <x:c r="J31" s="30">
        <x:f>J25-5000</x:f>
      </x:c>
      <x:c r="K31" s="2" t="s">
        <x:v>531</x:v>
      </x:c>
      <x:c r="L31" s="1">
        <x:v>1</x:v>
      </x:c>
      <x:c r="M31" s="3">
        <x:f>NOW()</x:f>
      </x:c>
      <x:c r="N31" s="2" t="s">
        <x:v>93</x:v>
      </x:c>
      <x:c r="O31" s="3">
        <x:f>M31</x:f>
      </x:c>
      <x:c r="P31" s="2">
        <x:f>N31</x:f>
      </x:c>
      <x:c r="Q31" s="34" t="s">
        <x:v>43</x:v>
      </x:c>
      <x:c r="R31" s="1" t="s">
        <x:v>33</x:v>
      </x:c>
    </x:row>
    <x:row r="32" spans="1:18">
      <x:c r="B32" s="2" t="s">
        <x:v>583</x:v>
      </x:c>
      <x:c r="C32" s="2" t="s">
        <x:v>578</x:v>
      </x:c>
      <x:c r="D32" s="2" t="s">
        <x:v>584</x:v>
      </x:c>
      <x:c r="F32" s="1">
        <x:v>1</x:v>
      </x:c>
      <x:c r="G32" s="1">
        <x:v>1</x:v>
      </x:c>
      <x:c r="H32" s="1">
        <x:v>30</x:v>
      </x:c>
      <x:c r="I32" s="30">
        <x:v>12500</x:v>
      </x:c>
      <x:c r="J32" s="30">
        <x:v>40000</x:v>
      </x:c>
      <x:c r="K32" s="2" t="s">
        <x:v>531</x:v>
      </x:c>
      <x:c r="L32" s="1">
        <x:v>1</x:v>
      </x:c>
      <x:c r="M32" s="3">
        <x:f>NOW()</x:f>
      </x:c>
      <x:c r="N32" s="2" t="s">
        <x:v>93</x:v>
      </x:c>
      <x:c r="O32" s="3">
        <x:f>M32</x:f>
      </x:c>
      <x:c r="P32" s="2">
        <x:f>N32</x:f>
      </x:c>
      <x:c r="Q32" s="34" t="s">
        <x:v>43</x:v>
      </x:c>
      <x:c r="R32" s="1" t="s">
        <x:v>33</x:v>
      </x:c>
    </x:row>
    <x:row r="33" spans="1:18">
      <x:c r="B33" s="2" t="s">
        <x:v>586</x:v>
      </x:c>
      <x:c r="C33" s="2" t="s">
        <x:v>585</x:v>
      </x:c>
      <x:c r="D33" s="2" t="s">
        <x:v>584</x:v>
      </x:c>
      <x:c r="F33" s="1">
        <x:v>1</x:v>
      </x:c>
      <x:c r="G33" s="1">
        <x:v>1</x:v>
      </x:c>
      <x:c r="H33" s="1">
        <x:v>60</x:v>
      </x:c>
      <x:c r="I33" s="30">
        <x:v>15000</x:v>
      </x:c>
      <x:c r="J33" s="30">
        <x:v>50000</x:v>
      </x:c>
      <x:c r="K33" s="2" t="s">
        <x:v>531</x:v>
      </x:c>
      <x:c r="L33" s="1">
        <x:v>1</x:v>
      </x:c>
      <x:c r="M33" s="3">
        <x:f>NOW()</x:f>
      </x:c>
      <x:c r="N33" s="2" t="s">
        <x:v>93</x:v>
      </x:c>
      <x:c r="O33" s="3">
        <x:f>M33</x:f>
      </x:c>
      <x:c r="P33" s="2">
        <x:f>N33</x:f>
      </x:c>
      <x:c r="Q33" s="34" t="s">
        <x:v>43</x:v>
      </x:c>
      <x:c r="R33" s="1" t="s">
        <x:v>33</x:v>
      </x:c>
    </x:row>
    <x:row r="34" spans="1:18">
      <x:c r="B34" s="2" t="s">
        <x:v>587</x:v>
      </x:c>
      <x:c r="C34" s="2" t="s">
        <x:v>588</x:v>
      </x:c>
      <x:c r="D34" s="2" t="s">
        <x:v>584</x:v>
      </x:c>
      <x:c r="F34" s="1">
        <x:v>1</x:v>
      </x:c>
      <x:c r="G34" s="1">
        <x:v>1</x:v>
      </x:c>
      <x:c r="H34" s="1">
        <x:v>120</x:v>
      </x:c>
      <x:c r="I34" s="30">
        <x:v>17500</x:v>
      </x:c>
      <x:c r="J34" s="30">
        <x:v>60000</x:v>
      </x:c>
      <x:c r="K34" s="2" t="s">
        <x:v>531</x:v>
      </x:c>
      <x:c r="L34" s="1">
        <x:v>1</x:v>
      </x:c>
      <x:c r="M34" s="3">
        <x:f>NOW()</x:f>
      </x:c>
      <x:c r="N34" s="2" t="s">
        <x:v>93</x:v>
      </x:c>
      <x:c r="O34" s="3">
        <x:f>M34</x:f>
      </x:c>
      <x:c r="P34" s="2">
        <x:f>N34</x:f>
      </x:c>
      <x:c r="Q34" s="34" t="s">
        <x:v>43</x:v>
      </x:c>
      <x:c r="R34" s="1" t="s">
        <x:v>33</x:v>
      </x:c>
    </x:row>
    <x:row r="35" spans="1:18">
      <x:c r="B35" s="2" t="s">
        <x:v>589</x:v>
      </x:c>
      <x:c r="C35" s="2" t="s">
        <x:v>590</x:v>
      </x:c>
      <x:c r="D35" s="2" t="s">
        <x:v>584</x:v>
      </x:c>
      <x:c r="F35" s="1">
        <x:v>1</x:v>
      </x:c>
      <x:c r="G35" s="1">
        <x:v>1</x:v>
      </x:c>
      <x:c r="H35" s="1">
        <x:v>30</x:v>
      </x:c>
      <x:c r="I35" s="30">
        <x:f>I32-5000</x:f>
      </x:c>
      <x:c r="J35" s="30">
        <x:v>25000</x:v>
      </x:c>
      <x:c r="K35" s="2" t="s">
        <x:v>531</x:v>
      </x:c>
      <x:c r="L35" s="1">
        <x:v>1</x:v>
      </x:c>
      <x:c r="M35" s="3">
        <x:f>NOW()</x:f>
      </x:c>
      <x:c r="N35" s="2" t="s">
        <x:v>93</x:v>
      </x:c>
      <x:c r="O35" s="3">
        <x:f>M35</x:f>
      </x:c>
      <x:c r="P35" s="2">
        <x:f>N35</x:f>
      </x:c>
      <x:c r="Q35" s="34" t="s">
        <x:v>43</x:v>
      </x:c>
      <x:c r="R35" s="1" t="s">
        <x:v>33</x:v>
      </x:c>
    </x:row>
    <x:row r="36" spans="1:18">
      <x:c r="B36" s="2" t="s">
        <x:v>591</x:v>
      </x:c>
      <x:c r="C36" s="2" t="s">
        <x:v>592</x:v>
      </x:c>
      <x:c r="D36" s="2" t="s">
        <x:v>584</x:v>
      </x:c>
      <x:c r="F36" s="1">
        <x:v>1</x:v>
      </x:c>
      <x:c r="G36" s="1">
        <x:v>1</x:v>
      </x:c>
      <x:c r="H36" s="1">
        <x:v>60</x:v>
      </x:c>
      <x:c r="I36" s="30">
        <x:f>I33-5000</x:f>
      </x:c>
      <x:c r="J36" s="30">
        <x:v>35000</x:v>
      </x:c>
      <x:c r="K36" s="2" t="s">
        <x:v>531</x:v>
      </x:c>
      <x:c r="L36" s="1">
        <x:v>1</x:v>
      </x:c>
      <x:c r="M36" s="3">
        <x:f>NOW()</x:f>
      </x:c>
      <x:c r="N36" s="2" t="s">
        <x:v>93</x:v>
      </x:c>
      <x:c r="O36" s="3">
        <x:f>M36</x:f>
      </x:c>
      <x:c r="P36" s="2">
        <x:f>N36</x:f>
      </x:c>
      <x:c r="Q36" s="34" t="s">
        <x:v>43</x:v>
      </x:c>
      <x:c r="R36" s="1" t="s">
        <x:v>33</x:v>
      </x:c>
    </x:row>
    <x:row r="37" spans="1:18">
      <x:c r="B37" s="2" t="s">
        <x:v>593</x:v>
      </x:c>
      <x:c r="C37" s="2" t="s">
        <x:v>594</x:v>
      </x:c>
      <x:c r="D37" s="2" t="s">
        <x:v>584</x:v>
      </x:c>
      <x:c r="F37" s="1">
        <x:v>1</x:v>
      </x:c>
      <x:c r="G37" s="1">
        <x:v>1</x:v>
      </x:c>
      <x:c r="H37" s="1">
        <x:v>120</x:v>
      </x:c>
      <x:c r="I37" s="30">
        <x:f>I34-5000</x:f>
      </x:c>
      <x:c r="J37" s="30">
        <x:v>45000</x:v>
      </x:c>
      <x:c r="K37" s="2" t="s">
        <x:v>531</x:v>
      </x:c>
      <x:c r="L37" s="1">
        <x:v>1</x:v>
      </x:c>
      <x:c r="M37" s="3">
        <x:f>NOW()</x:f>
      </x:c>
      <x:c r="N37" s="2" t="s">
        <x:v>93</x:v>
      </x:c>
      <x:c r="O37" s="3">
        <x:f>M37</x:f>
      </x:c>
      <x:c r="P37" s="2">
        <x:f>N37</x:f>
      </x:c>
      <x:c r="Q37" s="34" t="s">
        <x:v>43</x:v>
      </x:c>
      <x:c r="R37" s="1" t="s">
        <x:v>33</x:v>
      </x:c>
    </x:row>
    <x:row r="41" spans="1:18">
      <x:c r="C41" s="24"/>
    </x:row>
    <x:row r="42" spans="1:18">
      <x:c r="C42" s="24"/>
    </x:row>
    <x:row r="43" spans="1:18">
      <x:c r="C43" s="24"/>
    </x:row>
  </x:sheetData>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disablePrompts="1"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30"/>
  <x:sheetViews>
    <x:sheetView workbookViewId="0">
      <x:pane xSplit="3" ySplit="7" topLeftCell="D8" activePane="bottomRight" state="frozenSplit"/>
      <x:selection activeCell="D1" sqref="D1"/>
      <x:selection pane="bottomRight" activeCell="D1" sqref="D1"/>
    </x:sheetView>
  </x:sheetViews>
  <x:sheetFormatPr defaultColWidth="9.179688" defaultRowHeight="14.5"/>
  <x:cols>
    <x:col min="1" max="1" width="18.726562" style="1" customWidth="1"/>
    <x:col min="2" max="2" width="24.726562" style="2" customWidth="1"/>
    <x:col min="3" max="3" width="18.726562" style="2" customWidth="1"/>
    <x:col min="4" max="4" width="28.816406" style="2" customWidth="1"/>
    <x:col min="5" max="5" width="59.816406"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c r="A1" s="38" t="s">
        <x:v>0</x:v>
      </x:c>
      <x:c r="B1" s="39" t="s">
        <x:v>595</x:v>
      </x:c>
      <x:c r="C1" s="40" t="s">
        <x:v>2</x:v>
      </x:c>
      <x:c r="D1" s="39" t="s">
        <x:v>596</x:v>
      </x:c>
      <x:c r="E1" s="40" t="s">
        <x:v>4</x:v>
      </x:c>
      <x:c r="F1" s="39" t="s">
        <x:v>5</x:v>
      </x:c>
      <x:c r="G1" s="9"/>
      <x:c r="H1" s="8"/>
      <x:c r="I1" s="9"/>
    </x:row>
    <x:row r="2" spans="1:11" s="4" customFormat="1">
      <x:c r="A2" s="38" t="s">
        <x:v>6</x:v>
      </x:c>
      <x:c r="B2" s="33" t="s">
        <x:v>598</x:v>
      </x:c>
      <x:c r="C2" s="9"/>
      <x:c r="D2" s="9"/>
      <x:c r="E2" s="9"/>
      <x:c r="F2" s="8"/>
      <x:c r="G2" s="9"/>
      <x:c r="H2" s="8"/>
      <x:c r="I2" s="9"/>
    </x:row>
    <x:row r="3" spans="1:11" s="4" customFormat="1">
      <x:c r="A3" s="41" t="s">
        <x:v>8</x:v>
      </x:c>
      <x:c r="B3" s="42" t="s">
        <x:v>597</x:v>
      </x:c>
      <x:c r="C3" s="42" t="s">
        <x:v>599</x:v>
      </x:c>
      <x:c r="D3" s="43" t="s">
        <x:v>600</x:v>
      </x:c>
      <x:c r="E3" s="43" t="s">
        <x:v>601</x:v>
      </x:c>
      <x:c r="F3" s="44" t="s">
        <x:v>12</x:v>
      </x:c>
      <x:c r="G3" s="43" t="s">
        <x:v>13</x:v>
      </x:c>
      <x:c r="H3" s="44" t="s">
        <x:v>14</x:v>
      </x:c>
      <x:c r="I3" s="43" t="s">
        <x:v>15</x:v>
      </x:c>
      <x:c r="J3" s="45" t="s">
        <x:v>16</x:v>
      </x:c>
      <x:c r="K3" s="45" t="s">
        <x:v>17</x:v>
      </x:c>
    </x:row>
    <x:row r="4" spans="1:11" s="4" customFormat="1">
      <x:c r="A4" s="41" t="s">
        <x:v>18</x:v>
      </x:c>
      <x:c r="B4" s="42" t="s">
        <x:v>602</x:v>
      </x:c>
      <x:c r="C4" s="42" t="s">
        <x:v>603</x:v>
      </x:c>
      <x:c r="D4" s="43" t="s">
        <x:v>604</x:v>
      </x:c>
      <x:c r="E4" s="43" t="s">
        <x:v>605</x:v>
      </x:c>
      <x:c r="F4" s="46" t="s">
        <x:v>22</x:v>
      </x:c>
      <x:c r="G4" s="43" t="s">
        <x:v>23</x:v>
      </x:c>
      <x:c r="H4" s="46" t="s">
        <x:v>24</x:v>
      </x:c>
      <x:c r="I4" s="43" t="s">
        <x:v>25</x:v>
      </x:c>
      <x:c r="J4" s="47"/>
      <x:c r="K4" s="47"/>
    </x:row>
    <x:row r="5" spans="1:11" s="4" customFormat="1">
      <x:c r="A5" s="41" t="s">
        <x:v>26</x:v>
      </x:c>
      <x:c r="B5" s="42" t="s">
        <x:v>28</x:v>
      </x:c>
      <x:c r="C5" s="42" t="s">
        <x:v>28</x:v>
      </x:c>
      <x:c r="D5" s="43" t="s">
        <x:v>199</x:v>
      </x:c>
      <x:c r="E5" s="43" t="s">
        <x:v>606</x:v>
      </x:c>
      <x:c r="F5" s="44" t="s">
        <x:v>29</x:v>
      </x:c>
      <x:c r="G5" s="43" t="s">
        <x:v>30</x:v>
      </x:c>
      <x:c r="H5" s="44" t="s">
        <x:v>29</x:v>
      </x:c>
      <x:c r="I5" s="43" t="s">
        <x:v>30</x:v>
      </x:c>
      <x:c r="J5" s="47"/>
      <x:c r="K5" s="47"/>
    </x:row>
    <x:row r="6" spans="1:11" s="4" customFormat="1">
      <x:c r="A6" s="38" t="s">
        <x:v>31</x:v>
      </x:c>
      <x:c r="B6" s="42" t="s">
        <x:v>32</x:v>
      </x:c>
      <x:c r="C6" s="42" t="s">
        <x:v>32</x:v>
      </x:c>
      <x:c r="D6" s="43" t="s">
        <x:v>33</x:v>
      </x:c>
      <x:c r="E6" s="43" t="s">
        <x:v>34</x:v>
      </x:c>
      <x:c r="F6" s="44" t="s">
        <x:v>35</x:v>
      </x:c>
      <x:c r="G6" s="43" t="s">
        <x:v>33</x:v>
      </x:c>
      <x:c r="H6" s="44" t="s">
        <x:v>35</x:v>
      </x:c>
      <x:c r="I6" s="43" t="s">
        <x:v>33</x:v>
      </x:c>
      <x:c r="J6" s="47"/>
      <x:c r="K6" s="47"/>
    </x:row>
    <x:row r="7" spans="1:11">
      <x:c r="A7" s="48" t="s">
        <x:v>36</x:v>
      </x:c>
      <x:c r="B7" s="49" t="s">
        <x:v>37</x:v>
      </x:c>
      <x:c r="C7" s="49" t="s">
        <x:v>37</x:v>
      </x:c>
      <x:c r="D7" s="50" t="s">
        <x:v>37</x:v>
      </x:c>
      <x:c r="E7" s="50" t="s">
        <x:v>37</x:v>
      </x:c>
      <x:c r="F7" s="51" t="s">
        <x:v>37</x:v>
      </x:c>
      <x:c r="G7" s="50" t="s">
        <x:v>37</x:v>
      </x:c>
      <x:c r="H7" s="51" t="s">
        <x:v>37</x:v>
      </x:c>
      <x:c r="I7" s="50" t="s">
        <x:v>37</x:v>
      </x:c>
      <x:c r="J7" s="52"/>
      <x:c r="K7" s="52"/>
    </x:row>
    <x:row r="8" spans="1:11">
      <x:c r="B8" s="2" t="s">
        <x:v>607</x:v>
      </x:c>
      <x:c r="C8" s="2" t="s">
        <x:v>529</x:v>
      </x:c>
      <x:c r="D8" s="2" t="s">
        <x:v>609</x:v>
      </x:c>
      <x:c r="E8" s="2" t="s">
        <x:v>610</x:v>
      </x:c>
      <x:c r="F8" s="3">
        <x:f>NOW()</x:f>
      </x:c>
      <x:c r="G8" s="2" t="s">
        <x:v>608</x:v>
      </x:c>
      <x:c r="H8" s="3">
        <x:f>F8</x:f>
      </x:c>
      <x:c r="I8" s="2">
        <x:f>G8</x:f>
      </x:c>
      <x:c r="J8" s="34" t="s">
        <x:v>43</x:v>
      </x:c>
      <x:c r="K8" s="1" t="s">
        <x:v>33</x:v>
      </x:c>
    </x:row>
    <x:row r="9" spans="1:11" ht="18" customHeight="1">
      <x:c r="B9" s="2" t="s">
        <x:v>607</x:v>
      </x:c>
      <x:c r="C9" s="2" t="s">
        <x:v>533</x:v>
      </x:c>
      <x:c r="D9" s="2" t="s">
        <x:v>611</x:v>
      </x:c>
      <x:c r="E9" s="2" t="s">
        <x:v>612</x:v>
      </x:c>
      <x:c r="F9" s="3">
        <x:f>NOW()</x:f>
      </x:c>
      <x:c r="G9" s="2" t="s">
        <x:v>613</x:v>
      </x:c>
      <x:c r="H9" s="3">
        <x:f>F9</x:f>
      </x:c>
      <x:c r="I9" s="2">
        <x:f>G9</x:f>
      </x:c>
      <x:c r="J9" s="34" t="s">
        <x:v>43</x:v>
      </x:c>
      <x:c r="K9" s="1" t="s">
        <x:v>33</x:v>
      </x:c>
    </x:row>
    <x:row r="10" spans="1:11" ht="26" customHeight="1">
      <x:c r="B10" s="2" t="s">
        <x:v>607</x:v>
      </x:c>
      <x:c r="C10" s="2" t="s">
        <x:v>558</x:v>
      </x:c>
      <x:c r="D10" s="2" t="s">
        <x:v>614</x:v>
      </x:c>
      <x:c r="E10" s="2" t="s">
        <x:v>615</x:v>
      </x:c>
      <x:c r="F10" s="3">
        <x:f>NOW()</x:f>
      </x:c>
      <x:c r="G10" s="2" t="s">
        <x:v>613</x:v>
      </x:c>
      <x:c r="H10" s="3">
        <x:f>F10</x:f>
      </x:c>
      <x:c r="I10" s="2">
        <x:f>G10</x:f>
      </x:c>
      <x:c r="J10" s="34" t="s">
        <x:v>43</x:v>
      </x:c>
      <x:c r="K10" s="1" t="s">
        <x:v>33</x:v>
      </x:c>
    </x:row>
    <x:row r="11" spans="1:11" ht="26" customHeight="1">
      <x:c r="B11" s="2" t="s">
        <x:v>607</x:v>
      </x:c>
      <x:c r="C11" s="2" t="s">
        <x:v>584</x:v>
      </x:c>
      <x:c r="D11" s="2" t="s">
        <x:v>617</x:v>
      </x:c>
      <x:c r="E11" s="2" t="s">
        <x:v>618</x:v>
      </x:c>
      <x:c r="F11" s="3">
        <x:f>NOW()</x:f>
      </x:c>
      <x:c r="G11" s="2" t="s">
        <x:v>613</x:v>
      </x:c>
      <x:c r="H11" s="3">
        <x:f>F11</x:f>
      </x:c>
      <x:c r="I11" s="2">
        <x:f>G11</x:f>
      </x:c>
      <x:c r="J11" s="34" t="s">
        <x:v>43</x:v>
      </x:c>
      <x:c r="K11" s="1" t="s">
        <x:v>33</x:v>
      </x:c>
    </x:row>
    <x:row r="12" spans="1:11">
      <x:c r="B12" s="2" t="s">
        <x:v>616</x:v>
      </x:c>
      <x:c r="C12" s="2" t="s">
        <x:v>619</x:v>
      </x:c>
      <x:c r="D12" s="2" t="s">
        <x:v>621</x:v>
      </x:c>
      <x:c r="E12" s="2" t="s">
        <x:v>622</x:v>
      </x:c>
      <x:c r="F12" s="3">
        <x:f>NOW()</x:f>
      </x:c>
      <x:c r="G12" s="2" t="s">
        <x:v>613</x:v>
      </x:c>
      <x:c r="H12" s="3">
        <x:f>F12</x:f>
      </x:c>
      <x:c r="I12" s="2">
        <x:f>G12</x:f>
      </x:c>
      <x:c r="J12" s="34" t="s">
        <x:v>43</x:v>
      </x:c>
      <x:c r="K12" s="1" t="s">
        <x:v>33</x:v>
      </x:c>
    </x:row>
    <x:row r="13" spans="1:11" ht="42" customHeight="1">
      <x:c r="B13" s="2" t="s">
        <x:v>496</x:v>
      </x:c>
      <x:c r="C13" s="2" t="s">
        <x:v>620</x:v>
      </x:c>
      <x:c r="D13" s="2" t="s">
        <x:v>624</x:v>
      </x:c>
      <x:c r="E13" s="2" t="s">
        <x:v>625</x:v>
      </x:c>
      <x:c r="F13" s="3">
        <x:f>NOW()</x:f>
      </x:c>
      <x:c r="G13" s="2" t="s">
        <x:v>42</x:v>
      </x:c>
      <x:c r="H13" s="3">
        <x:f>F13</x:f>
      </x:c>
      <x:c r="I13" s="2">
        <x:f>G13</x:f>
      </x:c>
      <x:c r="J13" s="34" t="s">
        <x:v>43</x:v>
      </x:c>
      <x:c r="K13" s="1" t="s">
        <x:v>33</x:v>
      </x:c>
    </x:row>
    <x:row r="14" spans="1:11" ht="29" customHeight="1">
      <x:c r="B14" s="2" t="s">
        <x:v>497</x:v>
      </x:c>
      <x:c r="C14" s="2" t="s">
        <x:v>619</x:v>
      </x:c>
      <x:c r="D14" s="2" t="s">
        <x:v>623</x:v>
      </x:c>
      <x:c r="E14" s="2" t="s">
        <x:v>626</x:v>
      </x:c>
      <x:c r="F14" s="3">
        <x:f>NOW()</x:f>
      </x:c>
      <x:c r="G14" s="2" t="s">
        <x:v>42</x:v>
      </x:c>
      <x:c r="H14" s="3">
        <x:f>F14</x:f>
      </x:c>
      <x:c r="I14" s="2">
        <x:f>G14</x:f>
      </x:c>
      <x:c r="J14" s="34" t="s">
        <x:v>43</x:v>
      </x:c>
      <x:c r="K14" s="1" t="s">
        <x:v>33</x:v>
      </x:c>
    </x:row>
    <x:row r="15" spans="1:11" ht="29" customHeight="1">
      <x:c r="B15" s="2" t="s">
        <x:v>497</x:v>
      </x:c>
      <x:c r="C15" s="2" t="s">
        <x:v>620</x:v>
      </x:c>
      <x:c r="D15" s="2" t="s">
        <x:v>627</x:v>
      </x:c>
      <x:c r="E15" s="2" t="s">
        <x:v>628</x:v>
      </x:c>
      <x:c r="F15" s="3">
        <x:f>NOW()</x:f>
      </x:c>
      <x:c r="G15" s="2" t="s">
        <x:v>42</x:v>
      </x:c>
      <x:c r="H15" s="3">
        <x:f>F15</x:f>
      </x:c>
      <x:c r="I15" s="2">
        <x:f>G15</x:f>
      </x:c>
      <x:c r="J15" s="34" t="s">
        <x:v>43</x:v>
      </x:c>
      <x:c r="K15" s="1" t="s">
        <x:v>33</x:v>
      </x:c>
    </x:row>
    <x:row r="16" spans="1:11">
      <x:c r="B16" s="2" t="s">
        <x:v>71</x:v>
      </x:c>
      <x:c r="C16" s="2" t="s">
        <x:v>629</x:v>
      </x:c>
      <x:c r="D16" s="2" t="s">
        <x:v>631</x:v>
      </x:c>
      <x:c r="E16" s="2" t="s">
        <x:v>632</x:v>
      </x:c>
      <x:c r="F16" s="3">
        <x:f>NOW()</x:f>
      </x:c>
      <x:c r="G16" s="2" t="s">
        <x:v>42</x:v>
      </x:c>
      <x:c r="H16" s="3">
        <x:f>F16</x:f>
      </x:c>
      <x:c r="I16" s="2">
        <x:f>G16</x:f>
      </x:c>
      <x:c r="J16" s="34" t="s">
        <x:v>43</x:v>
      </x:c>
      <x:c r="K16" s="1" t="s">
        <x:v>33</x:v>
      </x:c>
    </x:row>
    <x:row r="17" spans="1:11">
      <x:c r="B17" s="2" t="s">
        <x:v>71</x:v>
      </x:c>
      <x:c r="C17" s="2" t="s">
        <x:v>630</x:v>
      </x:c>
      <x:c r="D17" s="2" t="s">
        <x:v>634</x:v>
      </x:c>
      <x:c r="E17" s="2" t="s">
        <x:v>633</x:v>
      </x:c>
      <x:c r="F17" s="3">
        <x:f>NOW()</x:f>
      </x:c>
      <x:c r="G17" s="2" t="s">
        <x:v>42</x:v>
      </x:c>
      <x:c r="H17" s="3">
        <x:f>F17</x:f>
      </x:c>
      <x:c r="I17" s="2">
        <x:f>G17</x:f>
      </x:c>
      <x:c r="J17" s="34" t="s">
        <x:v>43</x:v>
      </x:c>
      <x:c r="K17" s="1" t="s">
        <x:v>33</x:v>
      </x:c>
    </x:row>
    <x:row r="18" spans="1:11">
      <x:c r="B18" s="36" t="s">
        <x:v>635</x:v>
      </x:c>
      <x:c r="C18" s="2" t="s">
        <x:v>619</x:v>
      </x:c>
      <x:c r="D18" s="2" t="s">
        <x:v>636</x:v>
      </x:c>
      <x:c r="E18" s="2" t="s">
        <x:v>637</x:v>
      </x:c>
      <x:c r="F18" s="3">
        <x:f>NOW()</x:f>
      </x:c>
      <x:c r="G18" s="2" t="s">
        <x:v>42</x:v>
      </x:c>
      <x:c r="H18" s="3">
        <x:f>F18</x:f>
      </x:c>
      <x:c r="I18" s="2">
        <x:f>G18</x:f>
      </x:c>
      <x:c r="J18" s="34" t="s">
        <x:v>43</x:v>
      </x:c>
      <x:c r="K18" s="1" t="s">
        <x:v>33</x:v>
      </x:c>
    </x:row>
    <x:row r="19" spans="1:11">
      <x:c r="B19" s="36" t="s">
        <x:v>635</x:v>
      </x:c>
      <x:c r="C19" s="2" t="s">
        <x:v>638</x:v>
      </x:c>
      <x:c r="D19" s="2" t="s">
        <x:v>639</x:v>
      </x:c>
      <x:c r="E19" s="2" t="s">
        <x:v>641</x:v>
      </x:c>
      <x:c r="F19" s="3">
        <x:f>NOW()</x:f>
      </x:c>
      <x:c r="G19" s="2" t="s">
        <x:v>42</x:v>
      </x:c>
      <x:c r="H19" s="3">
        <x:f>F19</x:f>
      </x:c>
      <x:c r="I19" s="2">
        <x:f>G19</x:f>
      </x:c>
      <x:c r="J19" s="34" t="s">
        <x:v>43</x:v>
      </x:c>
      <x:c r="K19" s="1" t="s">
        <x:v>33</x:v>
      </x:c>
    </x:row>
    <x:row r="20" spans="1:11">
      <x:c r="B20" s="36" t="s">
        <x:v>640</x:v>
      </x:c>
      <x:c r="C20" s="2" t="s">
        <x:v>620</x:v>
      </x:c>
      <x:c r="D20" s="2" t="s">
        <x:v>643</x:v>
      </x:c>
      <x:c r="E20" s="2" t="s">
        <x:v>644</x:v>
      </x:c>
      <x:c r="F20" s="3">
        <x:f>NOW()</x:f>
      </x:c>
      <x:c r="G20" s="2" t="s">
        <x:v>42</x:v>
      </x:c>
      <x:c r="H20" s="3">
        <x:f>F20</x:f>
      </x:c>
      <x:c r="I20" s="2">
        <x:f>G20</x:f>
      </x:c>
      <x:c r="J20" s="34" t="s">
        <x:v>43</x:v>
      </x:c>
      <x:c r="K20" s="1" t="s">
        <x:v>33</x:v>
      </x:c>
    </x:row>
    <x:row r="21" spans="1:11">
      <x:c r="B21" s="36" t="s">
        <x:v>640</x:v>
      </x:c>
      <x:c r="C21" s="2" t="s">
        <x:v>619</x:v>
      </x:c>
      <x:c r="D21" s="2" t="s">
        <x:v>645</x:v>
      </x:c>
      <x:c r="E21" s="2" t="s">
        <x:v>642</x:v>
      </x:c>
      <x:c r="F21" s="3">
        <x:f>NOW()</x:f>
      </x:c>
      <x:c r="G21" s="2" t="s">
        <x:v>42</x:v>
      </x:c>
      <x:c r="H21" s="3">
        <x:f>F21</x:f>
      </x:c>
      <x:c r="I21" s="2">
        <x:f>G21</x:f>
      </x:c>
      <x:c r="J21" s="34" t="s">
        <x:v>43</x:v>
      </x:c>
      <x:c r="K21" s="1" t="s">
        <x:v>33</x:v>
      </x:c>
    </x:row>
    <x:row r="22" spans="1:11">
      <x:c r="B22" s="36" t="s">
        <x:v>640</x:v>
      </x:c>
      <x:c r="C22" s="2" t="s">
        <x:v>638</x:v>
      </x:c>
      <x:c r="D22" s="2" t="s">
        <x:v>647</x:v>
      </x:c>
      <x:c r="E22" s="2" t="s">
        <x:v>646</x:v>
      </x:c>
      <x:c r="F22" s="3">
        <x:f>NOW()</x:f>
      </x:c>
      <x:c r="G22" s="2" t="s">
        <x:v>42</x:v>
      </x:c>
      <x:c r="H22" s="3">
        <x:f>F22</x:f>
      </x:c>
      <x:c r="I22" s="2">
        <x:f>G22</x:f>
      </x:c>
      <x:c r="J22" s="34" t="s">
        <x:v>43</x:v>
      </x:c>
      <x:c r="K22" s="1" t="s">
        <x:v>33</x:v>
      </x:c>
    </x:row>
    <x:row r="23" spans="1:11">
      <x:c r="B23" s="36" t="s">
        <x:v>640</x:v>
      </x:c>
      <x:c r="C23" s="2" t="s">
        <x:v>649</x:v>
      </x:c>
      <x:c r="D23" s="2" t="s">
        <x:v>650</x:v>
      </x:c>
      <x:c r="E23" s="2" t="s">
        <x:v>651</x:v>
      </x:c>
      <x:c r="F23" s="3">
        <x:f>NOW()</x:f>
      </x:c>
      <x:c r="G23" s="2" t="s">
        <x:v>42</x:v>
      </x:c>
      <x:c r="H23" s="3">
        <x:f>F23</x:f>
      </x:c>
      <x:c r="I23" s="2">
        <x:f>G23</x:f>
      </x:c>
      <x:c r="J23" s="34" t="s">
        <x:v>43</x:v>
      </x:c>
      <x:c r="K23" s="1" t="s">
        <x:v>33</x:v>
      </x:c>
    </x:row>
    <x:row r="24" spans="1:11">
      <x:c r="B24" s="36" t="s">
        <x:v>640</x:v>
      </x:c>
      <x:c r="C24" s="2" t="s">
        <x:v>652</x:v>
      </x:c>
      <x:c r="D24" s="2" t="s">
        <x:v>653</x:v>
      </x:c>
      <x:c r="E24" s="2" t="s">
        <x:v>648</x:v>
      </x:c>
      <x:c r="F24" s="3">
        <x:f>NOW()</x:f>
      </x:c>
      <x:c r="G24" s="2" t="s">
        <x:v>42</x:v>
      </x:c>
      <x:c r="H24" s="3">
        <x:f>F24</x:f>
      </x:c>
      <x:c r="I24" s="2">
        <x:f>G24</x:f>
      </x:c>
      <x:c r="J24" s="34" t="s">
        <x:v>43</x:v>
      </x:c>
      <x:c r="K24" s="1" t="s">
        <x:v>33</x:v>
      </x:c>
    </x:row>
    <x:row r="25" spans="1:11">
      <x:c r="B25" s="36" t="s">
        <x:v>640</x:v>
      </x:c>
      <x:c r="C25" s="2" t="s">
        <x:v>655</x:v>
      </x:c>
      <x:c r="D25" s="2" t="s">
        <x:v>654</x:v>
      </x:c>
      <x:c r="E25" s="2" t="s">
        <x:v>656</x:v>
      </x:c>
      <x:c r="F25" s="3">
        <x:f>NOW()</x:f>
      </x:c>
      <x:c r="G25" s="2" t="s">
        <x:v>42</x:v>
      </x:c>
      <x:c r="H25" s="3">
        <x:f>F25</x:f>
      </x:c>
      <x:c r="I25" s="2">
        <x:f>G25</x:f>
      </x:c>
      <x:c r="J25" s="34" t="s">
        <x:v>43</x:v>
      </x:c>
      <x:c r="K25" s="1" t="s">
        <x:v>33</x:v>
      </x:c>
    </x:row>
    <x:row r="26" spans="1:11">
      <x:c r="B26" s="36" t="s">
        <x:v>640</x:v>
      </x:c>
      <x:c r="C26" s="2" t="s">
        <x:v>658</x:v>
      </x:c>
      <x:c r="D26" s="2" t="s">
        <x:v>659</x:v>
      </x:c>
      <x:c r="E26" s="2" t="s">
        <x:v>657</x:v>
      </x:c>
      <x:c r="F26" s="3">
        <x:f>NOW()</x:f>
      </x:c>
      <x:c r="G26" s="2" t="s">
        <x:v>42</x:v>
      </x:c>
      <x:c r="H26" s="3">
        <x:f>F26</x:f>
      </x:c>
      <x:c r="I26" s="2">
        <x:f>G26</x:f>
      </x:c>
      <x:c r="J26" s="34" t="s">
        <x:v>43</x:v>
      </x:c>
      <x:c r="K26" s="1" t="s">
        <x:v>33</x:v>
      </x:c>
    </x:row>
    <x:row r="27" spans="1:11">
      <x:c r="B27" s="36" t="s">
        <x:v>640</x:v>
      </x:c>
      <x:c r="C27" s="2" t="s">
        <x:v>661</x:v>
      </x:c>
      <x:c r="D27" s="2" t="s">
        <x:v>660</x:v>
      </x:c>
      <x:c r="E27" s="2" t="s">
        <x:v>662</x:v>
      </x:c>
      <x:c r="F27" s="3">
        <x:f>NOW()</x:f>
      </x:c>
      <x:c r="G27" s="2" t="s">
        <x:v>42</x:v>
      </x:c>
      <x:c r="H27" s="3">
        <x:f>F27</x:f>
      </x:c>
      <x:c r="I27" s="2">
        <x:f>G27</x:f>
      </x:c>
      <x:c r="J27" s="34" t="s">
        <x:v>43</x:v>
      </x:c>
      <x:c r="K27" s="1" t="s">
        <x:v>33</x:v>
      </x:c>
    </x:row>
    <x:row r="28" spans="1:11">
      <x:c r="B28" s="36" t="s">
        <x:v>640</x:v>
      </x:c>
      <x:c r="C28" s="2" t="s">
        <x:v>664</x:v>
      </x:c>
      <x:c r="D28" s="2" t="s">
        <x:v>665</x:v>
      </x:c>
      <x:c r="E28" s="2" t="s">
        <x:v>663</x:v>
      </x:c>
      <x:c r="F28" s="3">
        <x:f>NOW()</x:f>
      </x:c>
      <x:c r="G28" s="2" t="s">
        <x:v>42</x:v>
      </x:c>
      <x:c r="H28" s="3">
        <x:f>F28</x:f>
      </x:c>
      <x:c r="I28" s="2">
        <x:f>G28</x:f>
      </x:c>
      <x:c r="J28" s="34" t="s">
        <x:v>43</x:v>
      </x:c>
      <x:c r="K28" s="1" t="s">
        <x:v>33</x:v>
      </x:c>
    </x:row>
    <x:row r="29" spans="1:11">
      <x:c r="B29" s="36" t="s">
        <x:v>640</x:v>
      </x:c>
      <x:c r="C29" s="2" t="s">
        <x:v>667</x:v>
      </x:c>
      <x:c r="D29" s="2" t="s">
        <x:v>666</x:v>
      </x:c>
      <x:c r="E29" s="2" t="s">
        <x:v>668</x:v>
      </x:c>
      <x:c r="F29" s="3">
        <x:f>NOW()</x:f>
      </x:c>
      <x:c r="G29" s="2" t="s">
        <x:v>42</x:v>
      </x:c>
      <x:c r="H29" s="3">
        <x:f>F29</x:f>
      </x:c>
      <x:c r="I29" s="2">
        <x:f>G29</x:f>
      </x:c>
      <x:c r="J29" s="34" t="s">
        <x:v>43</x:v>
      </x:c>
      <x:c r="K29" s="1" t="s">
        <x:v>33</x:v>
      </x:c>
    </x:row>
    <x:row r="30" spans="1:11">
      <x:c r="B30" s="25"/>
    </x:row>
  </x:sheetData>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disablePrompts="1"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2026-10-13T10:53:40.0000000Z</dcterms:modified>
</coreProperties>
</file>