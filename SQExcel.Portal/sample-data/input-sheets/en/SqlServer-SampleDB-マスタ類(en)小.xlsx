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DA9CF635-8E56-4823-B1C7-38517736A239}" xr6:coauthVersionLast="47" xr6:coauthVersionMax="47" xr10:uidLastSave="{00000000-0000-0000-0000-000000000000}"/>
  <bookViews>
    <workbookView xWindow="760" yWindow="760" windowWidth="21160" windowHeight="14340" xr2:uid="{00000000-000D-0000-FFFF-FFFF00000000}"/>
  </bookViews>
  <sheets>
    <sheet name="departments" sheetId="1" r:id="rId1"/>
    <sheet name="employees" sheetId="2" r:id="rId2"/>
    <sheet name="clients" sheetId="3" r:id="rId3"/>
    <sheet name="services" sheetId="4" r:id="rId4"/>
    <sheet name="common_co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" l="1"/>
  <c r="O8" i="4" s="1"/>
  <c r="P8" i="4"/>
  <c r="M9" i="4"/>
  <c r="O9" i="4"/>
  <c r="P9" i="4"/>
  <c r="M10" i="4"/>
  <c r="O10" i="4"/>
  <c r="P10" i="4"/>
  <c r="M11" i="4"/>
  <c r="O11" i="4" s="1"/>
  <c r="P11" i="4"/>
  <c r="M12" i="4"/>
  <c r="O12" i="4"/>
  <c r="P12" i="4"/>
  <c r="M13" i="4"/>
  <c r="O13" i="4" s="1"/>
  <c r="P13" i="4"/>
  <c r="M14" i="4"/>
  <c r="O14" i="4" s="1"/>
  <c r="P14" i="4"/>
  <c r="M15" i="4"/>
  <c r="O15" i="4"/>
  <c r="P15" i="4"/>
  <c r="M16" i="4"/>
  <c r="O16" i="4" s="1"/>
  <c r="P16" i="4"/>
  <c r="M17" i="4"/>
  <c r="O17" i="4"/>
  <c r="P17" i="4"/>
  <c r="M18" i="4"/>
  <c r="O18" i="4"/>
  <c r="P18" i="4"/>
  <c r="M19" i="4"/>
  <c r="O19" i="4" s="1"/>
  <c r="P19" i="4"/>
  <c r="M20" i="4"/>
  <c r="O20" i="4" s="1"/>
  <c r="P20" i="4"/>
  <c r="M21" i="4"/>
  <c r="O21" i="4"/>
  <c r="P21" i="4"/>
  <c r="M22" i="4"/>
  <c r="O22" i="4"/>
  <c r="P22" i="4"/>
  <c r="M23" i="4"/>
  <c r="O23" i="4" s="1"/>
  <c r="P23" i="4"/>
  <c r="M24" i="4"/>
  <c r="O24" i="4" s="1"/>
  <c r="P24" i="4"/>
  <c r="M25" i="4"/>
  <c r="O25" i="4" s="1"/>
  <c r="P25" i="4"/>
  <c r="M26" i="4"/>
  <c r="O26" i="4"/>
  <c r="P26" i="4"/>
  <c r="M27" i="4"/>
  <c r="O27" i="4" s="1"/>
  <c r="P27" i="4"/>
  <c r="M28" i="4"/>
  <c r="O28" i="4"/>
  <c r="P28" i="4"/>
  <c r="M29" i="4"/>
  <c r="O29" i="4" s="1"/>
  <c r="P29" i="4"/>
  <c r="M30" i="4"/>
  <c r="O30" i="4"/>
  <c r="P30" i="4"/>
  <c r="M31" i="4"/>
  <c r="O31" i="4" s="1"/>
  <c r="P31" i="4"/>
  <c r="M32" i="4"/>
  <c r="O32" i="4" s="1"/>
  <c r="P32" i="4"/>
  <c r="M33" i="4"/>
  <c r="O33" i="4" s="1"/>
  <c r="P33" i="4"/>
  <c r="M34" i="4"/>
  <c r="O34" i="4"/>
  <c r="P34" i="4"/>
  <c r="M35" i="4"/>
  <c r="O35" i="4" s="1"/>
  <c r="P35" i="4"/>
  <c r="M36" i="4"/>
  <c r="O36" i="4"/>
  <c r="P36" i="4"/>
  <c r="M37" i="4"/>
  <c r="O37" i="4" s="1"/>
  <c r="P37" i="4"/>
  <c r="F8" i="5"/>
  <c r="H8" i="5" s="1"/>
  <c r="I8" i="5"/>
  <c r="F9" i="5"/>
  <c r="H9" i="5" s="1"/>
  <c r="I9" i="5"/>
  <c r="F10" i="5"/>
  <c r="H10" i="5" s="1"/>
  <c r="I10" i="5"/>
  <c r="F11" i="5"/>
  <c r="H11" i="5" s="1"/>
  <c r="I11" i="5"/>
  <c r="F12" i="5"/>
  <c r="H12" i="5"/>
  <c r="I12" i="5"/>
  <c r="F13" i="5"/>
  <c r="H13" i="5" s="1"/>
  <c r="I13" i="5"/>
  <c r="F14" i="5"/>
  <c r="H14" i="5" s="1"/>
  <c r="I14" i="5"/>
  <c r="F15" i="5"/>
  <c r="H15" i="5" s="1"/>
  <c r="I15" i="5"/>
  <c r="F16" i="5"/>
  <c r="H16" i="5" s="1"/>
  <c r="I16" i="5"/>
  <c r="F17" i="5"/>
  <c r="H17" i="5" s="1"/>
  <c r="I17" i="5"/>
  <c r="F18" i="5"/>
  <c r="H18" i="5" s="1"/>
  <c r="I18" i="5"/>
  <c r="F19" i="5"/>
  <c r="H19" i="5"/>
  <c r="I19" i="5"/>
  <c r="F20" i="5"/>
  <c r="H20" i="5" s="1"/>
  <c r="I20" i="5"/>
  <c r="F21" i="5"/>
  <c r="H21" i="5"/>
  <c r="I21" i="5"/>
  <c r="F22" i="5"/>
  <c r="H22" i="5"/>
  <c r="I22" i="5"/>
  <c r="F23" i="5"/>
  <c r="H23" i="5"/>
  <c r="I23" i="5"/>
  <c r="F24" i="5"/>
  <c r="H24" i="5"/>
  <c r="I24" i="5"/>
  <c r="F25" i="5"/>
  <c r="H25" i="5" s="1"/>
  <c r="I25" i="5"/>
  <c r="F26" i="5"/>
  <c r="H26" i="5"/>
  <c r="I26" i="5"/>
  <c r="F27" i="5"/>
  <c r="H27" i="5" s="1"/>
  <c r="I27" i="5"/>
  <c r="F28" i="5"/>
  <c r="H28" i="5"/>
  <c r="I28" i="5"/>
  <c r="F29" i="5"/>
  <c r="H29" i="5" s="1"/>
  <c r="I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4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4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<sst xmlns="http://schemas.openxmlformats.org/spreadsheetml/2006/main" count="1333" uniqueCount="617">
  <si>
    <t>テーブル名</t>
  </si>
  <si>
    <t>hr.departments</t>
  </si>
  <si>
    <t>論理名</t>
  </si>
  <si>
    <t>部門マスター</t>
  </si>
  <si>
    <t>処理結果</t>
  </si>
  <si>
    <t/>
  </si>
  <si>
    <t>項目名</t>
  </si>
  <si>
    <t>dept_id</t>
  </si>
  <si>
    <t>dept_name</t>
  </si>
  <si>
    <t>parent_dept_id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</si>
  <si>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</si>
  <si>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</si>
  <si>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</si>
  <si>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</si>
  <si>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</si>
  <si>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</si>
  <si>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</si>
  <si>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部門ID</t>
  </si>
  <si>
    <t>部門名</t>
  </si>
  <si>
    <t>親部門ID</t>
  </si>
  <si>
    <t>作成日時</t>
  </si>
  <si>
    <t>作成者ID</t>
  </si>
  <si>
    <t>更新日時</t>
  </si>
  <si>
    <t>更新者ID</t>
  </si>
  <si>
    <t>データ型</t>
  </si>
  <si>
    <t>Char(6)</t>
  </si>
  <si>
    <t>NVarChar(100)</t>
  </si>
  <si>
    <t>DateTime</t>
  </si>
  <si>
    <t>VarChar(20)</t>
  </si>
  <si>
    <t>項目属性</t>
  </si>
  <si>
    <t>K</t>
  </si>
  <si>
    <t>N</t>
  </si>
  <si>
    <t>D</t>
  </si>
  <si>
    <t>入力対象</t>
  </si>
  <si>
    <t>*</t>
  </si>
  <si>
    <t>DP0001</t>
  </si>
  <si>
    <t>Executive Management</t>
  </si>
  <si>
    <r>
      <rPr>
        <sz val="11"/>
        <color rgb="FF000000"/>
        <rFont val="Calibri"/>
        <family val="2"/>
      </rPr>
      <t>(null)</t>
    </r>
    <phoneticPr fontId="0"/>
  </si>
  <si>
    <t>system</t>
  </si>
  <si>
    <t>sys_administrator</t>
  </si>
  <si>
    <t>DP0002</t>
  </si>
  <si>
    <t>Sales Department</t>
  </si>
  <si>
    <t>sys_operator</t>
  </si>
  <si>
    <t>SC0001</t>
  </si>
  <si>
    <t>Account Strategy Section</t>
  </si>
  <si>
    <t>SC0002</t>
  </si>
  <si>
    <t>Media Planning Section</t>
  </si>
  <si>
    <t>DP0003</t>
  </si>
  <si>
    <t>Creative Services Department</t>
  </si>
  <si>
    <t>sys_developer</t>
  </si>
  <si>
    <t>SC0003</t>
  </si>
  <si>
    <t>Campaign Design Section</t>
  </si>
  <si>
    <t>DP0004</t>
  </si>
  <si>
    <t>Ad Operations Department</t>
  </si>
  <si>
    <t>SC0004</t>
  </si>
  <si>
    <t>Programmatic Trading Section</t>
  </si>
  <si>
    <t>DP0005</t>
  </si>
  <si>
    <t>Client Success Department</t>
  </si>
  <si>
    <t>SC0005</t>
  </si>
  <si>
    <t>Analytics Reporting Section</t>
  </si>
  <si>
    <t>hr.employees</t>
  </si>
  <si>
    <t>従業員マスター（担当者マスター）</t>
  </si>
  <si>
    <t>employee_id</t>
  </si>
  <si>
    <t>last_name</t>
  </si>
  <si>
    <t>first_name</t>
  </si>
  <si>
    <t>email</t>
  </si>
  <si>
    <t>is_active</t>
  </si>
  <si>
    <t>従業員ID（担当者コード）</t>
  </si>
  <si>
    <t>姓</t>
  </si>
  <si>
    <t>名</t>
  </si>
  <si>
    <t>業務メールアドレス</t>
  </si>
  <si>
    <t>有効フラグ（1=有効,0=無効）</t>
  </si>
  <si>
    <t>Char(8)</t>
  </si>
  <si>
    <t>NVarChar(50)</t>
  </si>
  <si>
    <t>VarChar(254)</t>
  </si>
  <si>
    <t>Bit</t>
  </si>
  <si>
    <t>18000001</t>
  </si>
  <si>
    <t>Reed</t>
  </si>
  <si>
    <t>Jonathan</t>
  </si>
  <si>
    <t>jonathan.reed@northbridge-ads.example</t>
  </si>
  <si>
    <t>19000002</t>
  </si>
  <si>
    <t>Brooks</t>
  </si>
  <si>
    <t>Emily</t>
  </si>
  <si>
    <t>emily.brooks@northbridge-ads.example</t>
  </si>
  <si>
    <t>19000003</t>
  </si>
  <si>
    <t>Carter</t>
  </si>
  <si>
    <t>Miles</t>
  </si>
  <si>
    <t>miles.carter@northbridge-ads.example</t>
  </si>
  <si>
    <t>20000004</t>
  </si>
  <si>
    <t>Parker</t>
  </si>
  <si>
    <t>Olivia</t>
  </si>
  <si>
    <t>olivia.parker@northbridge-ads.example</t>
  </si>
  <si>
    <t>20000005</t>
  </si>
  <si>
    <t>Foster</t>
  </si>
  <si>
    <t>Ethan</t>
  </si>
  <si>
    <t>ethan.foster@northbridge-ads.example</t>
  </si>
  <si>
    <t>21000006</t>
  </si>
  <si>
    <t>Hayes</t>
  </si>
  <si>
    <t>Sophia</t>
  </si>
  <si>
    <t>sophia.hayes@northbridge-ads.example</t>
  </si>
  <si>
    <t>21000007</t>
  </si>
  <si>
    <t>Morgan</t>
  </si>
  <si>
    <t>Caleb</t>
  </si>
  <si>
    <t>caleb.morgan@northbridge-ads.example</t>
  </si>
  <si>
    <t>21000008</t>
  </si>
  <si>
    <t>Bennett</t>
  </si>
  <si>
    <t>Ava</t>
  </si>
  <si>
    <t>ava.bennett@northbridge-ads.example</t>
  </si>
  <si>
    <t>22000009</t>
  </si>
  <si>
    <t>Collins</t>
  </si>
  <si>
    <t>Noah</t>
  </si>
  <si>
    <t>noah.collins@northbridge-ads.example</t>
  </si>
  <si>
    <t>22000010</t>
  </si>
  <si>
    <t>Sullivan</t>
  </si>
  <si>
    <t>Grace</t>
  </si>
  <si>
    <t>grace.sullivan@northbridge-ads.example</t>
  </si>
  <si>
    <t>22000011</t>
  </si>
  <si>
    <t>Murphy</t>
  </si>
  <si>
    <t>Liam</t>
  </si>
  <si>
    <t>liam.murphy@northbridge-ads.example</t>
  </si>
  <si>
    <t>23000012</t>
  </si>
  <si>
    <t>Turner</t>
  </si>
  <si>
    <t>Chloe</t>
  </si>
  <si>
    <t>chloe.turner@northbridge-ads.example</t>
  </si>
  <si>
    <t>23000013</t>
  </si>
  <si>
    <t>Phillips</t>
  </si>
  <si>
    <t>Logan</t>
  </si>
  <si>
    <t>logan.phillips@northbridge-ads.example</t>
  </si>
  <si>
    <t>23000014</t>
  </si>
  <si>
    <t>Howard</t>
  </si>
  <si>
    <t>Mia</t>
  </si>
  <si>
    <t>mia.howard@northbridge-ads.example</t>
  </si>
  <si>
    <t>24000015</t>
  </si>
  <si>
    <t>Price</t>
  </si>
  <si>
    <t>Daniel</t>
  </si>
  <si>
    <t>daniel.price@northbridge-ads.example</t>
  </si>
  <si>
    <t>24000016</t>
  </si>
  <si>
    <t>Watson</t>
  </si>
  <si>
    <t>Nora</t>
  </si>
  <si>
    <t>nora.watson@northbridge-ads.example</t>
  </si>
  <si>
    <t>24000017</t>
  </si>
  <si>
    <t>Richardson</t>
  </si>
  <si>
    <t>Owen</t>
  </si>
  <si>
    <t>owen.richardson@northbridge-ads.example</t>
  </si>
  <si>
    <t>25000018</t>
  </si>
  <si>
    <t>Bailey</t>
  </si>
  <si>
    <t>Ella</t>
  </si>
  <si>
    <t>ella.bailey@northbridge-ads.example</t>
  </si>
  <si>
    <t>25000019</t>
  </si>
  <si>
    <t>Cooper</t>
  </si>
  <si>
    <t>Lucas</t>
  </si>
  <si>
    <t>lucas.cooper@northbridge-ads.example</t>
  </si>
  <si>
    <t>26000020</t>
  </si>
  <si>
    <t>Mitchell</t>
  </si>
  <si>
    <t>Harper</t>
  </si>
  <si>
    <t>harper.mitchell@northbridge-ads.example</t>
  </si>
  <si>
    <t>sales.clients</t>
  </si>
  <si>
    <t>取引先マスター</t>
  </si>
  <si>
    <t>client_id</t>
  </si>
  <si>
    <t>client_name</t>
  </si>
  <si>
    <t>client_name_kana</t>
  </si>
  <si>
    <t>contact_person</t>
  </si>
  <si>
    <t>phone</t>
  </si>
  <si>
    <t>address_line1</t>
  </si>
  <si>
    <t>address_line2</t>
  </si>
  <si>
    <t>city</t>
  </si>
  <si>
    <t>state_province</t>
  </si>
  <si>
    <t>postal_code</t>
  </si>
  <si>
    <t>country_code</t>
  </si>
  <si>
    <t>取引先ID</t>
  </si>
  <si>
    <t>取引先名</t>
  </si>
  <si>
    <t>取引先名カナ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</si>
  <si>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</si>
  <si>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</si>
  <si>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</si>
  <si>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</si>
  <si>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使用頻度低。集合住宅名・部屋番号等）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</si>
  <si>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</si>
  <si>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</si>
  <si>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</si>
  <si>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</si>
  <si>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</si>
  <si>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NVarChar(200)</t>
  </si>
  <si>
    <t>Char(2)</t>
  </si>
  <si>
    <t>EC000001</t>
  </si>
  <si>
    <t>Cascade Outfitters</t>
  </si>
  <si>
    <t>Avery Collins</t>
  </si>
  <si>
    <t>03-4521-1001</t>
  </si>
  <si>
    <t>avery.collins@cascade-outfitters.example</t>
  </si>
  <si>
    <t>1420 Pine Street</t>
  </si>
  <si>
    <t>Suite 210</t>
  </si>
  <si>
    <t>Seattle</t>
  </si>
  <si>
    <t>WA</t>
  </si>
  <si>
    <t>98101</t>
  </si>
  <si>
    <t>US</t>
  </si>
  <si>
    <t>EC000002</t>
  </si>
  <si>
    <t>Puget Coffee Works</t>
  </si>
  <si>
    <t>Mason Reed</t>
  </si>
  <si>
    <t>03-4521-1002</t>
  </si>
  <si>
    <t>mason.reed@puget-coffee.example</t>
  </si>
  <si>
    <t>88 Yesler Way</t>
  </si>
  <si>
    <t>Floor 3</t>
  </si>
  <si>
    <t>98104</t>
  </si>
  <si>
    <t>EC000003</t>
  </si>
  <si>
    <t>Rainier Home Goods</t>
  </si>
  <si>
    <t>Olivia Parker</t>
  </si>
  <si>
    <t>03-4521-1003</t>
  </si>
  <si>
    <t>olivia.parker@rainier-homegoods.example</t>
  </si>
  <si>
    <t>310 Westlake Avenue North</t>
  </si>
  <si>
    <t>Unit 12</t>
  </si>
  <si>
    <t>98109</t>
  </si>
  <si>
    <t>EC000004</t>
  </si>
  <si>
    <t>Emerald City Fitness</t>
  </si>
  <si>
    <t>Liam Brooks</t>
  </si>
  <si>
    <t>03-4521-1004</t>
  </si>
  <si>
    <t>liam.brooks@emerald-fitness.example</t>
  </si>
  <si>
    <t>2201 Queen Anne Avenue North</t>
  </si>
  <si>
    <t>EC000005</t>
  </si>
  <si>
    <t>Soundside Travel Co</t>
  </si>
  <si>
    <t>Emma Hayes</t>
  </si>
  <si>
    <t>03-4521-1005</t>
  </si>
  <si>
    <t>emma.hayes@soundside-travel.example</t>
  </si>
  <si>
    <t>605 1st Avenue</t>
  </si>
  <si>
    <t>Suite 400</t>
  </si>
  <si>
    <t>EC000006</t>
  </si>
  <si>
    <t>Northwest Pet Market</t>
  </si>
  <si>
    <t>Noah Bennett</t>
  </si>
  <si>
    <t>03-4521-1006</t>
  </si>
  <si>
    <t>noah.bennett@nw-petmarket.example</t>
  </si>
  <si>
    <t>1918 Pike Place</t>
  </si>
  <si>
    <t>Suite 5</t>
  </si>
  <si>
    <t>EC000007</t>
  </si>
  <si>
    <t>Harbor Cycle Studio</t>
  </si>
  <si>
    <t>Sophia Morgan</t>
  </si>
  <si>
    <t>03-4521-1007</t>
  </si>
  <si>
    <t>sophia.morgan@harbor-cycle.example</t>
  </si>
  <si>
    <t>733 East Pine Street</t>
  </si>
  <si>
    <t>98122</t>
  </si>
  <si>
    <t>EC000008</t>
  </si>
  <si>
    <t>Ballard Craft Supply</t>
  </si>
  <si>
    <t>Ethan Carter</t>
  </si>
  <si>
    <t>03-4521-1008</t>
  </si>
  <si>
    <t>ethan.carter@ballard-craft.example</t>
  </si>
  <si>
    <t>5400 Ballard Avenue NW</t>
  </si>
  <si>
    <t>Suite 120</t>
  </si>
  <si>
    <t>98107</t>
  </si>
  <si>
    <t>EC000009</t>
  </si>
  <si>
    <t>Lake Union Books</t>
  </si>
  <si>
    <t>Grace Turner</t>
  </si>
  <si>
    <t>03-4521-1009</t>
  </si>
  <si>
    <t>grace.turner@lakeunion-books.example</t>
  </si>
  <si>
    <t>1155 Dexter Avenue North</t>
  </si>
  <si>
    <t>EC000010</t>
  </si>
  <si>
    <t>Olympic Garden Center</t>
  </si>
  <si>
    <t>Lucas Howard</t>
  </si>
  <si>
    <t>03-4521-1010</t>
  </si>
  <si>
    <t>lucas.howard@olympic-garden.example</t>
  </si>
  <si>
    <t>920 Market Street</t>
  </si>
  <si>
    <t>Building B</t>
  </si>
  <si>
    <t>Kirkland</t>
  </si>
  <si>
    <t>98033</t>
  </si>
  <si>
    <t>EC000011</t>
  </si>
  <si>
    <t>Capitol Hill Bakery</t>
  </si>
  <si>
    <t>Chloe Murphy</t>
  </si>
  <si>
    <t>03-4521-1011</t>
  </si>
  <si>
    <t>chloe.murphy@capitol-bakery.example</t>
  </si>
  <si>
    <t>418 Broadway East</t>
  </si>
  <si>
    <t>98102</t>
  </si>
  <si>
    <t>EC000012</t>
  </si>
  <si>
    <t>Evergreen Tech Repair</t>
  </si>
  <si>
    <t>Daniel Foster</t>
  </si>
  <si>
    <t>03-4521-1012</t>
  </si>
  <si>
    <t>daniel.foster@evergreen-techrepair.example</t>
  </si>
  <si>
    <t>2600 2nd Avenue</t>
  </si>
  <si>
    <t>Suite 180</t>
  </si>
  <si>
    <t>98121</t>
  </si>
  <si>
    <t>EC000013</t>
  </si>
  <si>
    <t>Fremont Outdoor Gear</t>
  </si>
  <si>
    <t>Mia Sullivan</t>
  </si>
  <si>
    <t>03-4521-1013</t>
  </si>
  <si>
    <t>mia.sullivan@fremont-gear.example</t>
  </si>
  <si>
    <t>3501 Fremont Avenue North</t>
  </si>
  <si>
    <t>98103</t>
  </si>
  <si>
    <t>EC000014</t>
  </si>
  <si>
    <t>Queen Anne Dental</t>
  </si>
  <si>
    <t>Owen Phillips</t>
  </si>
  <si>
    <t>03-4521-1014</t>
  </si>
  <si>
    <t>owen.phillips@qa-dental.example</t>
  </si>
  <si>
    <t>1808 Queen Anne Avenue North</t>
  </si>
  <si>
    <t>Suite 305</t>
  </si>
  <si>
    <t>EC000015</t>
  </si>
  <si>
    <t>Pioneer Square Bistro</t>
  </si>
  <si>
    <t>Nora Watson</t>
  </si>
  <si>
    <t>03-4521-1015</t>
  </si>
  <si>
    <t>nora.watson@pioneer-bistro.example</t>
  </si>
  <si>
    <t>98 South Jackson Street</t>
  </si>
  <si>
    <t>EC000016</t>
  </si>
  <si>
    <t>Redmond Family Clinic</t>
  </si>
  <si>
    <t>Caleb Price</t>
  </si>
  <si>
    <t>03-4521-1016</t>
  </si>
  <si>
    <t>caleb.price@redmond-clinic.example</t>
  </si>
  <si>
    <t>16150 NE 85th Street</t>
  </si>
  <si>
    <t>Redmond</t>
  </si>
  <si>
    <t>98052</t>
  </si>
  <si>
    <t>EC000017</t>
  </si>
  <si>
    <t>Bellevue Kids Apparel</t>
  </si>
  <si>
    <t>Ella Richardson</t>
  </si>
  <si>
    <t>03-4521-1017</t>
  </si>
  <si>
    <t>ella.richardson@bellevue-kids.example</t>
  </si>
  <si>
    <t>1025 Bellevue Way NE</t>
  </si>
  <si>
    <t>Suite 150</t>
  </si>
  <si>
    <t>Bellevue</t>
  </si>
  <si>
    <t>98004</t>
  </si>
  <si>
    <t>EC000018</t>
  </si>
  <si>
    <t>Mercer Island Yoga</t>
  </si>
  <si>
    <t>Jonathan Bailey</t>
  </si>
  <si>
    <t>03-4521-1018</t>
  </si>
  <si>
    <t>jonathan.bailey@mi-yoga.example</t>
  </si>
  <si>
    <t>2785 78th Avenue SE</t>
  </si>
  <si>
    <t>Mercer Island</t>
  </si>
  <si>
    <t>98040</t>
  </si>
  <si>
    <t>EC000019</t>
  </si>
  <si>
    <t>West Seattle Auto Care</t>
  </si>
  <si>
    <t>Harper Cooper</t>
  </si>
  <si>
    <t>03-4521-1019</t>
  </si>
  <si>
    <t>harper.cooper@ws-autocare.example</t>
  </si>
  <si>
    <t>4701 California Avenue SW</t>
  </si>
  <si>
    <t>98116</t>
  </si>
  <si>
    <t>EC000020</t>
  </si>
  <si>
    <t>Tacoma Urban Market</t>
  </si>
  <si>
    <t>Logan Mitchell</t>
  </si>
  <si>
    <t>03-4521-1020</t>
  </si>
  <si>
    <t>logan.mitchell@tacoma-urbanmarket.example</t>
  </si>
  <si>
    <t>1120 Pacific Avenue</t>
  </si>
  <si>
    <t>Suite 80</t>
  </si>
  <si>
    <t>Tacoma</t>
  </si>
  <si>
    <t>98402</t>
  </si>
  <si>
    <t>EC000021</t>
  </si>
  <si>
    <t>Spokane Trail Outfitters</t>
  </si>
  <si>
    <t>Ava Ward</t>
  </si>
  <si>
    <t>03-4521-1021</t>
  </si>
  <si>
    <t>ava.ward@spokane-trails.example</t>
  </si>
  <si>
    <t>721 West Main Avenue</t>
  </si>
  <si>
    <t>Spokane</t>
  </si>
  <si>
    <t>99201</t>
  </si>
  <si>
    <t>EC000022</t>
  </si>
  <si>
    <t>Portland Design Loft</t>
  </si>
  <si>
    <t>Miles Peterson</t>
  </si>
  <si>
    <t>03-4521-1022</t>
  </si>
  <si>
    <t>miles.peterson@portland-designloft.example</t>
  </si>
  <si>
    <t>411 NW Park Avenue</t>
  </si>
  <si>
    <t>Suite 600</t>
  </si>
  <si>
    <t>Portland</t>
  </si>
  <si>
    <t>OR</t>
  </si>
  <si>
    <t>97209</t>
  </si>
  <si>
    <t>EC000023</t>
  </si>
  <si>
    <t>Boise Wellness Lab</t>
  </si>
  <si>
    <t>Emily Sanders</t>
  </si>
  <si>
    <t>03-4521-1023</t>
  </si>
  <si>
    <t>emily.sanders@boise-wellness.example</t>
  </si>
  <si>
    <t>950 West Bannock Street</t>
  </si>
  <si>
    <t>Boise</t>
  </si>
  <si>
    <t>ID</t>
  </si>
  <si>
    <t>83702</t>
  </si>
  <si>
    <t>EC000024</t>
  </si>
  <si>
    <t>Anchorage Adventure Tours</t>
  </si>
  <si>
    <t>Carter Hughes</t>
  </si>
  <si>
    <t>03-4521-1024</t>
  </si>
  <si>
    <t>carter.hughes@anchorage-adventures.example</t>
  </si>
  <si>
    <t>540 West 5th Avenue</t>
  </si>
  <si>
    <t>Suite 230</t>
  </si>
  <si>
    <t>Anchorage</t>
  </si>
  <si>
    <t>AK</t>
  </si>
  <si>
    <t>99501</t>
  </si>
  <si>
    <t>EC000025</t>
  </si>
  <si>
    <t>San Francisco Green Eats</t>
  </si>
  <si>
    <t>Lily Barnes</t>
  </si>
  <si>
    <t>03-4521-1025</t>
  </si>
  <si>
    <t>lily.barnes@sfgreeneats.example</t>
  </si>
  <si>
    <t>225 Bush Street</t>
  </si>
  <si>
    <t>Floor 12</t>
  </si>
  <si>
    <t>San Francisco</t>
  </si>
  <si>
    <t>CA</t>
  </si>
  <si>
    <t>94104</t>
  </si>
  <si>
    <t>EC000026</t>
  </si>
  <si>
    <t>Denver Home Studio</t>
  </si>
  <si>
    <t>Wyatt Ross</t>
  </si>
  <si>
    <t>03-4521-1026</t>
  </si>
  <si>
    <t>wyatt.ross@denver-homestudio.example</t>
  </si>
  <si>
    <t>1600 Wynkoop Street</t>
  </si>
  <si>
    <t>Suite 320</t>
  </si>
  <si>
    <t>Denver</t>
  </si>
  <si>
    <t>CO</t>
  </si>
  <si>
    <t>80202</t>
  </si>
  <si>
    <t>EC000027</t>
  </si>
  <si>
    <t>Austin Music Supply</t>
  </si>
  <si>
    <t>Zoe Coleman</t>
  </si>
  <si>
    <t>03-4521-1027</t>
  </si>
  <si>
    <t>zoe.coleman@austin-musicsupply.example</t>
  </si>
  <si>
    <t>508 East 6th Street</t>
  </si>
  <si>
    <t>Austin</t>
  </si>
  <si>
    <t>TX</t>
  </si>
  <si>
    <t>78701</t>
  </si>
  <si>
    <t>EC000028</t>
  </si>
  <si>
    <t>Chicago Local Eats</t>
  </si>
  <si>
    <t>Henry Jenkins</t>
  </si>
  <si>
    <t>03-4521-1028</t>
  </si>
  <si>
    <t>henry.jenkins@chicago-localeats.example</t>
  </si>
  <si>
    <t>333 North Michigan Avenue</t>
  </si>
  <si>
    <t>Suite 900</t>
  </si>
  <si>
    <t>Chicago</t>
  </si>
  <si>
    <t>IL</t>
  </si>
  <si>
    <t>60601</t>
  </si>
  <si>
    <t>EC000029</t>
  </si>
  <si>
    <t>Boston Learning Hub</t>
  </si>
  <si>
    <t>Scarlett Perry</t>
  </si>
  <si>
    <t>03-4521-1029</t>
  </si>
  <si>
    <t>scarlett.perry@boston-learninghub.example</t>
  </si>
  <si>
    <t>75 State Street</t>
  </si>
  <si>
    <t>Suite 500</t>
  </si>
  <si>
    <t>Boston</t>
  </si>
  <si>
    <t>MA</t>
  </si>
  <si>
    <t>02109</t>
  </si>
  <si>
    <t>EC000030</t>
  </si>
  <si>
    <t>Brooklyn Maker House</t>
  </si>
  <si>
    <t>Jack Russell</t>
  </si>
  <si>
    <t>03-4521-1030</t>
  </si>
  <si>
    <t>jack.russell@brooklyn-makerhouse.example</t>
  </si>
  <si>
    <t>120 Kent Avenue</t>
  </si>
  <si>
    <t>Studio 4B</t>
  </si>
  <si>
    <t>Brooklyn</t>
  </si>
  <si>
    <t>NY</t>
  </si>
  <si>
    <t>11249</t>
  </si>
  <si>
    <r>
      <rPr>
        <sz val="11"/>
        <color rgb="FF000000"/>
        <rFont val="Calibri"/>
        <family val="2"/>
      </rPr>
      <t>テーブル名</t>
    </r>
  </si>
  <si>
    <t>sales.services</t>
  </si>
  <si>
    <r>
      <rPr>
        <sz val="11"/>
        <color rgb="FF000000"/>
        <rFont val="Calibri"/>
        <family val="2"/>
      </rPr>
      <t>論理名</t>
    </r>
  </si>
  <si>
    <r>
      <rPr>
        <sz val="11"/>
        <color rgb="FF000000"/>
        <rFont val="Calibri"/>
        <family val="2"/>
      </rPr>
      <t>処理結果</t>
    </r>
  </si>
  <si>
    <r>
      <rPr>
        <sz val="11"/>
        <color rgb="FF000000"/>
        <rFont val="Calibri"/>
        <family val="2"/>
      </rPr>
      <t>サービスマスター（広告種別・料金定義）</t>
    </r>
  </si>
  <si>
    <r>
      <rPr>
        <sz val="11"/>
        <color rgb="FF000000"/>
        <rFont val="Calibri"/>
        <family val="2"/>
      </rPr>
      <t>項目名</t>
    </r>
  </si>
  <si>
    <t>service_id</t>
  </si>
  <si>
    <r>
      <rPr>
        <sz val="11"/>
        <color rgb="FF000000"/>
        <rFont val="Calibri"/>
        <family val="2"/>
      </rPr>
      <t>service_name</t>
    </r>
    <phoneticPr fontId="0"/>
  </si>
  <si>
    <t>ad_type</t>
  </si>
  <si>
    <t>banner_size</t>
  </si>
  <si>
    <t>html_embed_available</t>
  </si>
  <si>
    <t>js_embed_available</t>
  </si>
  <si>
    <t>video_duration_sec</t>
  </si>
  <si>
    <r>
      <rPr>
        <sz val="11"/>
        <color rgb="FF000000"/>
        <rFont val="Calibri"/>
        <family val="2"/>
      </rPr>
      <t>price_weekly</t>
    </r>
    <phoneticPr fontId="0"/>
  </si>
  <si>
    <t>price_monthly</t>
  </si>
  <si>
    <r>
      <rPr>
        <sz val="11"/>
        <color rgb="FF000000"/>
        <rFont val="Calibri"/>
        <family val="2"/>
      </rPr>
      <t>currency_code</t>
    </r>
    <phoneticPr fontId="0"/>
  </si>
  <si>
    <r>
      <rPr>
        <sz val="11"/>
        <color rgb="FF000000"/>
        <rFont val="Calibri"/>
        <family val="2"/>
      </rPr>
      <t>処理成否</t>
    </r>
  </si>
  <si>
    <r>
      <rPr>
        <sz val="11"/>
        <color rgb="FF000000"/>
        <rFont val="Calibri"/>
        <family val="2"/>
      </rPr>
      <t>処理失敗時メッセージ</t>
    </r>
  </si>
  <si>
    <r>
      <rPr>
        <sz val="11"/>
        <color rgb="FF000000"/>
        <rFont val="Calibri"/>
        <family val="2"/>
      </rPr>
      <t>項目論理名</t>
    </r>
  </si>
  <si>
    <r>
      <rPr>
        <sz val="11"/>
        <color rgb="FF000000"/>
        <rFont val="Calibri"/>
        <family val="2"/>
      </rPr>
      <t>HTML</t>
    </r>
    <r>
      <rPr>
        <sz val="11"/>
        <color rgb="FF000000"/>
        <rFont val="Calibri"/>
        <family val="2"/>
      </rPr>
      <t>埋め込み可否（バナー広告のみ）</t>
    </r>
  </si>
  <si>
    <r>
      <rPr>
        <sz val="11"/>
        <color rgb="FF000000"/>
        <rFont val="Calibri"/>
        <family val="2"/>
      </rPr>
      <t>サービスID</t>
    </r>
  </si>
  <si>
    <r>
      <rPr>
        <sz val="11"/>
        <color rgb="FF000000"/>
        <rFont val="Calibri"/>
        <family val="2"/>
      </rPr>
      <t>サービス名</t>
    </r>
  </si>
  <si>
    <r>
      <rPr>
        <sz val="11"/>
        <color rgb="FF000000"/>
        <rFont val="Calibri"/>
        <family val="2"/>
      </rPr>
      <t>広告種別（B=バナー広告,V=動画広告）</t>
    </r>
  </si>
  <si>
    <r>
      <rPr>
        <sz val="11"/>
        <color rgb="FF000000"/>
        <rFont val="Noto Sans JP"/>
        <family val="2"/>
      </rPr>
      <t>バナーサイズ（バナー広告のみ。例</t>
    </r>
    <r>
      <rPr>
        <sz val="11"/>
        <color rgb="FF000000"/>
        <rFont val="Calibri"/>
        <family val="2"/>
      </rPr>
      <t>:468x60,728x90,300x250</t>
    </r>
    <r>
      <rPr>
        <sz val="11"/>
        <color rgb="FF000000"/>
        <rFont val="Noto Sans JP"/>
        <family val="2"/>
      </rPr>
      <t>）</t>
    </r>
    <phoneticPr fontId="0"/>
  </si>
  <si>
    <r>
      <rPr>
        <sz val="11"/>
        <color rgb="FF000000"/>
        <rFont val="Calibri"/>
        <family val="2"/>
      </rPr>
      <t>JavaScript</t>
    </r>
    <r>
      <rPr>
        <sz val="11"/>
        <color rgb="FF000000"/>
        <rFont val="Calibri"/>
        <family val="2"/>
      </rPr>
      <t>埋め込み可否（バナー広告のみ）</t>
    </r>
  </si>
  <si>
    <r>
      <rPr>
        <sz val="11"/>
        <color rgb="FF000000"/>
        <rFont val="Calibri"/>
        <family val="2"/>
      </rPr>
      <t>有効フラグ</t>
    </r>
  </si>
  <si>
    <r>
      <rPr>
        <sz val="11"/>
        <color rgb="FF000000"/>
        <rFont val="Calibri"/>
        <family val="2"/>
      </rPr>
      <t>動画表示時間（秒）（動画広告のみ）</t>
    </r>
  </si>
  <si>
    <r>
      <rPr>
        <sz val="11"/>
        <color rgb="FF000000"/>
        <rFont val="Calibri"/>
        <family val="2"/>
      </rPr>
      <t>週単位料金（税抜）</t>
    </r>
  </si>
  <si>
    <r>
      <rPr>
        <sz val="11"/>
        <color rgb="FF000000"/>
        <rFont val="Calibri"/>
        <family val="2"/>
      </rPr>
      <t>月単位料金（税抜）</t>
    </r>
  </si>
  <si>
    <r>
      <rPr>
        <sz val="11"/>
        <color rgb="FF000000"/>
        <rFont val="Calibri"/>
        <family val="2"/>
      </rPr>
      <t>料金通貨コード（ISO 4217）</t>
    </r>
  </si>
  <si>
    <r>
      <rPr>
        <sz val="11"/>
        <color rgb="FF000000"/>
        <rFont val="Calibri"/>
        <family val="2"/>
      </rPr>
      <t>作成日時</t>
    </r>
  </si>
  <si>
    <r>
      <rPr>
        <sz val="11"/>
        <color rgb="FF000000"/>
        <rFont val="Calibri"/>
        <family val="2"/>
      </rPr>
      <t>作成者ID</t>
    </r>
  </si>
  <si>
    <r>
      <rPr>
        <sz val="11"/>
        <color rgb="FF000000"/>
        <rFont val="Calibri"/>
        <family val="2"/>
      </rPr>
      <t>更新日時</t>
    </r>
  </si>
  <si>
    <r>
      <rPr>
        <sz val="11"/>
        <color rgb="FF000000"/>
        <rFont val="Calibri"/>
        <family val="2"/>
      </rPr>
      <t>更新者ID</t>
    </r>
  </si>
  <si>
    <r>
      <rPr>
        <sz val="11"/>
        <color rgb="FF000000"/>
        <rFont val="Calibri"/>
        <family val="2"/>
      </rPr>
      <t>データ型</t>
    </r>
  </si>
  <si>
    <t>Char(1)</t>
  </si>
  <si>
    <t>Int</t>
  </si>
  <si>
    <t>Decimal(15,2)</t>
  </si>
  <si>
    <t>Char(3)</t>
  </si>
  <si>
    <r>
      <rPr>
        <sz val="11"/>
        <color rgb="FF000000"/>
        <rFont val="Calibri"/>
        <family val="2"/>
      </rPr>
      <t>項目属性</t>
    </r>
  </si>
  <si>
    <r>
      <rPr>
        <sz val="11"/>
        <color rgb="FF000000"/>
        <rFont val="Calibri"/>
        <family val="2"/>
      </rPr>
      <t>入力対象</t>
    </r>
  </si>
  <si>
    <r>
      <rPr>
        <sz val="11"/>
        <color rgb="FF000000"/>
        <rFont val="Calibri"/>
        <family val="2"/>
      </rPr>
      <t>BNR0001</t>
    </r>
    <phoneticPr fontId="0"/>
  </si>
  <si>
    <r>
      <rPr>
        <sz val="11"/>
        <color rgb="FF000000"/>
        <rFont val="Calibri"/>
        <family val="2"/>
      </rPr>
      <t>Small Banner Ad - Exclusive Placement</t>
    </r>
    <phoneticPr fontId="0"/>
  </si>
  <si>
    <r>
      <rPr>
        <sz val="11"/>
        <color rgb="FF000000"/>
        <rFont val="Calibri"/>
        <family val="2"/>
      </rPr>
      <t>B</t>
    </r>
    <phoneticPr fontId="0"/>
  </si>
  <si>
    <r>
      <rPr>
        <sz val="11"/>
        <color rgb="FF000000"/>
        <rFont val="Calibri"/>
        <family val="2"/>
      </rPr>
      <t>468x60</t>
    </r>
    <phoneticPr fontId="0"/>
  </si>
  <si>
    <r>
      <rPr>
        <sz val="11"/>
        <color rgb="FF000000"/>
        <rFont val="Calibri"/>
        <family val="2"/>
      </rPr>
      <t>USD</t>
    </r>
    <phoneticPr fontId="0"/>
  </si>
  <si>
    <r>
      <rPr>
        <sz val="11"/>
        <color rgb="FF000000"/>
        <rFont val="Calibri"/>
        <family val="2"/>
      </rPr>
      <t>sys_operator</t>
    </r>
    <phoneticPr fontId="0"/>
  </si>
  <si>
    <r>
      <rPr>
        <sz val="11"/>
        <color rgb="FF000000"/>
        <rFont val="Calibri"/>
        <family val="2"/>
      </rPr>
      <t>BNR0002</t>
    </r>
    <phoneticPr fontId="0"/>
  </si>
  <si>
    <r>
      <rPr>
        <sz val="11"/>
        <color rgb="FF000000"/>
        <rFont val="Calibri"/>
        <family val="2"/>
      </rPr>
      <t>Medium Banner Ad - Exclusive Placement</t>
    </r>
    <phoneticPr fontId="0"/>
  </si>
  <si>
    <r>
      <rPr>
        <sz val="11"/>
        <color rgb="FF000000"/>
        <rFont val="Calibri"/>
        <family val="2"/>
      </rPr>
      <t>Large Banner Ad - Exclusive Placement</t>
    </r>
    <phoneticPr fontId="0"/>
  </si>
  <si>
    <r>
      <rPr>
        <sz val="11"/>
        <color rgb="FF000000"/>
        <rFont val="Calibri"/>
        <family val="2"/>
      </rPr>
      <t>728x90</t>
    </r>
    <phoneticPr fontId="0"/>
  </si>
  <si>
    <r>
      <rPr>
        <sz val="11"/>
        <color rgb="FF000000"/>
        <rFont val="Calibri"/>
        <family val="2"/>
      </rPr>
      <t>BNR0003</t>
    </r>
    <phoneticPr fontId="0"/>
  </si>
  <si>
    <r>
      <rPr>
        <sz val="11"/>
        <color rgb="FF000000"/>
        <rFont val="Calibri"/>
        <family val="2"/>
      </rPr>
      <t>Small Banner Ad - Shared Placement up to 5 Advertisers</t>
    </r>
    <phoneticPr fontId="0"/>
  </si>
  <si>
    <r>
      <rPr>
        <sz val="11"/>
        <color rgb="FF000000"/>
        <rFont val="Calibri"/>
        <family val="2"/>
      </rPr>
      <t>300x250</t>
    </r>
    <phoneticPr fontId="0"/>
  </si>
  <si>
    <r>
      <rPr>
        <sz val="11"/>
        <color rgb="FF000000"/>
        <rFont val="Calibri"/>
        <family val="2"/>
      </rPr>
      <t>BNR0011</t>
    </r>
    <phoneticPr fontId="0"/>
  </si>
  <si>
    <r>
      <rPr>
        <sz val="11"/>
        <color rgb="FF000000"/>
        <rFont val="Calibri"/>
        <family val="2"/>
      </rPr>
      <t>Medium Banner Ad - Shared Placement up to 5 Advertisers</t>
    </r>
    <phoneticPr fontId="0"/>
  </si>
  <si>
    <r>
      <rPr>
        <sz val="11"/>
        <color rgb="FF000000"/>
        <rFont val="Calibri"/>
        <family val="2"/>
      </rPr>
      <t>BNR0012</t>
    </r>
    <phoneticPr fontId="0"/>
  </si>
  <si>
    <r>
      <rPr>
        <sz val="11"/>
        <color rgb="FF000000"/>
        <rFont val="Calibri"/>
        <family val="2"/>
      </rPr>
      <t>Large Banner Ad - Shared Placement up to 5 Advertisers</t>
    </r>
    <phoneticPr fontId="0"/>
  </si>
  <si>
    <r>
      <rPr>
        <sz val="11"/>
        <color rgb="FF000000"/>
        <rFont val="Calibri"/>
        <family val="2"/>
      </rPr>
      <t>BNR0013</t>
    </r>
    <phoneticPr fontId="0"/>
  </si>
  <si>
    <r>
      <rPr>
        <sz val="11"/>
        <color rgb="FF000000"/>
        <rFont val="Calibri"/>
        <family val="2"/>
      </rPr>
      <t>Spot Ad - Every 30 Minutes - Exclusive Placement</t>
    </r>
    <phoneticPr fontId="0"/>
  </si>
  <si>
    <r>
      <rPr>
        <sz val="11"/>
        <color rgb="FF000000"/>
        <rFont val="Calibri"/>
        <family val="2"/>
      </rPr>
      <t>SPT0001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</si>
  <si>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</si>
  <si>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Spot Ad - Every 20 Minutes - Exclusive Placement</t>
    </r>
    <phoneticPr fontId="0"/>
  </si>
  <si>
    <r>
      <rPr>
        <sz val="11"/>
        <color rgb="FF000000"/>
        <rFont val="Calibri"/>
        <family val="2"/>
      </rPr>
      <t>SPT0002</t>
    </r>
    <phoneticPr fontId="0"/>
  </si>
  <si>
    <r>
      <rPr>
        <sz val="11"/>
        <color rgb="FF000000"/>
        <rFont val="Calibri"/>
        <family val="2"/>
      </rPr>
      <t>SPT0003</t>
    </r>
    <phoneticPr fontId="0"/>
  </si>
  <si>
    <r>
      <rPr>
        <sz val="11"/>
        <color rgb="FF000000"/>
        <rFont val="Calibri"/>
        <family val="2"/>
      </rPr>
      <t>Spot Ad - Every 10 Minutes - Exclusive Placement</t>
    </r>
    <phoneticPr fontId="0"/>
  </si>
  <si>
    <r>
      <rPr>
        <sz val="11"/>
        <color rgb="FF000000"/>
        <rFont val="Calibri"/>
        <family val="2"/>
      </rPr>
      <t>SPT0011</t>
    </r>
    <phoneticPr fontId="0"/>
  </si>
  <si>
    <r>
      <rPr>
        <sz val="11"/>
        <color rgb="FF000000"/>
        <rFont val="Calibri"/>
        <family val="2"/>
      </rPr>
      <t>Spot Ad - Every 30 Minutes - Shared Placement up to 5 Advertisers</t>
    </r>
    <phoneticPr fontId="0"/>
  </si>
  <si>
    <r>
      <rPr>
        <sz val="11"/>
        <color rgb="FF000000"/>
        <rFont val="Calibri"/>
        <family val="2"/>
      </rPr>
      <t>SPT0012</t>
    </r>
    <phoneticPr fontId="0"/>
  </si>
  <si>
    <r>
      <rPr>
        <sz val="11"/>
        <color rgb="FF000000"/>
        <rFont val="Calibri"/>
        <family val="2"/>
      </rPr>
      <t>Spot Ad - Every 20 Minutes - Shared Placement up to 5 Advertisers</t>
    </r>
    <phoneticPr fontId="0"/>
  </si>
  <si>
    <r>
      <rPr>
        <sz val="11"/>
        <color rgb="FF000000"/>
        <rFont val="Calibri"/>
        <family val="2"/>
      </rPr>
      <t>SPT0013</t>
    </r>
    <phoneticPr fontId="0"/>
  </si>
  <si>
    <r>
      <rPr>
        <sz val="11"/>
        <color rgb="FF000000"/>
        <rFont val="Calibri"/>
        <family val="2"/>
      </rPr>
      <t>Spot Ad - Every 10 Minutes - Shared Placement up to 5 Advertisers</t>
    </r>
    <phoneticPr fontId="0"/>
  </si>
  <si>
    <r>
      <rPr>
        <sz val="11"/>
        <color rgb="FF000000"/>
        <rFont val="Calibri"/>
        <family val="2"/>
      </rPr>
      <t>DSG0001</t>
    </r>
    <phoneticPr fontId="0"/>
  </si>
  <si>
    <r>
      <rPr>
        <sz val="11"/>
        <color rgb="FF000000"/>
        <rFont val="Calibri"/>
        <family val="2"/>
      </rPr>
      <t>Digital Signage - 100 Characters - Exclusive Placement</t>
    </r>
    <phoneticPr fontId="0"/>
  </si>
  <si>
    <r>
      <rPr>
        <sz val="11"/>
        <color rgb="FF000000"/>
        <rFont val="Calibri"/>
        <family val="2"/>
      </rPr>
      <t>D</t>
    </r>
    <phoneticPr fontId="0"/>
  </si>
  <si>
    <r>
      <rPr>
        <sz val="11"/>
        <color rgb="FF000000"/>
        <rFont val="Calibri"/>
        <family val="2"/>
      </rPr>
      <t>Digital Signage - 150 Characters - Exclusive Placement</t>
    </r>
    <phoneticPr fontId="0"/>
  </si>
  <si>
    <r>
      <rPr>
        <sz val="11"/>
        <color rgb="FF000000"/>
        <rFont val="Calibri"/>
        <family val="2"/>
      </rPr>
      <t>DSG0002</t>
    </r>
    <phoneticPr fontId="0"/>
  </si>
  <si>
    <r>
      <rPr>
        <sz val="11"/>
        <color rgb="FF000000"/>
        <rFont val="Calibri"/>
        <family val="2"/>
      </rPr>
      <t>Digital Signage - 200 Characters - Exclusive Placement</t>
    </r>
    <phoneticPr fontId="0"/>
  </si>
  <si>
    <r>
      <rPr>
        <sz val="11"/>
        <color rgb="FF000000"/>
        <rFont val="Calibri"/>
        <family val="2"/>
      </rPr>
      <t>DSG0003</t>
    </r>
    <phoneticPr fontId="0"/>
  </si>
  <si>
    <r>
      <rPr>
        <sz val="11"/>
        <color rgb="FF000000"/>
        <rFont val="Calibri"/>
        <family val="2"/>
      </rPr>
      <t>Digital Signage - 100 Characters with Link - Exclusive Placement</t>
    </r>
    <phoneticPr fontId="0"/>
  </si>
  <si>
    <r>
      <rPr>
        <sz val="11"/>
        <color rgb="FF000000"/>
        <rFont val="Calibri"/>
        <family val="2"/>
      </rPr>
      <t>DSG0004</t>
    </r>
    <phoneticPr fontId="0"/>
  </si>
  <si>
    <r>
      <rPr>
        <sz val="11"/>
        <color rgb="FF000000"/>
        <rFont val="Calibri"/>
        <family val="2"/>
      </rPr>
      <t>Digital Signage - 150 Characters with Link - Exclusive Placement</t>
    </r>
    <phoneticPr fontId="0"/>
  </si>
  <si>
    <r>
      <rPr>
        <sz val="11"/>
        <color rgb="FF000000"/>
        <rFont val="Calibri"/>
        <family val="2"/>
      </rPr>
      <t>DSG0005</t>
    </r>
    <phoneticPr fontId="0"/>
  </si>
  <si>
    <r>
      <rPr>
        <sz val="11"/>
        <color rgb="FF000000"/>
        <rFont val="Calibri"/>
        <family val="2"/>
      </rPr>
      <t>Digital Signage - 200 Characters with Link - Exclusive Placement</t>
    </r>
    <phoneticPr fontId="0"/>
  </si>
  <si>
    <r>
      <rPr>
        <sz val="11"/>
        <color rgb="FF000000"/>
        <rFont val="Calibri"/>
        <family val="2"/>
      </rPr>
      <t>DSG0006</t>
    </r>
    <phoneticPr fontId="0"/>
  </si>
  <si>
    <r>
      <rPr>
        <sz val="11"/>
        <color rgb="FF000000"/>
        <rFont val="Calibri"/>
        <family val="2"/>
      </rPr>
      <t>Digital Signage - 100 Characters - Shared Placement up to 5 Advertisers</t>
    </r>
    <phoneticPr fontId="0"/>
  </si>
  <si>
    <r>
      <rPr>
        <sz val="11"/>
        <color rgb="FF000000"/>
        <rFont val="Calibri"/>
        <family val="2"/>
      </rPr>
      <t>DSG0011</t>
    </r>
    <phoneticPr fontId="0"/>
  </si>
  <si>
    <r>
      <rPr>
        <sz val="11"/>
        <color rgb="FF000000"/>
        <rFont val="Calibri"/>
        <family val="2"/>
      </rPr>
      <t>Digital Signage - 150 Characters - Shared Placement up to 5 Advertisers</t>
    </r>
    <phoneticPr fontId="0"/>
  </si>
  <si>
    <r>
      <rPr>
        <sz val="11"/>
        <color rgb="FF000000"/>
        <rFont val="Calibri"/>
        <family val="2"/>
      </rPr>
      <t>DSG0012</t>
    </r>
    <phoneticPr fontId="0"/>
  </si>
  <si>
    <r>
      <rPr>
        <sz val="11"/>
        <color rgb="FF000000"/>
        <rFont val="Calibri"/>
        <family val="2"/>
      </rPr>
      <t>Digital Signage - 200 Characters - Shared Placement up to 5 Advertisers</t>
    </r>
    <phoneticPr fontId="0"/>
  </si>
  <si>
    <r>
      <rPr>
        <sz val="11"/>
        <color rgb="FF000000"/>
        <rFont val="Calibri"/>
        <family val="2"/>
      </rPr>
      <t>DSG0013</t>
    </r>
    <phoneticPr fontId="0"/>
  </si>
  <si>
    <r>
      <rPr>
        <sz val="11"/>
        <color rgb="FF000000"/>
        <rFont val="Calibri"/>
        <family val="2"/>
      </rPr>
      <t>Digital Signage - 100 Characters with Link - Shared Placement up to 5 Advertisers</t>
    </r>
    <phoneticPr fontId="0"/>
  </si>
  <si>
    <r>
      <rPr>
        <sz val="11"/>
        <color rgb="FF000000"/>
        <rFont val="Calibri"/>
        <family val="2"/>
      </rPr>
      <t>DSG0014</t>
    </r>
    <phoneticPr fontId="0"/>
  </si>
  <si>
    <r>
      <rPr>
        <sz val="11"/>
        <color rgb="FF000000"/>
        <rFont val="Calibri"/>
        <family val="2"/>
      </rPr>
      <t>Digital Signage - 150 Characters with Link - Shared Placement up to 5 Advertisers</t>
    </r>
    <phoneticPr fontId="0"/>
  </si>
  <si>
    <r>
      <rPr>
        <sz val="11"/>
        <color rgb="FF000000"/>
        <rFont val="Calibri"/>
        <family val="2"/>
      </rPr>
      <t>DSG0015</t>
    </r>
    <phoneticPr fontId="0"/>
  </si>
  <si>
    <r>
      <rPr>
        <sz val="11"/>
        <color rgb="FF000000"/>
        <rFont val="Calibri"/>
        <family val="2"/>
      </rPr>
      <t>Digital Signage - 200 Characters with Link - Shared Placement up to 5 Advertisers</t>
    </r>
    <phoneticPr fontId="0"/>
  </si>
  <si>
    <r>
      <rPr>
        <sz val="11"/>
        <color rgb="FF000000"/>
        <rFont val="Calibri"/>
        <family val="2"/>
      </rPr>
      <t>DSG0016</t>
    </r>
    <phoneticPr fontId="0"/>
  </si>
  <si>
    <r>
      <rPr>
        <sz val="11"/>
        <color rgb="FF000000"/>
        <rFont val="Calibri"/>
        <family val="2"/>
      </rPr>
      <t>Small Video Ad - Exclusive Placement</t>
    </r>
    <phoneticPr fontId="0"/>
  </si>
  <si>
    <r>
      <rPr>
        <sz val="11"/>
        <color rgb="FF000000"/>
        <rFont val="Calibri"/>
        <family val="2"/>
      </rPr>
      <t>VID0001</t>
    </r>
    <phoneticPr fontId="0"/>
  </si>
  <si>
    <r>
      <rPr>
        <sz val="11"/>
        <color rgb="FF000000"/>
        <rFont val="Calibri"/>
        <family val="2"/>
      </rPr>
      <t>V</t>
    </r>
    <phoneticPr fontId="0"/>
  </si>
  <si>
    <r>
      <rPr>
        <sz val="11"/>
        <color rgb="FF000000"/>
        <rFont val="Calibri"/>
        <family val="2"/>
      </rPr>
      <t>Medium Video Ad - Exclusive Placement</t>
    </r>
    <phoneticPr fontId="0"/>
  </si>
  <si>
    <r>
      <rPr>
        <sz val="11"/>
        <color rgb="FF000000"/>
        <rFont val="Calibri"/>
        <family val="2"/>
      </rPr>
      <t>VID0002</t>
    </r>
    <phoneticPr fontId="0"/>
  </si>
  <si>
    <r>
      <rPr>
        <sz val="11"/>
        <color rgb="FF000000"/>
        <rFont val="Calibri"/>
        <family val="2"/>
      </rPr>
      <t>VID0003</t>
    </r>
    <phoneticPr fontId="0"/>
  </si>
  <si>
    <r>
      <rPr>
        <sz val="11"/>
        <color rgb="FF000000"/>
        <rFont val="Calibri"/>
        <family val="2"/>
      </rPr>
      <t>Large Video Ad - Exclusive Placement</t>
    </r>
    <phoneticPr fontId="0"/>
  </si>
  <si>
    <r>
      <rPr>
        <sz val="11"/>
        <color rgb="FF000000"/>
        <rFont val="Calibri"/>
        <family val="2"/>
      </rPr>
      <t>VID0011</t>
    </r>
    <phoneticPr fontId="0"/>
  </si>
  <si>
    <r>
      <rPr>
        <sz val="11"/>
        <color rgb="FF000000"/>
        <rFont val="Calibri"/>
        <family val="2"/>
      </rPr>
      <t>Small Video Ad - Shared Placement up to 5 Advertisers</t>
    </r>
    <phoneticPr fontId="0"/>
  </si>
  <si>
    <r>
      <rPr>
        <sz val="11"/>
        <color rgb="FF000000"/>
        <rFont val="Calibri"/>
        <family val="2"/>
      </rPr>
      <t>VID0012</t>
    </r>
    <phoneticPr fontId="0"/>
  </si>
  <si>
    <r>
      <rPr>
        <sz val="11"/>
        <color rgb="FF000000"/>
        <rFont val="Calibri"/>
        <family val="2"/>
      </rPr>
      <t>Medium Video Ad - Shared Placement up to 5 Advertisers</t>
    </r>
    <phoneticPr fontId="0"/>
  </si>
  <si>
    <r>
      <rPr>
        <sz val="11"/>
        <color rgb="FF000000"/>
        <rFont val="Calibri"/>
        <family val="2"/>
      </rPr>
      <t>VID0013</t>
    </r>
    <phoneticPr fontId="0"/>
  </si>
  <si>
    <r>
      <rPr>
        <sz val="11"/>
        <color rgb="FF000000"/>
        <rFont val="Calibri"/>
        <family val="2"/>
      </rPr>
      <t>Large Video Ad - Shared Placement up to 5 Advertisers</t>
    </r>
    <phoneticPr fontId="0"/>
  </si>
  <si>
    <t>sales.common_codes</t>
  </si>
  <si>
    <t>共通コードマスター</t>
  </si>
  <si>
    <t>category_name</t>
  </si>
  <si>
    <r>
      <rPr>
        <sz val="11"/>
        <color rgb="FF000000"/>
        <rFont val="Calibri"/>
        <family val="2"/>
      </rPr>
      <t>category_code</t>
    </r>
    <phoneticPr fontId="0"/>
  </si>
  <si>
    <r>
      <rPr>
        <sz val="11"/>
        <color rgb="FF000000"/>
        <rFont val="Calibri"/>
        <family val="2"/>
      </rPr>
      <t>category_code_name</t>
    </r>
    <phoneticPr fontId="0"/>
  </si>
  <si>
    <r>
      <rPr>
        <sz val="11"/>
        <color rgb="FF000000"/>
        <rFont val="Calibri"/>
        <family val="2"/>
      </rPr>
      <t>category_code_description</t>
    </r>
    <phoneticPr fontId="0"/>
  </si>
  <si>
    <t>区分名（DB内のテーブルで使用される各種区分名。実際のテーブル項目の物理名を指定する）</t>
  </si>
  <si>
    <t>区分値（その区分のコード値）</t>
  </si>
  <si>
    <t>区分値名（その区分のコード値に割り当てられる名前）</t>
  </si>
  <si>
    <t>区分値説明（その区分のコード値の説明）</t>
  </si>
  <si>
    <t>NVarChar(400)</t>
  </si>
  <si>
    <r>
      <rPr>
        <sz val="11"/>
        <color rgb="FF000000"/>
        <rFont val="Calibri"/>
        <family val="2"/>
      </rPr>
      <t>ad_type</t>
    </r>
    <phoneticPr fontId="0"/>
  </si>
  <si>
    <r>
      <rPr>
        <sz val="11"/>
        <color rgb="FF000000"/>
        <rFont val="Calibri"/>
        <family val="2"/>
      </rPr>
      <t>Displays a banner in a designated area of the screen.</t>
    </r>
    <phoneticPr fontId="0"/>
  </si>
  <si>
    <r>
      <rPr>
        <sz val="11"/>
        <color rgb="FF000000"/>
        <rFont val="Calibri"/>
        <family val="2"/>
      </rPr>
      <t>Banner Ad</t>
    </r>
    <phoneticPr fontId="0"/>
  </si>
  <si>
    <r>
      <rPr>
        <sz val="11"/>
        <color rgb="FF000000"/>
        <rFont val="Calibri"/>
        <family val="2"/>
      </rPr>
      <t>sys_admin</t>
    </r>
    <phoneticPr fontId="0"/>
  </si>
  <si>
    <r>
      <rPr>
        <sz val="11"/>
        <color rgb="FF000000"/>
        <rFont val="Calibri"/>
        <family val="2"/>
      </rPr>
      <t>Displays a full-size spot advertising screen at regular intervals.</t>
    </r>
    <phoneticPr fontId="0"/>
  </si>
  <si>
    <r>
      <rPr>
        <sz val="11"/>
        <color rgb="FF000000"/>
        <rFont val="Calibri"/>
        <family val="2"/>
      </rPr>
      <t>Spot Ad</t>
    </r>
    <phoneticPr fontId="0"/>
  </si>
  <si>
    <t>sys_admin</t>
  </si>
  <si>
    <r>
      <rPr>
        <sz val="11"/>
        <color rgb="FF000000"/>
        <rFont val="Calibri"/>
        <family val="2"/>
      </rPr>
      <t>Digital Signage</t>
    </r>
    <phoneticPr fontId="0"/>
  </si>
  <si>
    <r>
      <rPr>
        <sz val="11"/>
        <color rgb="FF000000"/>
        <rFont val="Calibri"/>
        <family val="2"/>
      </rPr>
      <t>Digital signage. An advertising format that displays scrolling text on an electronic bulletin board or similar display.</t>
    </r>
    <phoneticPr fontId="0"/>
  </si>
  <si>
    <r>
      <rPr>
        <sz val="11"/>
        <color rgb="FF000000"/>
        <rFont val="Calibri"/>
        <family val="2"/>
      </rPr>
      <t>Displays a video advertisement in a designated window area of the screen.</t>
    </r>
    <phoneticPr fontId="0"/>
  </si>
  <si>
    <r>
      <rPr>
        <sz val="11"/>
        <color rgb="FF000000"/>
        <rFont val="Calibri"/>
        <family val="2"/>
      </rPr>
      <t>Video Ad</t>
    </r>
    <phoneticPr fontId="0"/>
  </si>
  <si>
    <r>
      <rPr>
        <sz val="11"/>
        <color rgb="FF000000"/>
        <rFont val="Calibri"/>
        <family val="2"/>
      </rPr>
      <t>html_embed_available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</si>
  <si>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</si>
  <si>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HTML Embed Available</t>
    </r>
    <phoneticPr fontId="0"/>
  </si>
  <si>
    <r>
      <rPr>
        <sz val="11"/>
        <color rgb="FF000000"/>
        <rFont val="Calibri"/>
        <family val="2"/>
      </rPr>
      <t>Allows advertising content to be configured in HTML format.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</si>
  <si>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</si>
  <si>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HTML Embed Not Available</t>
    </r>
    <phoneticPr fontId="0"/>
  </si>
  <si>
    <r>
      <rPr>
        <sz val="11"/>
        <color rgb="FF000000"/>
        <rFont val="Calibri"/>
        <family val="2"/>
      </rPr>
      <t>Does not allow advertising content to be configured in HTML format. This applies when ad_type is Digital Signage, for example.</t>
    </r>
    <phoneticPr fontId="0"/>
  </si>
  <si>
    <r>
      <rPr>
        <sz val="11"/>
        <color rgb="FF000000"/>
        <rFont val="Calibri"/>
        <family val="2"/>
      </rPr>
      <t>sys_administrator</t>
    </r>
    <phoneticPr fontId="0"/>
  </si>
  <si>
    <r>
      <rPr>
        <sz val="11"/>
        <color rgb="FF000000"/>
        <rFont val="Calibri"/>
        <family val="2"/>
      </rPr>
      <t>Allows JavaScript to be used within the HTML of the advertising content. Evaluated only when html_embed_available = 1.</t>
    </r>
    <phoneticPr fontId="0"/>
  </si>
  <si>
    <r>
      <rPr>
        <sz val="11"/>
        <color rgb="FF000000"/>
        <rFont val="Calibri"/>
        <family val="2"/>
      </rPr>
      <t>JavaScript Embed Available</t>
    </r>
    <phoneticPr fontId="0"/>
  </si>
  <si>
    <r>
      <rPr>
        <sz val="11"/>
        <color rgb="FF000000"/>
        <rFont val="Calibri"/>
        <family val="2"/>
      </rPr>
      <t>Does not allow JavaScript to be used within the HTML of the advertising content. Evaluated only when html_embed_available = 1.</t>
    </r>
    <phoneticPr fontId="0"/>
  </si>
  <si>
    <r>
      <rPr>
        <sz val="11"/>
        <color rgb="FF000000"/>
        <rFont val="Calibri"/>
        <family val="2"/>
      </rPr>
      <t>JavaScript Embed Not Available</t>
    </r>
    <phoneticPr fontId="0"/>
  </si>
  <si>
    <t>1</t>
  </si>
  <si>
    <r>
      <rPr>
        <sz val="11"/>
        <color rgb="FF000000"/>
        <rFont val="Calibri"/>
        <family val="2"/>
      </rPr>
      <t>Active</t>
    </r>
    <phoneticPr fontId="0"/>
  </si>
  <si>
    <r>
      <rPr>
        <sz val="11"/>
        <color rgb="FF000000"/>
        <rFont val="Calibri"/>
        <family val="2"/>
      </rPr>
      <t>Indicates that the record is active.</t>
    </r>
    <phoneticPr fontId="0"/>
  </si>
  <si>
    <t>0</t>
  </si>
  <si>
    <r>
      <rPr>
        <sz val="11"/>
        <color rgb="FF000000"/>
        <rFont val="Calibri"/>
        <family val="2"/>
      </rPr>
      <t>Inactive</t>
    </r>
    <phoneticPr fontId="0"/>
  </si>
  <si>
    <r>
      <rPr>
        <sz val="11"/>
        <color rgb="FF000000"/>
        <rFont val="Calibri"/>
        <family val="2"/>
      </rPr>
      <t>Indicates that the record is inactive.</t>
    </r>
    <phoneticPr fontId="0"/>
  </si>
  <si>
    <t>billing_type</t>
  </si>
  <si>
    <r>
      <rPr>
        <sz val="11"/>
        <color rgb="FF000000"/>
        <rFont val="Calibri"/>
        <family val="2"/>
      </rPr>
      <t>Individual Billing</t>
    </r>
    <phoneticPr fontId="0"/>
  </si>
  <si>
    <r>
      <rPr>
        <sz val="11"/>
        <color rgb="FF000000"/>
        <rFont val="Calibri"/>
        <family val="2"/>
      </rPr>
      <t>Bills individually when sales are recorded.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</si>
  <si>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</si>
  <si>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Monthly Consolidated Billing</t>
    </r>
    <phoneticPr fontId="0"/>
  </si>
  <si>
    <r>
      <rPr>
        <sz val="11"/>
        <color rgb="FF000000"/>
        <rFont val="Calibri"/>
        <family val="2"/>
      </rPr>
      <t>Bills together with other charges on the monthly closing date for the month in which sales are recorded.</t>
    </r>
    <phoneticPr fontId="0"/>
  </si>
  <si>
    <r>
      <rPr>
        <sz val="11"/>
        <color rgb="FF000000"/>
        <rFont val="Calibri"/>
        <family val="2"/>
      </rPr>
      <t>status</t>
    </r>
    <phoneticPr fontId="0"/>
  </si>
  <si>
    <r>
      <rPr>
        <sz val="11"/>
        <color rgb="FF000000"/>
        <rFont val="Calibri"/>
        <family val="2"/>
      </rPr>
      <t>Lost</t>
    </r>
    <phoneticPr fontId="0"/>
  </si>
  <si>
    <r>
      <rPr>
        <sz val="11"/>
        <color rgb="FF000000"/>
        <rFont val="Calibri"/>
        <family val="2"/>
      </rPr>
      <t>The quote or contract has become invalid.</t>
    </r>
    <phoneticPr fontId="0"/>
  </si>
  <si>
    <r>
      <rPr>
        <sz val="11"/>
        <color rgb="FF000000"/>
        <rFont val="Calibri"/>
        <family val="2"/>
      </rPr>
      <t>The quote is being prepared before presentation.</t>
    </r>
    <phoneticPr fontId="0"/>
  </si>
  <si>
    <r>
      <rPr>
        <sz val="11"/>
        <color rgb="FF000000"/>
        <rFont val="Calibri"/>
        <family val="2"/>
      </rPr>
      <t>Before Quote Presentation</t>
    </r>
    <phoneticPr fontId="0"/>
  </si>
  <si>
    <r>
      <rPr>
        <sz val="11"/>
        <color rgb="FF000000"/>
        <rFont val="Calibri"/>
        <family val="2"/>
      </rPr>
      <t>Quote Presented</t>
    </r>
    <phoneticPr fontId="0"/>
  </si>
  <si>
    <r>
      <rPr>
        <sz val="11"/>
        <color rgb="FF000000"/>
        <rFont val="Calibri"/>
        <family val="2"/>
      </rPr>
      <t>The quote has been presented.</t>
    </r>
    <phoneticPr fontId="0"/>
  </si>
  <si>
    <r>
      <rPr>
        <sz val="11"/>
        <color rgb="FF000000"/>
        <rFont val="Calibri"/>
        <family val="2"/>
      </rPr>
      <t>Quote Under Revision</t>
    </r>
    <phoneticPr fontId="0"/>
  </si>
  <si>
    <r>
      <rPr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</si>
  <si>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The quote is being revised. After it is presented again, the status returns to Quote Presented.</t>
    </r>
    <phoneticPr fontId="0"/>
  </si>
  <si>
    <r>
      <rPr>
        <sz val="11"/>
        <color rgb="FF000000"/>
        <rFont val="Calibri"/>
        <family val="2"/>
      </rPr>
      <t>Contracted</t>
    </r>
    <phoneticPr fontId="0"/>
  </si>
  <si>
    <r>
      <rPr>
        <sz val="11"/>
        <color rgb="FF000000"/>
        <rFont val="Calibri"/>
        <family val="2"/>
      </rPr>
      <t>4</t>
    </r>
    <phoneticPr fontId="0"/>
  </si>
  <si>
    <r>
      <rPr>
        <sz val="11"/>
        <color rgb="FF000000"/>
        <rFont val="Calibri"/>
        <family val="2"/>
      </rPr>
      <t>The contract has been completed, but ad placement has not started yet.</t>
    </r>
    <phoneticPr fontId="0"/>
  </si>
  <si>
    <r>
      <rPr>
        <sz val="11"/>
        <color rgb="FF000000"/>
        <rFont val="Calibri"/>
        <family val="2"/>
      </rPr>
      <t>Ad Running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</si>
  <si>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</si>
  <si>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The contract has been completed and ad placement has started.</t>
    </r>
    <phoneticPr fontId="0"/>
  </si>
  <si>
    <r>
      <rPr>
        <sz val="11"/>
        <color rgb="FF000000"/>
        <rFont val="Calibri"/>
        <family val="2"/>
      </rPr>
      <t>Ad Finished</t>
    </r>
    <phoneticPr fontId="0"/>
  </si>
  <si>
    <r>
      <rPr>
        <sz val="11"/>
        <color rgb="FF000000"/>
        <rFont val="Calibri"/>
        <family val="2"/>
      </rPr>
      <t>6</t>
    </r>
    <phoneticPr fontId="0"/>
  </si>
  <si>
    <r>
      <rPr>
        <sz val="11"/>
        <color rgb="FF000000"/>
        <rFont val="Calibri"/>
        <family val="2"/>
      </rPr>
      <t>Ad placement has ended.</t>
    </r>
    <phoneticPr fontId="0"/>
  </si>
  <si>
    <r>
      <rPr>
        <sz val="11"/>
        <color rgb="FF000000"/>
        <rFont val="Calibri"/>
        <family val="2"/>
      </rPr>
      <t>Contract Ended</t>
    </r>
    <phoneticPr fontId="0"/>
  </si>
  <si>
    <r>
      <rPr>
        <sz val="11"/>
        <color rgb="FF000000"/>
        <rFont val="Calibri"/>
        <family val="2"/>
      </rPr>
      <t>7</t>
    </r>
    <phoneticPr fontId="0"/>
  </si>
  <si>
    <r>
      <rPr>
        <sz val="11"/>
        <color rgb="FF000000"/>
        <rFont val="Calibri"/>
        <family val="2"/>
      </rPr>
      <t>The contract has ended.</t>
    </r>
    <phoneticPr fontId="0"/>
  </si>
  <si>
    <r>
      <rPr>
        <sz val="11"/>
        <color rgb="FF000000"/>
        <rFont val="Calibri"/>
        <family val="2"/>
      </rPr>
      <t>Invoice Data Created</t>
    </r>
    <phoneticPr fontId="0"/>
  </si>
  <si>
    <r>
      <rPr>
        <sz val="11"/>
        <color rgb="FF000000"/>
        <rFont val="Calibri"/>
        <family val="2"/>
      </rPr>
      <t>8</t>
    </r>
    <phoneticPr fontId="0"/>
  </si>
  <si>
    <r>
      <rPr>
        <sz val="11"/>
        <color rgb="FF000000"/>
        <rFont val="Calibri"/>
        <family val="2"/>
      </rPr>
      <t>Invoice data has been created, but the invoice has not yet been issued.</t>
    </r>
    <phoneticPr fontId="0"/>
  </si>
  <si>
    <r>
      <rPr>
        <sz val="11"/>
        <color rgb="FF000000"/>
        <rFont val="Calibri"/>
        <family val="2"/>
      </rPr>
      <t>Invoice Issued</t>
    </r>
    <phoneticPr fontId="0"/>
  </si>
  <si>
    <r>
      <rPr>
        <sz val="11"/>
        <color rgb="FF000000"/>
        <rFont val="Calibri"/>
        <family val="2"/>
      </rPr>
      <t>9</t>
    </r>
    <phoneticPr fontId="0"/>
  </si>
  <si>
    <r>
      <rPr>
        <sz val="11"/>
        <color rgb="FF000000"/>
        <rFont val="Calibri"/>
        <family val="2"/>
      </rPr>
      <t>The invoice has been issued.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</si>
</sst>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7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sz val="11"/>
      <color rgb="FF000000"/>
      <name val="Calibri"/>
      <family val="2"/>
      <charset val="128"/>
    </font>
    <font>
      <sz val="11"/>
      <name val="MS Gothic"/>
      <family val="3"/>
    </font>
    <font>
      <b/>
      <sz val="11"/>
      <color rgb="FF0000FF"/>
      <name val="Calibri"/>
      <family val="2"/>
    </font>
    <font>
      <sz val="11"/>
      <color rgb="FF000000"/>
      <name val="Noto Sans JP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 applyBorder="0"/>
  </cellStyleXfs>
  <cellXfs count="34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17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5" borderId="0" xfId="0" applyFill="1" applyAlignment="1">
      <alignment vertical="top" wrapText="1"/>
    </xf>
    <xf numFmtId="0" fontId="0" fillId="5" borderId="0" xfId="0" applyFill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49" fontId="5" fillId="0" borderId="0" xfId="0" applyNumberFormat="1" applyFont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</cellXfs>
  <cellStyles count="1">
    <cellStyle name="標準" xfId="0" builtinId="0"/>
  </cellStyles>
  <dxfs count="20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xSplit="2" ySplit="7" topLeftCell="C8" activePane="bottomRight" state="frozenSplit"/>
      <selection activeCell="D11" sqref="D11"/>
      <selection pane="topRight" activeCell="D11" sqref="D11"/>
      <selection pane="bottomLeft" activeCell="D11" sqref="D11"/>
      <selection pane="bottomRight" activeCell="C8" sqref="C8"/>
    </sheetView>
  </sheetViews>
  <sheetFormatPr defaultColWidth="9.1796875" defaultRowHeight="14.5"/>
  <cols>
    <col min="1" max="1" width="18.7265625" style="1" customWidth="1"/>
    <col min="2" max="2" width="14.7265625" style="2" bestFit="1" customWidth="1"/>
    <col min="3" max="3" width="15.7265625" style="2" bestFit="1" customWidth="1"/>
    <col min="4" max="4" width="14.54296875" style="2" bestFit="1" customWidth="1"/>
    <col min="5" max="5" width="19.1796875" style="3" bestFit="1" customWidth="1"/>
    <col min="6" max="6" width="16.7265625" style="2" bestFit="1" customWidth="1"/>
    <col min="7" max="7" width="19.1796875" style="3" bestFit="1" customWidth="1"/>
    <col min="8" max="8" width="16.7265625" style="2" bestFit="1" customWidth="1"/>
    <col min="9" max="9" width="10.7265625" style="1" customWidth="1"/>
    <col min="10" max="10" width="48.7265625" style="1" customWidth="1"/>
    <col min="11" max="11" width="9.1796875" style="1" customWidth="1"/>
    <col min="12" max="16384" width="9.1796875" style="1"/>
  </cols>
  <sheetData>
    <row r="1" spans="1:10" s="4" customFormat="1">
      <c r="A1" s="5" t="s">
        <v>0</v>
      </c>
      <c r="B1" s="6" t="s">
        <v>1</v>
      </c>
      <c r="C1" s="7" t="s">
        <v>2</v>
      </c>
      <c r="D1" s="6" t="s">
        <v>3</v>
      </c>
      <c r="E1" s="8"/>
      <c r="F1" s="9"/>
      <c r="G1" s="8"/>
      <c r="H1" s="9"/>
    </row>
    <row r="2" spans="1:10" s="4" customFormat="1">
      <c r="A2" s="5" t="s">
        <v>4</v>
      </c>
      <c r="B2" s="31"/>
      <c r="C2" s="9"/>
      <c r="D2" s="9"/>
      <c r="E2" s="8"/>
      <c r="F2" s="9"/>
      <c r="G2" s="8"/>
      <c r="H2" s="9"/>
    </row>
    <row r="3" spans="1:10" s="4" customFormat="1">
      <c r="A3" s="10" t="s">
        <v>6</v>
      </c>
      <c r="B3" s="11" t="s">
        <v>7</v>
      </c>
      <c r="C3" s="12" t="s">
        <v>8</v>
      </c>
      <c r="D3" s="12" t="s">
        <v>9</v>
      </c>
      <c r="E3" s="13" t="s">
        <v>10</v>
      </c>
      <c r="F3" s="12" t="s">
        <v>11</v>
      </c>
      <c r="G3" s="13" t="s">
        <v>12</v>
      </c>
      <c r="H3" s="12" t="s">
        <v>13</v>
      </c>
      <c r="I3" s="14" t="s">
        <v>14</v>
      </c>
      <c r="J3" s="14" t="s">
        <v>15</v>
      </c>
    </row>
    <row r="4" spans="1:10" s="4" customFormat="1">
      <c r="A4" s="10" t="s">
        <v>16</v>
      </c>
      <c r="B4" s="11" t="s">
        <v>17</v>
      </c>
      <c r="C4" s="12" t="s">
        <v>18</v>
      </c>
      <c r="D4" s="12" t="s">
        <v>19</v>
      </c>
      <c r="E4" s="15" t="s">
        <v>20</v>
      </c>
      <c r="F4" s="12" t="s">
        <v>21</v>
      </c>
      <c r="G4" s="15" t="s">
        <v>22</v>
      </c>
      <c r="H4" s="12" t="s">
        <v>23</v>
      </c>
      <c r="I4" s="16"/>
      <c r="J4" s="16"/>
    </row>
    <row r="5" spans="1:10" s="4" customFormat="1">
      <c r="A5" s="10" t="s">
        <v>24</v>
      </c>
      <c r="B5" s="11" t="s">
        <v>25</v>
      </c>
      <c r="C5" s="12" t="s">
        <v>26</v>
      </c>
      <c r="D5" s="12" t="s">
        <v>25</v>
      </c>
      <c r="E5" s="13" t="s">
        <v>27</v>
      </c>
      <c r="F5" s="12" t="s">
        <v>28</v>
      </c>
      <c r="G5" s="13" t="s">
        <v>27</v>
      </c>
      <c r="H5" s="12" t="s">
        <v>28</v>
      </c>
      <c r="I5" s="16"/>
      <c r="J5" s="16"/>
    </row>
    <row r="6" spans="1:10" s="4" customFormat="1">
      <c r="A6" s="5" t="s">
        <v>29</v>
      </c>
      <c r="B6" s="11" t="s">
        <v>30</v>
      </c>
      <c r="C6" s="12" t="s">
        <v>5</v>
      </c>
      <c r="D6" s="12" t="s">
        <v>31</v>
      </c>
      <c r="E6" s="13" t="s">
        <v>32</v>
      </c>
      <c r="F6" s="12" t="s">
        <v>5</v>
      </c>
      <c r="G6" s="13" t="s">
        <v>32</v>
      </c>
      <c r="H6" s="12" t="s">
        <v>5</v>
      </c>
      <c r="I6" s="16"/>
      <c r="J6" s="16"/>
    </row>
    <row r="7" spans="1:10">
      <c r="A7" s="17" t="s">
        <v>33</v>
      </c>
      <c r="B7" s="18" t="s">
        <v>34</v>
      </c>
      <c r="C7" s="19" t="s">
        <v>34</v>
      </c>
      <c r="D7" s="19" t="s">
        <v>34</v>
      </c>
      <c r="E7" s="20" t="s">
        <v>34</v>
      </c>
      <c r="F7" s="19" t="s">
        <v>34</v>
      </c>
      <c r="G7" s="20" t="s">
        <v>34</v>
      </c>
      <c r="H7" s="19" t="s">
        <v>34</v>
      </c>
      <c r="I7" s="21"/>
      <c r="J7" s="21"/>
    </row>
    <row r="8" spans="1:10" ht="29" customHeight="1">
      <c r="B8" s="2" t="s">
        <v>35</v>
      </c>
      <c r="C8" s="2" t="s">
        <v>36</v>
      </c>
      <c r="D8" s="2" t="s">
        <v>37</v>
      </c>
      <c r="E8" s="3">
        <v>44669.385416666701</v>
      </c>
      <c r="F8" s="2" t="s">
        <v>38</v>
      </c>
      <c r="G8" s="3">
        <v>45547.604166666701</v>
      </c>
      <c r="H8" s="2" t="s">
        <v>39</v>
      </c>
      <c r="I8" s="32"/>
      <c r="J8" s="1" t="s">
        <v>5</v>
      </c>
    </row>
    <row r="9" spans="1:10">
      <c r="B9" s="2" t="s">
        <v>40</v>
      </c>
      <c r="C9" s="2" t="s">
        <v>41</v>
      </c>
      <c r="D9" s="2" t="s">
        <v>35</v>
      </c>
      <c r="E9" s="3">
        <v>44715.430555555598</v>
      </c>
      <c r="F9" s="2" t="s">
        <v>39</v>
      </c>
      <c r="G9" s="3">
        <v>45693.489583333299</v>
      </c>
      <c r="H9" s="2" t="s">
        <v>42</v>
      </c>
      <c r="I9" s="32"/>
      <c r="J9" s="1" t="s">
        <v>5</v>
      </c>
    </row>
    <row r="10" spans="1:10" ht="29" customHeight="1">
      <c r="B10" s="2" t="s">
        <v>43</v>
      </c>
      <c r="C10" s="2" t="s">
        <v>44</v>
      </c>
      <c r="D10" s="2" t="s">
        <v>40</v>
      </c>
      <c r="E10" s="3">
        <v>44795.361111111102</v>
      </c>
      <c r="F10" s="2" t="s">
        <v>42</v>
      </c>
      <c r="G10" s="3">
        <v>45825.673611111102</v>
      </c>
      <c r="H10" s="2" t="s">
        <v>42</v>
      </c>
      <c r="I10" s="32"/>
      <c r="J10" s="1" t="s">
        <v>5</v>
      </c>
    </row>
    <row r="11" spans="1:10" ht="29" customHeight="1">
      <c r="B11" s="2" t="s">
        <v>45</v>
      </c>
      <c r="C11" s="2" t="s">
        <v>46</v>
      </c>
      <c r="D11" s="2" t="s">
        <v>40</v>
      </c>
      <c r="E11" s="3">
        <v>44937.559027777803</v>
      </c>
      <c r="F11" s="2" t="s">
        <v>42</v>
      </c>
      <c r="G11" s="3">
        <v>45994.399305555598</v>
      </c>
      <c r="H11" s="2" t="s">
        <v>39</v>
      </c>
      <c r="I11" s="32"/>
      <c r="J11" s="1" t="s">
        <v>5</v>
      </c>
    </row>
    <row r="12" spans="1:10" ht="29" customHeight="1">
      <c r="B12" s="2" t="s">
        <v>47</v>
      </c>
      <c r="C12" s="2" t="s">
        <v>48</v>
      </c>
      <c r="D12" s="2" t="s">
        <v>35</v>
      </c>
      <c r="E12" s="3">
        <v>44818.461805555598</v>
      </c>
      <c r="F12" s="2" t="s">
        <v>49</v>
      </c>
      <c r="G12" s="3">
        <v>45586.659722222197</v>
      </c>
      <c r="H12" s="2" t="s">
        <v>42</v>
      </c>
      <c r="I12" s="32"/>
      <c r="J12" s="1" t="s">
        <v>5</v>
      </c>
    </row>
    <row r="13" spans="1:10" ht="29" customHeight="1">
      <c r="B13" s="2" t="s">
        <v>50</v>
      </c>
      <c r="C13" s="2" t="s">
        <v>51</v>
      </c>
      <c r="D13" s="2" t="s">
        <v>47</v>
      </c>
      <c r="E13" s="3">
        <v>44992.413194444402</v>
      </c>
      <c r="F13" s="2" t="s">
        <v>42</v>
      </c>
      <c r="G13" s="3">
        <v>46072.430555555598</v>
      </c>
      <c r="H13" s="2" t="s">
        <v>42</v>
      </c>
      <c r="I13" s="32"/>
      <c r="J13" s="1" t="s">
        <v>5</v>
      </c>
    </row>
    <row r="14" spans="1:10" ht="29" customHeight="1">
      <c r="B14" s="2" t="s">
        <v>52</v>
      </c>
      <c r="C14" s="2" t="s">
        <v>53</v>
      </c>
      <c r="D14" s="2" t="s">
        <v>35</v>
      </c>
      <c r="E14" s="3">
        <v>44529.590277777803</v>
      </c>
      <c r="F14" s="2" t="s">
        <v>38</v>
      </c>
      <c r="G14" s="3">
        <v>45877.552083333299</v>
      </c>
      <c r="H14" s="2" t="s">
        <v>39</v>
      </c>
      <c r="I14" s="32"/>
      <c r="J14" s="1" t="s">
        <v>5</v>
      </c>
    </row>
    <row r="15" spans="1:10" ht="29" customHeight="1">
      <c r="B15" s="2" t="s">
        <v>54</v>
      </c>
      <c r="C15" s="2" t="s">
        <v>55</v>
      </c>
      <c r="D15" s="2" t="s">
        <v>52</v>
      </c>
      <c r="E15" s="3">
        <v>44900.447916666701</v>
      </c>
      <c r="F15" s="2" t="s">
        <v>39</v>
      </c>
      <c r="G15" s="3">
        <v>46168.711805555598</v>
      </c>
      <c r="H15" s="2" t="s">
        <v>42</v>
      </c>
      <c r="I15" s="32"/>
      <c r="J15" s="1" t="s">
        <v>5</v>
      </c>
    </row>
    <row r="16" spans="1:10" ht="29" customHeight="1">
      <c r="B16" s="2" t="s">
        <v>56</v>
      </c>
      <c r="C16" s="2" t="s">
        <v>57</v>
      </c>
      <c r="D16" s="2" t="s">
        <v>35</v>
      </c>
      <c r="E16" s="3">
        <v>45126.354166666701</v>
      </c>
      <c r="F16" s="2" t="s">
        <v>42</v>
      </c>
      <c r="G16" s="3">
        <v>46036.5</v>
      </c>
      <c r="H16" s="2" t="s">
        <v>39</v>
      </c>
      <c r="I16" s="32"/>
      <c r="J16" s="1" t="s">
        <v>5</v>
      </c>
    </row>
    <row r="17" spans="2:10" ht="29" customHeight="1">
      <c r="B17" s="2" t="s">
        <v>58</v>
      </c>
      <c r="C17" s="2" t="s">
        <v>59</v>
      </c>
      <c r="D17" s="2" t="s">
        <v>56</v>
      </c>
      <c r="E17" s="3">
        <v>45349.638888888898</v>
      </c>
      <c r="F17" s="2" t="s">
        <v>49</v>
      </c>
      <c r="G17" s="3">
        <v>46203.381944444402</v>
      </c>
      <c r="H17" s="2" t="s">
        <v>42</v>
      </c>
      <c r="I17" s="32"/>
      <c r="J1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H7">
    <cfRule type="expression" dxfId="19" priority="1">
      <formula>AND(ISNUMBER(FIND("K",B6)),B7="*")</formula>
    </cfRule>
    <cfRule type="expression" dxfId="18" priority="2">
      <formula>AND(ISNUMBER(FIND("N",B6)),B7="*")</formula>
    </cfRule>
    <cfRule type="expression" dxfId="17" priority="3">
      <formula>B7="*"</formula>
    </cfRule>
    <cfRule type="expression" dxfId="16" priority="4">
      <formula>B7=""</formula>
    </cfRule>
  </conditionalFormatting>
  <dataValidations count="1">
    <dataValidation type="list" allowBlank="1" showInputMessage="1" showErrorMessage="1" sqref="B7:H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workbookViewId="0">
      <pane xSplit="2" ySplit="7" topLeftCell="C8" activePane="bottomRight" state="frozenSplit"/>
      <selection activeCell="D11" sqref="D11"/>
      <selection pane="topRight" activeCell="D11" sqref="D11"/>
      <selection pane="bottomLeft" activeCell="D11" sqref="D11"/>
      <selection pane="bottomRight" activeCell="C8" sqref="C8"/>
    </sheetView>
  </sheetViews>
  <sheetFormatPr defaultColWidth="9.1796875" defaultRowHeight="14.5"/>
  <cols>
    <col min="1" max="1" width="18.7265625" style="1" customWidth="1"/>
    <col min="2" max="2" width="24.1796875" style="2" customWidth="1"/>
    <col min="3" max="3" width="7.6328125" style="2" bestFit="1" customWidth="1"/>
    <col min="4" max="4" width="35.1796875" style="2" bestFit="1" customWidth="1"/>
    <col min="5" max="5" width="18.90625" style="2" customWidth="1"/>
    <col min="6" max="6" width="39.08984375" style="2" bestFit="1" customWidth="1"/>
    <col min="7" max="7" width="29.1796875" style="1" bestFit="1" customWidth="1"/>
    <col min="8" max="8" width="19.1796875" style="3" bestFit="1" customWidth="1"/>
    <col min="9" max="9" width="16.7265625" style="2" bestFit="1" customWidth="1"/>
    <col min="10" max="10" width="19.1796875" style="3" bestFit="1" customWidth="1"/>
    <col min="11" max="11" width="16.7265625" style="2" bestFit="1" customWidth="1"/>
    <col min="12" max="12" width="10.7265625" style="1" customWidth="1"/>
    <col min="13" max="13" width="48.7265625" style="1" customWidth="1"/>
    <col min="14" max="14" width="9.1796875" style="1" customWidth="1"/>
    <col min="15" max="16384" width="9.1796875" style="1"/>
  </cols>
  <sheetData>
    <row r="1" spans="1:13" s="4" customFormat="1">
      <c r="A1" s="5" t="s">
        <v>0</v>
      </c>
      <c r="B1" s="6" t="s">
        <v>60</v>
      </c>
      <c r="C1" s="7" t="s">
        <v>2</v>
      </c>
      <c r="D1" s="6" t="s">
        <v>61</v>
      </c>
      <c r="E1" s="9"/>
      <c r="F1" s="9"/>
      <c r="H1" s="8"/>
      <c r="I1" s="9"/>
      <c r="J1" s="8"/>
      <c r="K1" s="9"/>
    </row>
    <row r="2" spans="1:13" s="4" customFormat="1">
      <c r="A2" s="5" t="s">
        <v>4</v>
      </c>
      <c r="B2" s="31"/>
      <c r="C2" s="9"/>
      <c r="D2" s="9"/>
      <c r="E2" s="9"/>
      <c r="F2" s="9"/>
      <c r="H2" s="8"/>
      <c r="I2" s="9"/>
      <c r="J2" s="8"/>
      <c r="K2" s="9"/>
    </row>
    <row r="3" spans="1:13" s="4" customFormat="1">
      <c r="A3" s="10" t="s">
        <v>6</v>
      </c>
      <c r="B3" s="11" t="s">
        <v>62</v>
      </c>
      <c r="C3" s="12" t="s">
        <v>7</v>
      </c>
      <c r="D3" s="12" t="s">
        <v>63</v>
      </c>
      <c r="E3" s="12" t="s">
        <v>64</v>
      </c>
      <c r="F3" s="12" t="s">
        <v>65</v>
      </c>
      <c r="G3" s="22" t="s">
        <v>66</v>
      </c>
      <c r="H3" s="13" t="s">
        <v>10</v>
      </c>
      <c r="I3" s="12" t="s">
        <v>11</v>
      </c>
      <c r="J3" s="13" t="s">
        <v>12</v>
      </c>
      <c r="K3" s="12" t="s">
        <v>13</v>
      </c>
      <c r="L3" s="14" t="s">
        <v>14</v>
      </c>
      <c r="M3" s="14" t="s">
        <v>15</v>
      </c>
    </row>
    <row r="4" spans="1:13" s="4" customFormat="1">
      <c r="A4" s="10" t="s">
        <v>16</v>
      </c>
      <c r="B4" s="11" t="s">
        <v>67</v>
      </c>
      <c r="C4" s="12" t="s">
        <v>17</v>
      </c>
      <c r="D4" s="12" t="s">
        <v>68</v>
      </c>
      <c r="E4" s="12" t="s">
        <v>69</v>
      </c>
      <c r="F4" s="12" t="s">
        <v>70</v>
      </c>
      <c r="G4" s="16" t="s">
        <v>71</v>
      </c>
      <c r="H4" s="15" t="s">
        <v>20</v>
      </c>
      <c r="I4" s="12" t="s">
        <v>21</v>
      </c>
      <c r="J4" s="15" t="s">
        <v>22</v>
      </c>
      <c r="K4" s="12" t="s">
        <v>23</v>
      </c>
      <c r="L4" s="16"/>
      <c r="M4" s="16"/>
    </row>
    <row r="5" spans="1:13" s="4" customFormat="1">
      <c r="A5" s="10" t="s">
        <v>24</v>
      </c>
      <c r="B5" s="11" t="s">
        <v>72</v>
      </c>
      <c r="C5" s="12" t="s">
        <v>25</v>
      </c>
      <c r="D5" s="12" t="s">
        <v>73</v>
      </c>
      <c r="E5" s="12" t="s">
        <v>73</v>
      </c>
      <c r="F5" s="12" t="s">
        <v>74</v>
      </c>
      <c r="G5" s="22" t="s">
        <v>75</v>
      </c>
      <c r="H5" s="13" t="s">
        <v>27</v>
      </c>
      <c r="I5" s="12" t="s">
        <v>28</v>
      </c>
      <c r="J5" s="13" t="s">
        <v>27</v>
      </c>
      <c r="K5" s="12" t="s">
        <v>28</v>
      </c>
      <c r="L5" s="16"/>
      <c r="M5" s="16"/>
    </row>
    <row r="6" spans="1:13" s="4" customFormat="1">
      <c r="A6" s="5" t="s">
        <v>29</v>
      </c>
      <c r="B6" s="11" t="s">
        <v>30</v>
      </c>
      <c r="C6" s="12" t="s">
        <v>5</v>
      </c>
      <c r="D6" s="12" t="s">
        <v>5</v>
      </c>
      <c r="E6" s="12" t="s">
        <v>5</v>
      </c>
      <c r="F6" s="12" t="s">
        <v>31</v>
      </c>
      <c r="G6" s="22" t="s">
        <v>32</v>
      </c>
      <c r="H6" s="13" t="s">
        <v>32</v>
      </c>
      <c r="I6" s="12" t="s">
        <v>5</v>
      </c>
      <c r="J6" s="13" t="s">
        <v>32</v>
      </c>
      <c r="K6" s="12" t="s">
        <v>5</v>
      </c>
      <c r="L6" s="16"/>
      <c r="M6" s="16"/>
    </row>
    <row r="7" spans="1:13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19" t="s">
        <v>34</v>
      </c>
      <c r="G7" s="23" t="s">
        <v>34</v>
      </c>
      <c r="H7" s="20" t="s">
        <v>34</v>
      </c>
      <c r="I7" s="19" t="s">
        <v>34</v>
      </c>
      <c r="J7" s="20" t="s">
        <v>34</v>
      </c>
      <c r="K7" s="19" t="s">
        <v>34</v>
      </c>
      <c r="L7" s="21"/>
      <c r="M7" s="21"/>
    </row>
    <row r="8" spans="1:13">
      <c r="B8" s="2" t="s">
        <v>76</v>
      </c>
      <c r="C8" s="2" t="s">
        <v>35</v>
      </c>
      <c r="D8" s="2" t="s">
        <v>77</v>
      </c>
      <c r="E8" s="2" t="s">
        <v>78</v>
      </c>
      <c r="F8" s="2" t="s">
        <v>79</v>
      </c>
      <c r="G8" s="1">
        <v>1</v>
      </c>
      <c r="H8" s="3">
        <v>43171.381944444402</v>
      </c>
      <c r="I8" s="2" t="s">
        <v>38</v>
      </c>
      <c r="J8" s="3">
        <v>45666.559027777803</v>
      </c>
      <c r="K8" s="2" t="s">
        <v>39</v>
      </c>
      <c r="L8" s="32"/>
      <c r="M8" s="1" t="s">
        <v>5</v>
      </c>
    </row>
    <row r="9" spans="1:13">
      <c r="B9" s="2" t="s">
        <v>80</v>
      </c>
      <c r="C9" s="2" t="s">
        <v>43</v>
      </c>
      <c r="D9" s="2" t="s">
        <v>81</v>
      </c>
      <c r="E9" s="2" t="s">
        <v>82</v>
      </c>
      <c r="F9" s="2" t="s">
        <v>83</v>
      </c>
      <c r="G9" s="1">
        <v>1</v>
      </c>
      <c r="H9" s="3">
        <v>43640.4375</v>
      </c>
      <c r="I9" s="2" t="s">
        <v>39</v>
      </c>
      <c r="J9" s="3">
        <v>45795.694444444402</v>
      </c>
      <c r="K9" s="2" t="s">
        <v>42</v>
      </c>
      <c r="L9" s="32"/>
      <c r="M9" s="1" t="s">
        <v>5</v>
      </c>
    </row>
    <row r="10" spans="1:13">
      <c r="B10" s="2" t="s">
        <v>84</v>
      </c>
      <c r="C10" s="2" t="s">
        <v>43</v>
      </c>
      <c r="D10" s="2" t="s">
        <v>85</v>
      </c>
      <c r="E10" s="2" t="s">
        <v>86</v>
      </c>
      <c r="F10" s="2" t="s">
        <v>87</v>
      </c>
      <c r="G10" s="1">
        <v>1</v>
      </c>
      <c r="H10" s="3">
        <v>43711.364583333299</v>
      </c>
      <c r="I10" s="2" t="s">
        <v>42</v>
      </c>
      <c r="J10" s="3">
        <v>45618.461805555598</v>
      </c>
      <c r="K10" s="2" t="s">
        <v>42</v>
      </c>
      <c r="L10" s="32"/>
      <c r="M10" s="1" t="s">
        <v>5</v>
      </c>
    </row>
    <row r="11" spans="1:13">
      <c r="B11" s="2" t="s">
        <v>88</v>
      </c>
      <c r="C11" s="2" t="s">
        <v>45</v>
      </c>
      <c r="D11" s="2" t="s">
        <v>89</v>
      </c>
      <c r="E11" s="2" t="s">
        <v>90</v>
      </c>
      <c r="F11" s="2" t="s">
        <v>91</v>
      </c>
      <c r="G11" s="1">
        <v>1</v>
      </c>
      <c r="H11" s="3">
        <v>43845.555555555598</v>
      </c>
      <c r="I11" s="2" t="s">
        <v>39</v>
      </c>
      <c r="J11" s="3">
        <v>46085.413194444402</v>
      </c>
      <c r="K11" s="2" t="s">
        <v>39</v>
      </c>
      <c r="L11" s="32"/>
      <c r="M11" s="1" t="s">
        <v>5</v>
      </c>
    </row>
    <row r="12" spans="1:13">
      <c r="B12" s="2" t="s">
        <v>92</v>
      </c>
      <c r="C12" s="2" t="s">
        <v>45</v>
      </c>
      <c r="D12" s="2" t="s">
        <v>93</v>
      </c>
      <c r="E12" s="2" t="s">
        <v>94</v>
      </c>
      <c r="F12" s="2" t="s">
        <v>95</v>
      </c>
      <c r="G12" s="1">
        <v>1</v>
      </c>
      <c r="H12" s="3">
        <v>43948.399305555598</v>
      </c>
      <c r="I12" s="2" t="s">
        <v>42</v>
      </c>
      <c r="J12" s="3">
        <v>45944.635416666701</v>
      </c>
      <c r="K12" s="2" t="s">
        <v>42</v>
      </c>
      <c r="L12" s="32"/>
      <c r="M12" s="1" t="s">
        <v>5</v>
      </c>
    </row>
    <row r="13" spans="1:13">
      <c r="B13" s="2" t="s">
        <v>96</v>
      </c>
      <c r="C13" s="2" t="s">
        <v>50</v>
      </c>
      <c r="D13" s="2" t="s">
        <v>97</v>
      </c>
      <c r="E13" s="2" t="s">
        <v>98</v>
      </c>
      <c r="F13" s="2" t="s">
        <v>99</v>
      </c>
      <c r="G13" s="1">
        <v>1</v>
      </c>
      <c r="H13" s="3">
        <v>44235.465277777803</v>
      </c>
      <c r="I13" s="2" t="s">
        <v>38</v>
      </c>
      <c r="J13" s="3">
        <v>46052.447916666701</v>
      </c>
      <c r="K13" s="2" t="s">
        <v>39</v>
      </c>
      <c r="L13" s="32"/>
      <c r="M13" s="1" t="s">
        <v>5</v>
      </c>
    </row>
    <row r="14" spans="1:13">
      <c r="B14" s="2" t="s">
        <v>100</v>
      </c>
      <c r="C14" s="2" t="s">
        <v>50</v>
      </c>
      <c r="D14" s="2" t="s">
        <v>101</v>
      </c>
      <c r="E14" s="2" t="s">
        <v>102</v>
      </c>
      <c r="F14" s="2" t="s">
        <v>103</v>
      </c>
      <c r="G14" s="1">
        <v>1</v>
      </c>
      <c r="H14" s="3">
        <v>44396.586805555598</v>
      </c>
      <c r="I14" s="2" t="s">
        <v>49</v>
      </c>
      <c r="J14" s="3">
        <v>45845.513888888898</v>
      </c>
      <c r="K14" s="2" t="s">
        <v>42</v>
      </c>
      <c r="L14" s="32"/>
      <c r="M14" s="1" t="s">
        <v>5</v>
      </c>
    </row>
    <row r="15" spans="1:13">
      <c r="B15" s="2" t="s">
        <v>104</v>
      </c>
      <c r="C15" s="2" t="s">
        <v>50</v>
      </c>
      <c r="D15" s="2" t="s">
        <v>105</v>
      </c>
      <c r="E15" s="2" t="s">
        <v>106</v>
      </c>
      <c r="F15" s="2" t="s">
        <v>107</v>
      </c>
      <c r="G15" s="1">
        <v>1</v>
      </c>
      <c r="H15" s="3">
        <v>44474.350694444402</v>
      </c>
      <c r="I15" s="2" t="s">
        <v>42</v>
      </c>
      <c r="J15" s="3">
        <v>46123.729166666701</v>
      </c>
      <c r="K15" s="2" t="s">
        <v>42</v>
      </c>
      <c r="L15" s="32"/>
      <c r="M15" s="1" t="s">
        <v>5</v>
      </c>
    </row>
    <row r="16" spans="1:13">
      <c r="B16" s="2" t="s">
        <v>108</v>
      </c>
      <c r="C16" s="2" t="s">
        <v>54</v>
      </c>
      <c r="D16" s="2" t="s">
        <v>109</v>
      </c>
      <c r="E16" s="2" t="s">
        <v>110</v>
      </c>
      <c r="F16" s="2" t="s">
        <v>111</v>
      </c>
      <c r="G16" s="1">
        <v>1</v>
      </c>
      <c r="H16" s="3">
        <v>44578.427083333299</v>
      </c>
      <c r="I16" s="2" t="s">
        <v>39</v>
      </c>
      <c r="J16" s="3">
        <v>46009.590277777803</v>
      </c>
      <c r="K16" s="2" t="s">
        <v>42</v>
      </c>
      <c r="L16" s="32"/>
      <c r="M16" s="1" t="s">
        <v>5</v>
      </c>
    </row>
    <row r="17" spans="2:13">
      <c r="B17" s="2" t="s">
        <v>112</v>
      </c>
      <c r="C17" s="2" t="s">
        <v>54</v>
      </c>
      <c r="D17" s="2" t="s">
        <v>113</v>
      </c>
      <c r="E17" s="2" t="s">
        <v>114</v>
      </c>
      <c r="F17" s="2" t="s">
        <v>115</v>
      </c>
      <c r="G17" s="1">
        <v>1</v>
      </c>
      <c r="H17" s="3">
        <v>44648.409722222197</v>
      </c>
      <c r="I17" s="2" t="s">
        <v>42</v>
      </c>
      <c r="J17" s="3">
        <v>46164.402777777803</v>
      </c>
      <c r="K17" s="2" t="s">
        <v>39</v>
      </c>
      <c r="L17" s="32"/>
      <c r="M17" s="1" t="s">
        <v>5</v>
      </c>
    </row>
    <row r="18" spans="2:13">
      <c r="B18" s="2" t="s">
        <v>116</v>
      </c>
      <c r="C18" s="2" t="s">
        <v>54</v>
      </c>
      <c r="D18" s="2" t="s">
        <v>117</v>
      </c>
      <c r="E18" s="2" t="s">
        <v>118</v>
      </c>
      <c r="F18" s="2" t="s">
        <v>119</v>
      </c>
      <c r="G18" s="1">
        <v>0</v>
      </c>
      <c r="H18" s="3">
        <v>44782.625</v>
      </c>
      <c r="I18" s="2" t="s">
        <v>38</v>
      </c>
      <c r="J18" s="3">
        <v>45534.423611111102</v>
      </c>
      <c r="K18" s="2" t="s">
        <v>39</v>
      </c>
      <c r="L18" s="32"/>
      <c r="M18" s="1" t="s">
        <v>5</v>
      </c>
    </row>
    <row r="19" spans="2:13">
      <c r="B19" s="2" t="s">
        <v>120</v>
      </c>
      <c r="C19" s="2" t="s">
        <v>58</v>
      </c>
      <c r="D19" s="2" t="s">
        <v>121</v>
      </c>
      <c r="E19" s="2" t="s">
        <v>122</v>
      </c>
      <c r="F19" s="2" t="s">
        <v>123</v>
      </c>
      <c r="G19" s="1">
        <v>1</v>
      </c>
      <c r="H19" s="3">
        <v>44949.371527777803</v>
      </c>
      <c r="I19" s="2" t="s">
        <v>42</v>
      </c>
      <c r="J19" s="3">
        <v>46066.684027777803</v>
      </c>
      <c r="K19" s="2" t="s">
        <v>42</v>
      </c>
      <c r="L19" s="32"/>
      <c r="M19" s="1" t="s">
        <v>5</v>
      </c>
    </row>
    <row r="20" spans="2:13">
      <c r="B20" s="2" t="s">
        <v>124</v>
      </c>
      <c r="C20" s="2" t="s">
        <v>58</v>
      </c>
      <c r="D20" s="2" t="s">
        <v>125</v>
      </c>
      <c r="E20" s="2" t="s">
        <v>126</v>
      </c>
      <c r="F20" s="2" t="s">
        <v>127</v>
      </c>
      <c r="G20" s="1">
        <v>1</v>
      </c>
      <c r="H20" s="3">
        <v>45057.489583333299</v>
      </c>
      <c r="I20" s="2" t="s">
        <v>49</v>
      </c>
      <c r="J20" s="3">
        <v>45919.565972222197</v>
      </c>
      <c r="K20" s="2" t="s">
        <v>42</v>
      </c>
      <c r="L20" s="32"/>
      <c r="M20" s="1" t="s">
        <v>5</v>
      </c>
    </row>
    <row r="21" spans="2:13">
      <c r="B21" s="2" t="s">
        <v>128</v>
      </c>
      <c r="C21" s="2" t="s">
        <v>58</v>
      </c>
      <c r="D21" s="2" t="s">
        <v>129</v>
      </c>
      <c r="E21" s="2" t="s">
        <v>130</v>
      </c>
      <c r="F21" s="2" t="s">
        <v>131</v>
      </c>
      <c r="G21" s="1">
        <v>1</v>
      </c>
      <c r="H21" s="3">
        <v>45173.5625</v>
      </c>
      <c r="I21" s="2" t="s">
        <v>39</v>
      </c>
      <c r="J21" s="3">
        <v>46175.46875</v>
      </c>
      <c r="K21" s="2" t="s">
        <v>39</v>
      </c>
      <c r="L21" s="32"/>
      <c r="M21" s="1" t="s">
        <v>5</v>
      </c>
    </row>
    <row r="22" spans="2:13">
      <c r="B22" s="2" t="s">
        <v>132</v>
      </c>
      <c r="C22" s="2" t="s">
        <v>43</v>
      </c>
      <c r="D22" s="2" t="s">
        <v>133</v>
      </c>
      <c r="E22" s="2" t="s">
        <v>134</v>
      </c>
      <c r="F22" s="2" t="s">
        <v>135</v>
      </c>
      <c r="G22" s="1">
        <v>1</v>
      </c>
      <c r="H22" s="3">
        <v>45338.378472222197</v>
      </c>
      <c r="I22" s="2" t="s">
        <v>42</v>
      </c>
      <c r="J22" s="3">
        <v>46030.451388888898</v>
      </c>
      <c r="K22" s="2" t="s">
        <v>42</v>
      </c>
      <c r="L22" s="32"/>
      <c r="M22" s="1" t="s">
        <v>5</v>
      </c>
    </row>
    <row r="23" spans="2:13">
      <c r="B23" s="2" t="s">
        <v>136</v>
      </c>
      <c r="C23" s="2" t="s">
        <v>45</v>
      </c>
      <c r="D23" s="2" t="s">
        <v>137</v>
      </c>
      <c r="E23" s="2" t="s">
        <v>138</v>
      </c>
      <c r="F23" s="2" t="s">
        <v>139</v>
      </c>
      <c r="G23" s="1">
        <v>1</v>
      </c>
      <c r="H23" s="3">
        <v>45404.444444444402</v>
      </c>
      <c r="I23" s="2" t="s">
        <v>38</v>
      </c>
      <c r="J23" s="3">
        <v>46132.586805555598</v>
      </c>
      <c r="K23" s="2" t="s">
        <v>39</v>
      </c>
      <c r="L23" s="32"/>
      <c r="M23" s="1" t="s">
        <v>5</v>
      </c>
    </row>
    <row r="24" spans="2:13">
      <c r="B24" s="2" t="s">
        <v>140</v>
      </c>
      <c r="C24" s="2" t="s">
        <v>54</v>
      </c>
      <c r="D24" s="2" t="s">
        <v>141</v>
      </c>
      <c r="E24" s="2" t="s">
        <v>142</v>
      </c>
      <c r="F24" s="2" t="s">
        <v>143</v>
      </c>
      <c r="G24" s="1">
        <v>1</v>
      </c>
      <c r="H24" s="3">
        <v>45474.354166666701</v>
      </c>
      <c r="I24" s="2" t="s">
        <v>42</v>
      </c>
      <c r="J24" s="3">
        <v>46097.65625</v>
      </c>
      <c r="K24" s="2" t="s">
        <v>42</v>
      </c>
      <c r="L24" s="32"/>
      <c r="M24" s="1" t="s">
        <v>5</v>
      </c>
    </row>
    <row r="25" spans="2:13">
      <c r="B25" s="2" t="s">
        <v>144</v>
      </c>
      <c r="C25" s="2" t="s">
        <v>58</v>
      </c>
      <c r="D25" s="2" t="s">
        <v>145</v>
      </c>
      <c r="E25" s="2" t="s">
        <v>146</v>
      </c>
      <c r="F25" s="2" t="s">
        <v>147</v>
      </c>
      <c r="G25" s="1">
        <v>1</v>
      </c>
      <c r="H25" s="3">
        <v>45677.506944444402</v>
      </c>
      <c r="I25" s="2" t="s">
        <v>39</v>
      </c>
      <c r="J25" s="3">
        <v>46183.388888888898</v>
      </c>
      <c r="K25" s="2" t="s">
        <v>42</v>
      </c>
      <c r="L25" s="32"/>
      <c r="M25" s="1" t="s">
        <v>5</v>
      </c>
    </row>
    <row r="26" spans="2:13">
      <c r="B26" s="2" t="s">
        <v>148</v>
      </c>
      <c r="C26" s="2" t="s">
        <v>50</v>
      </c>
      <c r="D26" s="2" t="s">
        <v>149</v>
      </c>
      <c r="E26" s="2" t="s">
        <v>150</v>
      </c>
      <c r="F26" s="2" t="s">
        <v>151</v>
      </c>
      <c r="G26" s="1">
        <v>0</v>
      </c>
      <c r="H26" s="3">
        <v>45783.392361111102</v>
      </c>
      <c r="I26" s="2" t="s">
        <v>42</v>
      </c>
      <c r="J26" s="3">
        <v>46081.708333333299</v>
      </c>
      <c r="K26" s="2" t="s">
        <v>39</v>
      </c>
      <c r="L26" s="32"/>
      <c r="M26" s="1" t="s">
        <v>5</v>
      </c>
    </row>
    <row r="27" spans="2:13">
      <c r="B27" s="2" t="s">
        <v>152</v>
      </c>
      <c r="C27" s="2" t="s">
        <v>43</v>
      </c>
      <c r="D27" s="2" t="s">
        <v>153</v>
      </c>
      <c r="E27" s="2" t="s">
        <v>154</v>
      </c>
      <c r="F27" s="2" t="s">
        <v>155</v>
      </c>
      <c r="G27" s="1">
        <v>1</v>
      </c>
      <c r="H27" s="3">
        <v>46035.416666666701</v>
      </c>
      <c r="I27" s="2" t="s">
        <v>49</v>
      </c>
      <c r="J27" s="3">
        <v>46198.548611111102</v>
      </c>
      <c r="K27" s="2" t="s">
        <v>42</v>
      </c>
      <c r="L27" s="32"/>
      <c r="M2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K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K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zoomScale="85" zoomScaleNormal="85" workbookViewId="0">
      <pane xSplit="2" ySplit="7" topLeftCell="C8" activePane="bottomRight" state="frozenSplit"/>
      <selection activeCell="D11" sqref="D11"/>
      <selection pane="topRight" activeCell="D11" sqref="D11"/>
      <selection pane="bottomLeft" activeCell="D11" sqref="D11"/>
      <selection pane="bottomRight" activeCell="C8" sqref="C8"/>
    </sheetView>
  </sheetViews>
  <sheetFormatPr defaultColWidth="9.1796875" defaultRowHeight="14.5"/>
  <cols>
    <col min="1" max="1" width="18.7265625" style="1" customWidth="1"/>
    <col min="2" max="2" width="11.453125" style="2" bestFit="1" customWidth="1"/>
    <col min="3" max="3" width="33.81640625" style="2" bestFit="1" customWidth="1"/>
    <col min="4" max="4" width="49.26953125" style="2" bestFit="1" customWidth="1"/>
    <col min="5" max="5" width="14.6328125" style="2" bestFit="1" customWidth="1"/>
    <col min="6" max="6" width="13.6328125" style="2" bestFit="1" customWidth="1"/>
    <col min="7" max="7" width="46.90625" style="2" bestFit="1" customWidth="1"/>
    <col min="8" max="8" width="53.6328125" style="2" bestFit="1" customWidth="1"/>
    <col min="9" max="9" width="62.54296875" style="2" bestFit="1" customWidth="1"/>
    <col min="10" max="10" width="34.81640625" style="2" bestFit="1" customWidth="1"/>
    <col min="11" max="11" width="39.36328125" style="2" bestFit="1" customWidth="1"/>
    <col min="12" max="12" width="43" style="2" bestFit="1" customWidth="1"/>
    <col min="13" max="13" width="31.453125" style="2" bestFit="1" customWidth="1"/>
    <col min="14" max="14" width="11.7265625" style="1" bestFit="1" customWidth="1"/>
    <col min="15" max="15" width="20.1796875" style="3" bestFit="1" customWidth="1"/>
    <col min="16" max="16" width="16.90625" style="2" bestFit="1" customWidth="1"/>
    <col min="17" max="17" width="20.1796875" style="3" bestFit="1" customWidth="1"/>
    <col min="18" max="18" width="16.90625" style="2" bestFit="1" customWidth="1"/>
    <col min="19" max="19" width="10.7265625" style="1" customWidth="1"/>
    <col min="20" max="20" width="48.7265625" style="1" customWidth="1"/>
    <col min="21" max="21" width="9.1796875" style="1" customWidth="1"/>
    <col min="22" max="16384" width="9.1796875" style="1"/>
  </cols>
  <sheetData>
    <row r="1" spans="1:20" s="4" customFormat="1">
      <c r="A1" s="5" t="s">
        <v>0</v>
      </c>
      <c r="B1" s="6" t="s">
        <v>156</v>
      </c>
      <c r="C1" s="7" t="s">
        <v>2</v>
      </c>
      <c r="D1" s="6" t="s">
        <v>157</v>
      </c>
      <c r="E1" s="9"/>
      <c r="F1" s="9"/>
      <c r="G1" s="9"/>
      <c r="H1" s="9"/>
      <c r="I1" s="9"/>
      <c r="J1" s="9"/>
      <c r="K1" s="9"/>
      <c r="L1" s="9"/>
      <c r="M1" s="9"/>
      <c r="O1" s="8"/>
      <c r="P1" s="9"/>
      <c r="Q1" s="8"/>
      <c r="R1" s="9"/>
    </row>
    <row r="2" spans="1:20" s="4" customFormat="1">
      <c r="A2" s="5" t="s">
        <v>4</v>
      </c>
      <c r="B2" s="3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8"/>
      <c r="P2" s="9"/>
      <c r="Q2" s="8"/>
      <c r="R2" s="9"/>
    </row>
    <row r="3" spans="1:20" s="4" customFormat="1">
      <c r="A3" s="10" t="s">
        <v>6</v>
      </c>
      <c r="B3" s="11" t="s">
        <v>158</v>
      </c>
      <c r="C3" s="12" t="s">
        <v>159</v>
      </c>
      <c r="D3" s="12" t="s">
        <v>160</v>
      </c>
      <c r="E3" s="12" t="s">
        <v>161</v>
      </c>
      <c r="F3" s="12" t="s">
        <v>162</v>
      </c>
      <c r="G3" s="12" t="s">
        <v>65</v>
      </c>
      <c r="H3" s="12" t="s">
        <v>163</v>
      </c>
      <c r="I3" s="12" t="s">
        <v>164</v>
      </c>
      <c r="J3" s="12" t="s">
        <v>165</v>
      </c>
      <c r="K3" s="12" t="s">
        <v>166</v>
      </c>
      <c r="L3" s="12" t="s">
        <v>167</v>
      </c>
      <c r="M3" s="12" t="s">
        <v>168</v>
      </c>
      <c r="N3" s="22" t="s">
        <v>66</v>
      </c>
      <c r="O3" s="13" t="s">
        <v>10</v>
      </c>
      <c r="P3" s="12" t="s">
        <v>11</v>
      </c>
      <c r="Q3" s="13" t="s">
        <v>12</v>
      </c>
      <c r="R3" s="12" t="s">
        <v>13</v>
      </c>
      <c r="S3" s="14" t="s">
        <v>14</v>
      </c>
      <c r="T3" s="14" t="s">
        <v>15</v>
      </c>
    </row>
    <row r="4" spans="1:20" s="4" customFormat="1">
      <c r="A4" s="10" t="s">
        <v>16</v>
      </c>
      <c r="B4" s="11" t="s">
        <v>169</v>
      </c>
      <c r="C4" s="12" t="s">
        <v>170</v>
      </c>
      <c r="D4" s="12" t="s">
        <v>171</v>
      </c>
      <c r="E4" s="12" t="s">
        <v>172</v>
      </c>
      <c r="F4" s="12" t="s">
        <v>173</v>
      </c>
      <c r="G4" s="12" t="s">
        <v>174</v>
      </c>
      <c r="H4" s="12" t="s">
        <v>175</v>
      </c>
      <c r="I4" s="12" t="s">
        <v>176</v>
      </c>
      <c r="J4" s="12" t="s">
        <v>177</v>
      </c>
      <c r="K4" s="12" t="s">
        <v>178</v>
      </c>
      <c r="L4" s="12" t="s">
        <v>179</v>
      </c>
      <c r="M4" s="12" t="s">
        <v>180</v>
      </c>
      <c r="N4" s="16" t="s">
        <v>181</v>
      </c>
      <c r="O4" s="15" t="s">
        <v>20</v>
      </c>
      <c r="P4" s="12" t="s">
        <v>21</v>
      </c>
      <c r="Q4" s="15" t="s">
        <v>22</v>
      </c>
      <c r="R4" s="12" t="s">
        <v>23</v>
      </c>
      <c r="S4" s="16"/>
      <c r="T4" s="16"/>
    </row>
    <row r="5" spans="1:20" s="4" customFormat="1">
      <c r="A5" s="10" t="s">
        <v>24</v>
      </c>
      <c r="B5" s="11" t="s">
        <v>72</v>
      </c>
      <c r="C5" s="12" t="s">
        <v>182</v>
      </c>
      <c r="D5" s="12" t="s">
        <v>182</v>
      </c>
      <c r="E5" s="12" t="s">
        <v>26</v>
      </c>
      <c r="F5" s="12" t="s">
        <v>28</v>
      </c>
      <c r="G5" s="12" t="s">
        <v>74</v>
      </c>
      <c r="H5" s="12" t="s">
        <v>182</v>
      </c>
      <c r="I5" s="12" t="s">
        <v>182</v>
      </c>
      <c r="J5" s="12" t="s">
        <v>26</v>
      </c>
      <c r="K5" s="12" t="s">
        <v>26</v>
      </c>
      <c r="L5" s="12" t="s">
        <v>28</v>
      </c>
      <c r="M5" s="12" t="s">
        <v>183</v>
      </c>
      <c r="N5" s="22" t="s">
        <v>75</v>
      </c>
      <c r="O5" s="13" t="s">
        <v>27</v>
      </c>
      <c r="P5" s="12" t="s">
        <v>28</v>
      </c>
      <c r="Q5" s="13" t="s">
        <v>27</v>
      </c>
      <c r="R5" s="12" t="s">
        <v>28</v>
      </c>
      <c r="S5" s="16"/>
      <c r="T5" s="16"/>
    </row>
    <row r="6" spans="1:20" s="4" customFormat="1">
      <c r="A6" s="5" t="s">
        <v>29</v>
      </c>
      <c r="B6" s="11" t="s">
        <v>30</v>
      </c>
      <c r="C6" s="12" t="s">
        <v>5</v>
      </c>
      <c r="D6" s="12" t="s">
        <v>31</v>
      </c>
      <c r="E6" s="12" t="s">
        <v>31</v>
      </c>
      <c r="F6" s="12" t="s">
        <v>31</v>
      </c>
      <c r="G6" s="12" t="s">
        <v>31</v>
      </c>
      <c r="H6" s="12" t="s">
        <v>31</v>
      </c>
      <c r="I6" s="12" t="s">
        <v>31</v>
      </c>
      <c r="J6" s="12" t="s">
        <v>31</v>
      </c>
      <c r="K6" s="12" t="s">
        <v>31</v>
      </c>
      <c r="L6" s="12" t="s">
        <v>31</v>
      </c>
      <c r="M6" s="12" t="s">
        <v>32</v>
      </c>
      <c r="N6" s="22" t="s">
        <v>32</v>
      </c>
      <c r="O6" s="13" t="s">
        <v>32</v>
      </c>
      <c r="P6" s="12" t="s">
        <v>5</v>
      </c>
      <c r="Q6" s="13" t="s">
        <v>32</v>
      </c>
      <c r="R6" s="12" t="s">
        <v>5</v>
      </c>
      <c r="S6" s="16"/>
      <c r="T6" s="16"/>
    </row>
    <row r="7" spans="1:20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19" t="s">
        <v>34</v>
      </c>
      <c r="G7" s="19" t="s">
        <v>34</v>
      </c>
      <c r="H7" s="19" t="s">
        <v>34</v>
      </c>
      <c r="I7" s="19" t="s">
        <v>34</v>
      </c>
      <c r="J7" s="19" t="s">
        <v>34</v>
      </c>
      <c r="K7" s="19" t="s">
        <v>34</v>
      </c>
      <c r="L7" s="19" t="s">
        <v>34</v>
      </c>
      <c r="M7" s="19" t="s">
        <v>34</v>
      </c>
      <c r="N7" s="23" t="s">
        <v>34</v>
      </c>
      <c r="O7" s="20" t="s">
        <v>34</v>
      </c>
      <c r="P7" s="19" t="s">
        <v>34</v>
      </c>
      <c r="Q7" s="20" t="s">
        <v>34</v>
      </c>
      <c r="R7" s="19" t="s">
        <v>34</v>
      </c>
      <c r="S7" s="21"/>
      <c r="T7" s="21"/>
    </row>
    <row r="8" spans="1:20">
      <c r="B8" s="2" t="s">
        <v>184</v>
      </c>
      <c r="C8" s="2" t="s">
        <v>185</v>
      </c>
      <c r="D8" s="2" t="s">
        <v>5</v>
      </c>
      <c r="E8" s="2" t="s">
        <v>186</v>
      </c>
      <c r="F8" s="2" t="s">
        <v>187</v>
      </c>
      <c r="G8" s="2" t="s">
        <v>188</v>
      </c>
      <c r="H8" s="2" t="s">
        <v>189</v>
      </c>
      <c r="I8" s="2" t="s">
        <v>190</v>
      </c>
      <c r="J8" s="2" t="s">
        <v>191</v>
      </c>
      <c r="K8" s="2" t="s">
        <v>192</v>
      </c>
      <c r="L8" s="2" t="s">
        <v>193</v>
      </c>
      <c r="M8" s="2" t="s">
        <v>194</v>
      </c>
      <c r="N8" s="1">
        <v>1</v>
      </c>
      <c r="O8" s="3">
        <v>42962.381944444402</v>
      </c>
      <c r="P8" s="2" t="s">
        <v>38</v>
      </c>
      <c r="Q8" s="3">
        <v>45675.555555555598</v>
      </c>
      <c r="R8" s="2" t="s">
        <v>39</v>
      </c>
      <c r="S8" s="32"/>
      <c r="T8" s="1" t="s">
        <v>5</v>
      </c>
    </row>
    <row r="9" spans="1:20">
      <c r="B9" s="2" t="s">
        <v>195</v>
      </c>
      <c r="C9" s="2" t="s">
        <v>196</v>
      </c>
      <c r="D9" s="2" t="s">
        <v>5</v>
      </c>
      <c r="E9" s="2" t="s">
        <v>197</v>
      </c>
      <c r="F9" s="2" t="s">
        <v>198</v>
      </c>
      <c r="G9" s="2" t="s">
        <v>199</v>
      </c>
      <c r="H9" s="2" t="s">
        <v>200</v>
      </c>
      <c r="I9" s="2" t="s">
        <v>201</v>
      </c>
      <c r="J9" s="2" t="s">
        <v>191</v>
      </c>
      <c r="K9" s="2" t="s">
        <v>192</v>
      </c>
      <c r="L9" s="2" t="s">
        <v>202</v>
      </c>
      <c r="M9" s="2" t="s">
        <v>194</v>
      </c>
      <c r="N9" s="1">
        <v>1</v>
      </c>
      <c r="O9" s="3">
        <v>43122.434027777803</v>
      </c>
      <c r="P9" s="2" t="s">
        <v>39</v>
      </c>
      <c r="Q9" s="3">
        <v>45601.649305555598</v>
      </c>
      <c r="R9" s="2" t="s">
        <v>49</v>
      </c>
      <c r="S9" s="32"/>
      <c r="T9" s="1" t="s">
        <v>5</v>
      </c>
    </row>
    <row r="10" spans="1:20">
      <c r="B10" s="2" t="s">
        <v>203</v>
      </c>
      <c r="C10" s="2" t="s">
        <v>204</v>
      </c>
      <c r="D10" s="2" t="s">
        <v>5</v>
      </c>
      <c r="E10" s="2" t="s">
        <v>205</v>
      </c>
      <c r="F10" s="2" t="s">
        <v>206</v>
      </c>
      <c r="G10" s="2" t="s">
        <v>207</v>
      </c>
      <c r="H10" s="2" t="s">
        <v>208</v>
      </c>
      <c r="I10" s="2" t="s">
        <v>209</v>
      </c>
      <c r="J10" s="2" t="s">
        <v>191</v>
      </c>
      <c r="K10" s="2" t="s">
        <v>192</v>
      </c>
      <c r="L10" s="2" t="s">
        <v>210</v>
      </c>
      <c r="M10" s="2" t="s">
        <v>194</v>
      </c>
      <c r="N10" s="1">
        <v>1</v>
      </c>
      <c r="O10" s="3">
        <v>43229.611111111102</v>
      </c>
      <c r="P10" s="2" t="s">
        <v>49</v>
      </c>
      <c r="Q10" s="3">
        <v>45820.395833333299</v>
      </c>
      <c r="R10" s="2" t="s">
        <v>42</v>
      </c>
      <c r="S10" s="32"/>
      <c r="T10" s="1" t="s">
        <v>5</v>
      </c>
    </row>
    <row r="11" spans="1:20">
      <c r="B11" s="2" t="s">
        <v>211</v>
      </c>
      <c r="C11" s="2" t="s">
        <v>212</v>
      </c>
      <c r="D11" s="2" t="s">
        <v>5</v>
      </c>
      <c r="E11" s="2" t="s">
        <v>213</v>
      </c>
      <c r="F11" s="2" t="s">
        <v>214</v>
      </c>
      <c r="G11" s="2" t="s">
        <v>215</v>
      </c>
      <c r="H11" s="2" t="s">
        <v>216</v>
      </c>
      <c r="I11" s="2" t="s">
        <v>5</v>
      </c>
      <c r="J11" s="2" t="s">
        <v>191</v>
      </c>
      <c r="K11" s="2" t="s">
        <v>192</v>
      </c>
      <c r="L11" s="2" t="s">
        <v>210</v>
      </c>
      <c r="M11" s="2" t="s">
        <v>194</v>
      </c>
      <c r="N11" s="1">
        <v>1</v>
      </c>
      <c r="O11" s="3">
        <v>43404.371527777803</v>
      </c>
      <c r="P11" s="2" t="s">
        <v>42</v>
      </c>
      <c r="Q11" s="3">
        <v>46061.590277777803</v>
      </c>
      <c r="R11" s="2" t="s">
        <v>38</v>
      </c>
      <c r="S11" s="32"/>
      <c r="T11" s="1" t="s">
        <v>5</v>
      </c>
    </row>
    <row r="12" spans="1:20">
      <c r="B12" s="2" t="s">
        <v>217</v>
      </c>
      <c r="C12" s="2" t="s">
        <v>218</v>
      </c>
      <c r="D12" s="2" t="s">
        <v>5</v>
      </c>
      <c r="E12" s="2" t="s">
        <v>219</v>
      </c>
      <c r="F12" s="2" t="s">
        <v>220</v>
      </c>
      <c r="G12" s="2" t="s">
        <v>221</v>
      </c>
      <c r="H12" s="2" t="s">
        <v>222</v>
      </c>
      <c r="I12" s="2" t="s">
        <v>223</v>
      </c>
      <c r="J12" s="2" t="s">
        <v>191</v>
      </c>
      <c r="K12" s="2" t="s">
        <v>192</v>
      </c>
      <c r="L12" s="2" t="s">
        <v>202</v>
      </c>
      <c r="M12" s="2" t="s">
        <v>194</v>
      </c>
      <c r="N12" s="1">
        <v>1</v>
      </c>
      <c r="O12" s="3">
        <v>43514.46875</v>
      </c>
      <c r="P12" s="2" t="s">
        <v>38</v>
      </c>
      <c r="Q12" s="3">
        <v>45921.454861111102</v>
      </c>
      <c r="R12" s="2" t="s">
        <v>39</v>
      </c>
      <c r="S12" s="32"/>
      <c r="T12" s="1" t="s">
        <v>5</v>
      </c>
    </row>
    <row r="13" spans="1:20">
      <c r="B13" s="2" t="s">
        <v>224</v>
      </c>
      <c r="C13" s="2" t="s">
        <v>225</v>
      </c>
      <c r="D13" s="2" t="s">
        <v>5</v>
      </c>
      <c r="E13" s="2" t="s">
        <v>226</v>
      </c>
      <c r="F13" s="2" t="s">
        <v>227</v>
      </c>
      <c r="G13" s="2" t="s">
        <v>228</v>
      </c>
      <c r="H13" s="2" t="s">
        <v>229</v>
      </c>
      <c r="I13" s="2" t="s">
        <v>230</v>
      </c>
      <c r="J13" s="2" t="s">
        <v>191</v>
      </c>
      <c r="K13" s="2" t="s">
        <v>192</v>
      </c>
      <c r="L13" s="2" t="s">
        <v>193</v>
      </c>
      <c r="M13" s="2" t="s">
        <v>194</v>
      </c>
      <c r="N13" s="1">
        <v>1</v>
      </c>
      <c r="O13" s="3">
        <v>43643.5625</v>
      </c>
      <c r="P13" s="2" t="s">
        <v>39</v>
      </c>
      <c r="Q13" s="3">
        <v>46038.475694444402</v>
      </c>
      <c r="R13" s="2" t="s">
        <v>49</v>
      </c>
      <c r="S13" s="32"/>
      <c r="T13" s="1" t="s">
        <v>5</v>
      </c>
    </row>
    <row r="14" spans="1:20">
      <c r="B14" s="2" t="s">
        <v>231</v>
      </c>
      <c r="C14" s="2" t="s">
        <v>232</v>
      </c>
      <c r="D14" s="2" t="s">
        <v>5</v>
      </c>
      <c r="E14" s="2" t="s">
        <v>233</v>
      </c>
      <c r="F14" s="2" t="s">
        <v>234</v>
      </c>
      <c r="G14" s="2" t="s">
        <v>235</v>
      </c>
      <c r="H14" s="2" t="s">
        <v>236</v>
      </c>
      <c r="I14" s="2" t="s">
        <v>5</v>
      </c>
      <c r="J14" s="2" t="s">
        <v>191</v>
      </c>
      <c r="K14" s="2" t="s">
        <v>192</v>
      </c>
      <c r="L14" s="2" t="s">
        <v>237</v>
      </c>
      <c r="M14" s="2" t="s">
        <v>194</v>
      </c>
      <c r="N14" s="1">
        <v>1</v>
      </c>
      <c r="O14" s="3">
        <v>43773.40625</v>
      </c>
      <c r="P14" s="2" t="s">
        <v>49</v>
      </c>
      <c r="Q14" s="3">
        <v>45995.697916666701</v>
      </c>
      <c r="R14" s="2" t="s">
        <v>42</v>
      </c>
      <c r="S14" s="32"/>
      <c r="T14" s="1" t="s">
        <v>5</v>
      </c>
    </row>
    <row r="15" spans="1:20">
      <c r="B15" s="2" t="s">
        <v>238</v>
      </c>
      <c r="C15" s="2" t="s">
        <v>239</v>
      </c>
      <c r="D15" s="2" t="s">
        <v>5</v>
      </c>
      <c r="E15" s="2" t="s">
        <v>240</v>
      </c>
      <c r="F15" s="2" t="s">
        <v>241</v>
      </c>
      <c r="G15" s="2" t="s">
        <v>242</v>
      </c>
      <c r="H15" s="2" t="s">
        <v>243</v>
      </c>
      <c r="I15" s="2" t="s">
        <v>244</v>
      </c>
      <c r="J15" s="2" t="s">
        <v>191</v>
      </c>
      <c r="K15" s="2" t="s">
        <v>192</v>
      </c>
      <c r="L15" s="2" t="s">
        <v>245</v>
      </c>
      <c r="M15" s="2" t="s">
        <v>194</v>
      </c>
      <c r="N15" s="1">
        <v>1</v>
      </c>
      <c r="O15" s="3">
        <v>43906.420138888898</v>
      </c>
      <c r="P15" s="2" t="s">
        <v>42</v>
      </c>
      <c r="Q15" s="3">
        <v>46100.579861111102</v>
      </c>
      <c r="R15" s="2" t="s">
        <v>38</v>
      </c>
      <c r="S15" s="32"/>
      <c r="T15" s="1" t="s">
        <v>5</v>
      </c>
    </row>
    <row r="16" spans="1:20">
      <c r="B16" s="2" t="s">
        <v>246</v>
      </c>
      <c r="C16" s="2" t="s">
        <v>247</v>
      </c>
      <c r="D16" s="2" t="s">
        <v>5</v>
      </c>
      <c r="E16" s="2" t="s">
        <v>248</v>
      </c>
      <c r="F16" s="2" t="s">
        <v>249</v>
      </c>
      <c r="G16" s="2" t="s">
        <v>250</v>
      </c>
      <c r="H16" s="2" t="s">
        <v>251</v>
      </c>
      <c r="I16" s="2" t="s">
        <v>5</v>
      </c>
      <c r="J16" s="2" t="s">
        <v>191</v>
      </c>
      <c r="K16" s="2" t="s">
        <v>192</v>
      </c>
      <c r="L16" s="2" t="s">
        <v>210</v>
      </c>
      <c r="M16" s="2" t="s">
        <v>194</v>
      </c>
      <c r="N16" s="1">
        <v>1</v>
      </c>
      <c r="O16" s="3">
        <v>44041.638888888898</v>
      </c>
      <c r="P16" s="2" t="s">
        <v>38</v>
      </c>
      <c r="Q16" s="3">
        <v>45868.510416666701</v>
      </c>
      <c r="R16" s="2" t="s">
        <v>39</v>
      </c>
      <c r="S16" s="32"/>
      <c r="T16" s="1" t="s">
        <v>5</v>
      </c>
    </row>
    <row r="17" spans="2:20">
      <c r="B17" s="2" t="s">
        <v>252</v>
      </c>
      <c r="C17" s="2" t="s">
        <v>253</v>
      </c>
      <c r="D17" s="2" t="s">
        <v>5</v>
      </c>
      <c r="E17" s="2" t="s">
        <v>254</v>
      </c>
      <c r="F17" s="2" t="s">
        <v>255</v>
      </c>
      <c r="G17" s="2" t="s">
        <v>256</v>
      </c>
      <c r="H17" s="2" t="s">
        <v>257</v>
      </c>
      <c r="I17" s="2" t="s">
        <v>258</v>
      </c>
      <c r="J17" s="2" t="s">
        <v>259</v>
      </c>
      <c r="K17" s="2" t="s">
        <v>192</v>
      </c>
      <c r="L17" s="2" t="s">
        <v>260</v>
      </c>
      <c r="M17" s="2" t="s">
        <v>194</v>
      </c>
      <c r="N17" s="1">
        <v>1</v>
      </c>
      <c r="O17" s="3">
        <v>44176.357638888898</v>
      </c>
      <c r="P17" s="2" t="s">
        <v>39</v>
      </c>
      <c r="Q17" s="3">
        <v>46137.409722222197</v>
      </c>
      <c r="R17" s="2" t="s">
        <v>49</v>
      </c>
      <c r="S17" s="32"/>
      <c r="T17" s="1" t="s">
        <v>5</v>
      </c>
    </row>
    <row r="18" spans="2:20">
      <c r="B18" s="2" t="s">
        <v>261</v>
      </c>
      <c r="C18" s="2" t="s">
        <v>262</v>
      </c>
      <c r="D18" s="2" t="s">
        <v>5</v>
      </c>
      <c r="E18" s="2" t="s">
        <v>263</v>
      </c>
      <c r="F18" s="2" t="s">
        <v>264</v>
      </c>
      <c r="G18" s="2" t="s">
        <v>265</v>
      </c>
      <c r="H18" s="2" t="s">
        <v>266</v>
      </c>
      <c r="I18" s="2" t="s">
        <v>5</v>
      </c>
      <c r="J18" s="2" t="s">
        <v>191</v>
      </c>
      <c r="K18" s="2" t="s">
        <v>192</v>
      </c>
      <c r="L18" s="2" t="s">
        <v>267</v>
      </c>
      <c r="M18" s="2" t="s">
        <v>194</v>
      </c>
      <c r="N18" s="1">
        <v>0</v>
      </c>
      <c r="O18" s="3">
        <v>44250.534722222197</v>
      </c>
      <c r="P18" s="2" t="s">
        <v>49</v>
      </c>
      <c r="Q18" s="3">
        <v>45882.628472222197</v>
      </c>
      <c r="R18" s="2" t="s">
        <v>42</v>
      </c>
      <c r="S18" s="32"/>
      <c r="T18" s="1" t="s">
        <v>5</v>
      </c>
    </row>
    <row r="19" spans="2:20">
      <c r="B19" s="2" t="s">
        <v>268</v>
      </c>
      <c r="C19" s="2" t="s">
        <v>269</v>
      </c>
      <c r="D19" s="2" t="s">
        <v>5</v>
      </c>
      <c r="E19" s="2" t="s">
        <v>270</v>
      </c>
      <c r="F19" s="2" t="s">
        <v>271</v>
      </c>
      <c r="G19" s="2" t="s">
        <v>272</v>
      </c>
      <c r="H19" s="2" t="s">
        <v>273</v>
      </c>
      <c r="I19" s="2" t="s">
        <v>274</v>
      </c>
      <c r="J19" s="2" t="s">
        <v>191</v>
      </c>
      <c r="K19" s="2" t="s">
        <v>192</v>
      </c>
      <c r="L19" s="2" t="s">
        <v>275</v>
      </c>
      <c r="M19" s="2" t="s">
        <v>194</v>
      </c>
      <c r="N19" s="1">
        <v>1</v>
      </c>
      <c r="O19" s="3">
        <v>44335.392361111102</v>
      </c>
      <c r="P19" s="2" t="s">
        <v>42</v>
      </c>
      <c r="Q19" s="3">
        <v>46153.444444444402</v>
      </c>
      <c r="R19" s="2" t="s">
        <v>38</v>
      </c>
      <c r="S19" s="32"/>
      <c r="T19" s="1" t="s">
        <v>5</v>
      </c>
    </row>
    <row r="20" spans="2:20">
      <c r="B20" s="2" t="s">
        <v>276</v>
      </c>
      <c r="C20" s="2" t="s">
        <v>277</v>
      </c>
      <c r="D20" s="2" t="s">
        <v>5</v>
      </c>
      <c r="E20" s="2" t="s">
        <v>278</v>
      </c>
      <c r="F20" s="2" t="s">
        <v>279</v>
      </c>
      <c r="G20" s="2" t="s">
        <v>280</v>
      </c>
      <c r="H20" s="2" t="s">
        <v>281</v>
      </c>
      <c r="I20" s="2" t="s">
        <v>5</v>
      </c>
      <c r="J20" s="2" t="s">
        <v>191</v>
      </c>
      <c r="K20" s="2" t="s">
        <v>192</v>
      </c>
      <c r="L20" s="2" t="s">
        <v>282</v>
      </c>
      <c r="M20" s="2" t="s">
        <v>194</v>
      </c>
      <c r="N20" s="1">
        <v>1</v>
      </c>
      <c r="O20" s="3">
        <v>44447.673611111102</v>
      </c>
      <c r="P20" s="2" t="s">
        <v>38</v>
      </c>
      <c r="Q20" s="3">
        <v>45958.465277777803</v>
      </c>
      <c r="R20" s="2" t="s">
        <v>39</v>
      </c>
      <c r="S20" s="32"/>
      <c r="T20" s="1" t="s">
        <v>5</v>
      </c>
    </row>
    <row r="21" spans="2:20">
      <c r="B21" s="2" t="s">
        <v>283</v>
      </c>
      <c r="C21" s="2" t="s">
        <v>284</v>
      </c>
      <c r="D21" s="2" t="s">
        <v>5</v>
      </c>
      <c r="E21" s="2" t="s">
        <v>285</v>
      </c>
      <c r="F21" s="2" t="s">
        <v>286</v>
      </c>
      <c r="G21" s="2" t="s">
        <v>287</v>
      </c>
      <c r="H21" s="2" t="s">
        <v>288</v>
      </c>
      <c r="I21" s="2" t="s">
        <v>289</v>
      </c>
      <c r="J21" s="2" t="s">
        <v>191</v>
      </c>
      <c r="K21" s="2" t="s">
        <v>192</v>
      </c>
      <c r="L21" s="2" t="s">
        <v>210</v>
      </c>
      <c r="M21" s="2" t="s">
        <v>194</v>
      </c>
      <c r="N21" s="1">
        <v>1</v>
      </c>
      <c r="O21" s="3">
        <v>44544.444444444402</v>
      </c>
      <c r="P21" s="2" t="s">
        <v>39</v>
      </c>
      <c r="Q21" s="3">
        <v>46075.604166666701</v>
      </c>
      <c r="R21" s="2" t="s">
        <v>49</v>
      </c>
      <c r="S21" s="32"/>
      <c r="T21" s="1" t="s">
        <v>5</v>
      </c>
    </row>
    <row r="22" spans="2:20">
      <c r="B22" s="2" t="s">
        <v>290</v>
      </c>
      <c r="C22" s="2" t="s">
        <v>291</v>
      </c>
      <c r="D22" s="2" t="s">
        <v>5</v>
      </c>
      <c r="E22" s="2" t="s">
        <v>292</v>
      </c>
      <c r="F22" s="2" t="s">
        <v>293</v>
      </c>
      <c r="G22" s="2" t="s">
        <v>294</v>
      </c>
      <c r="H22" s="2" t="s">
        <v>295</v>
      </c>
      <c r="I22" s="2" t="s">
        <v>5</v>
      </c>
      <c r="J22" s="2" t="s">
        <v>191</v>
      </c>
      <c r="K22" s="2" t="s">
        <v>192</v>
      </c>
      <c r="L22" s="2" t="s">
        <v>202</v>
      </c>
      <c r="M22" s="2" t="s">
        <v>194</v>
      </c>
      <c r="N22" s="1">
        <v>1</v>
      </c>
      <c r="O22" s="3">
        <v>44623.586805555598</v>
      </c>
      <c r="P22" s="2" t="s">
        <v>49</v>
      </c>
      <c r="Q22" s="3">
        <v>46008.378472222197</v>
      </c>
      <c r="R22" s="2" t="s">
        <v>42</v>
      </c>
      <c r="S22" s="32"/>
      <c r="T22" s="1" t="s">
        <v>5</v>
      </c>
    </row>
    <row r="23" spans="2:20">
      <c r="B23" s="2" t="s">
        <v>296</v>
      </c>
      <c r="C23" s="2" t="s">
        <v>297</v>
      </c>
      <c r="D23" s="2" t="s">
        <v>5</v>
      </c>
      <c r="E23" s="2" t="s">
        <v>298</v>
      </c>
      <c r="F23" s="2" t="s">
        <v>299</v>
      </c>
      <c r="G23" s="2" t="s">
        <v>300</v>
      </c>
      <c r="H23" s="2" t="s">
        <v>301</v>
      </c>
      <c r="I23" s="2" t="s">
        <v>190</v>
      </c>
      <c r="J23" s="2" t="s">
        <v>302</v>
      </c>
      <c r="K23" s="2" t="s">
        <v>192</v>
      </c>
      <c r="L23" s="2" t="s">
        <v>303</v>
      </c>
      <c r="M23" s="2" t="s">
        <v>194</v>
      </c>
      <c r="N23" s="1">
        <v>1</v>
      </c>
      <c r="O23" s="3">
        <v>44733.354166666701</v>
      </c>
      <c r="P23" s="2" t="s">
        <v>42</v>
      </c>
      <c r="Q23" s="3">
        <v>46176.680555555598</v>
      </c>
      <c r="R23" s="2" t="s">
        <v>38</v>
      </c>
      <c r="S23" s="32"/>
      <c r="T23" s="1" t="s">
        <v>5</v>
      </c>
    </row>
    <row r="24" spans="2:20">
      <c r="B24" s="2" t="s">
        <v>304</v>
      </c>
      <c r="C24" s="2" t="s">
        <v>305</v>
      </c>
      <c r="D24" s="2" t="s">
        <v>5</v>
      </c>
      <c r="E24" s="2" t="s">
        <v>306</v>
      </c>
      <c r="F24" s="2" t="s">
        <v>307</v>
      </c>
      <c r="G24" s="2" t="s">
        <v>308</v>
      </c>
      <c r="H24" s="2" t="s">
        <v>309</v>
      </c>
      <c r="I24" s="2" t="s">
        <v>310</v>
      </c>
      <c r="J24" s="2" t="s">
        <v>311</v>
      </c>
      <c r="K24" s="2" t="s">
        <v>192</v>
      </c>
      <c r="L24" s="2" t="s">
        <v>312</v>
      </c>
      <c r="M24" s="2" t="s">
        <v>194</v>
      </c>
      <c r="N24" s="1">
        <v>1</v>
      </c>
      <c r="O24" s="3">
        <v>44834.496527777803</v>
      </c>
      <c r="P24" s="2" t="s">
        <v>38</v>
      </c>
      <c r="Q24" s="3">
        <v>46046.572916666701</v>
      </c>
      <c r="R24" s="2" t="s">
        <v>39</v>
      </c>
      <c r="S24" s="32"/>
      <c r="T24" s="1" t="s">
        <v>5</v>
      </c>
    </row>
    <row r="25" spans="2:20">
      <c r="B25" s="2" t="s">
        <v>313</v>
      </c>
      <c r="C25" s="2" t="s">
        <v>314</v>
      </c>
      <c r="D25" s="2" t="s">
        <v>5</v>
      </c>
      <c r="E25" s="2" t="s">
        <v>315</v>
      </c>
      <c r="F25" s="2" t="s">
        <v>316</v>
      </c>
      <c r="G25" s="2" t="s">
        <v>317</v>
      </c>
      <c r="H25" s="2" t="s">
        <v>318</v>
      </c>
      <c r="I25" s="2" t="s">
        <v>5</v>
      </c>
      <c r="J25" s="2" t="s">
        <v>319</v>
      </c>
      <c r="K25" s="2" t="s">
        <v>192</v>
      </c>
      <c r="L25" s="2" t="s">
        <v>320</v>
      </c>
      <c r="M25" s="2" t="s">
        <v>194</v>
      </c>
      <c r="N25" s="1">
        <v>1</v>
      </c>
      <c r="O25" s="3">
        <v>44943.552083333299</v>
      </c>
      <c r="P25" s="2" t="s">
        <v>39</v>
      </c>
      <c r="Q25" s="3">
        <v>46171.427083333299</v>
      </c>
      <c r="R25" s="2" t="s">
        <v>49</v>
      </c>
      <c r="S25" s="32"/>
      <c r="T25" s="1" t="s">
        <v>5</v>
      </c>
    </row>
    <row r="26" spans="2:20">
      <c r="B26" s="2" t="s">
        <v>321</v>
      </c>
      <c r="C26" s="2" t="s">
        <v>322</v>
      </c>
      <c r="D26" s="2" t="s">
        <v>5</v>
      </c>
      <c r="E26" s="2" t="s">
        <v>323</v>
      </c>
      <c r="F26" s="2" t="s">
        <v>324</v>
      </c>
      <c r="G26" s="2" t="s">
        <v>325</v>
      </c>
      <c r="H26" s="2" t="s">
        <v>326</v>
      </c>
      <c r="I26" s="2" t="s">
        <v>5</v>
      </c>
      <c r="J26" s="2" t="s">
        <v>191</v>
      </c>
      <c r="K26" s="2" t="s">
        <v>192</v>
      </c>
      <c r="L26" s="2" t="s">
        <v>327</v>
      </c>
      <c r="M26" s="2" t="s">
        <v>194</v>
      </c>
      <c r="N26" s="1">
        <v>1</v>
      </c>
      <c r="O26" s="3">
        <v>45042.378472222197</v>
      </c>
      <c r="P26" s="2" t="s">
        <v>49</v>
      </c>
      <c r="Q26" s="3">
        <v>46060.399305555598</v>
      </c>
      <c r="R26" s="2" t="s">
        <v>42</v>
      </c>
      <c r="S26" s="32"/>
      <c r="T26" s="1" t="s">
        <v>5</v>
      </c>
    </row>
    <row r="27" spans="2:20">
      <c r="B27" s="2" t="s">
        <v>328</v>
      </c>
      <c r="C27" s="2" t="s">
        <v>329</v>
      </c>
      <c r="D27" s="2" t="s">
        <v>5</v>
      </c>
      <c r="E27" s="2" t="s">
        <v>330</v>
      </c>
      <c r="F27" s="2" t="s">
        <v>331</v>
      </c>
      <c r="G27" s="2" t="s">
        <v>332</v>
      </c>
      <c r="H27" s="2" t="s">
        <v>333</v>
      </c>
      <c r="I27" s="2" t="s">
        <v>334</v>
      </c>
      <c r="J27" s="2" t="s">
        <v>335</v>
      </c>
      <c r="K27" s="2" t="s">
        <v>192</v>
      </c>
      <c r="L27" s="2" t="s">
        <v>336</v>
      </c>
      <c r="M27" s="2" t="s">
        <v>194</v>
      </c>
      <c r="N27" s="1">
        <v>1</v>
      </c>
      <c r="O27" s="3">
        <v>45145.65625</v>
      </c>
      <c r="P27" s="2" t="s">
        <v>42</v>
      </c>
      <c r="Q27" s="3">
        <v>46191.663194444402</v>
      </c>
      <c r="R27" s="2" t="s">
        <v>38</v>
      </c>
      <c r="S27" s="32"/>
      <c r="T27" s="1" t="s">
        <v>5</v>
      </c>
    </row>
    <row r="28" spans="2:20">
      <c r="B28" s="2" t="s">
        <v>337</v>
      </c>
      <c r="C28" s="2" t="s">
        <v>338</v>
      </c>
      <c r="D28" s="2" t="s">
        <v>5</v>
      </c>
      <c r="E28" s="2" t="s">
        <v>339</v>
      </c>
      <c r="F28" s="2" t="s">
        <v>340</v>
      </c>
      <c r="G28" s="2" t="s">
        <v>341</v>
      </c>
      <c r="H28" s="2" t="s">
        <v>342</v>
      </c>
      <c r="I28" s="2" t="s">
        <v>5</v>
      </c>
      <c r="J28" s="2" t="s">
        <v>343</v>
      </c>
      <c r="K28" s="2" t="s">
        <v>192</v>
      </c>
      <c r="L28" s="2" t="s">
        <v>344</v>
      </c>
      <c r="M28" s="2" t="s">
        <v>194</v>
      </c>
      <c r="N28" s="1">
        <v>1</v>
      </c>
      <c r="O28" s="3">
        <v>45250.430555555598</v>
      </c>
      <c r="P28" s="2" t="s">
        <v>38</v>
      </c>
      <c r="Q28" s="3">
        <v>46121.486111111102</v>
      </c>
      <c r="R28" s="2" t="s">
        <v>39</v>
      </c>
      <c r="S28" s="32"/>
      <c r="T28" s="1" t="s">
        <v>5</v>
      </c>
    </row>
    <row r="29" spans="2:20">
      <c r="B29" s="2" t="s">
        <v>345</v>
      </c>
      <c r="C29" s="2" t="s">
        <v>346</v>
      </c>
      <c r="D29" s="2" t="s">
        <v>5</v>
      </c>
      <c r="E29" s="2" t="s">
        <v>347</v>
      </c>
      <c r="F29" s="2" t="s">
        <v>348</v>
      </c>
      <c r="G29" s="2" t="s">
        <v>349</v>
      </c>
      <c r="H29" s="2" t="s">
        <v>350</v>
      </c>
      <c r="I29" s="2" t="s">
        <v>351</v>
      </c>
      <c r="J29" s="2" t="s">
        <v>352</v>
      </c>
      <c r="K29" s="2" t="s">
        <v>353</v>
      </c>
      <c r="L29" s="2" t="s">
        <v>354</v>
      </c>
      <c r="M29" s="2" t="s">
        <v>194</v>
      </c>
      <c r="N29" s="1">
        <v>0</v>
      </c>
      <c r="O29" s="3">
        <v>45334.368055555598</v>
      </c>
      <c r="P29" s="2" t="s">
        <v>39</v>
      </c>
      <c r="Q29" s="3">
        <v>46144.600694444402</v>
      </c>
      <c r="R29" s="2" t="s">
        <v>49</v>
      </c>
      <c r="S29" s="32"/>
      <c r="T29" s="1" t="s">
        <v>5</v>
      </c>
    </row>
    <row r="30" spans="2:20">
      <c r="B30" s="2" t="s">
        <v>355</v>
      </c>
      <c r="C30" s="2" t="s">
        <v>356</v>
      </c>
      <c r="D30" s="2" t="s">
        <v>5</v>
      </c>
      <c r="E30" s="2" t="s">
        <v>357</v>
      </c>
      <c r="F30" s="2" t="s">
        <v>358</v>
      </c>
      <c r="G30" s="2" t="s">
        <v>359</v>
      </c>
      <c r="H30" s="2" t="s">
        <v>360</v>
      </c>
      <c r="I30" s="2" t="s">
        <v>5</v>
      </c>
      <c r="J30" s="2" t="s">
        <v>361</v>
      </c>
      <c r="K30" s="2" t="s">
        <v>362</v>
      </c>
      <c r="L30" s="2" t="s">
        <v>363</v>
      </c>
      <c r="M30" s="2" t="s">
        <v>194</v>
      </c>
      <c r="N30" s="1">
        <v>1</v>
      </c>
      <c r="O30" s="3">
        <v>45440.607638888898</v>
      </c>
      <c r="P30" s="2" t="s">
        <v>49</v>
      </c>
      <c r="Q30" s="3">
        <v>46194.4375</v>
      </c>
      <c r="R30" s="2" t="s">
        <v>42</v>
      </c>
      <c r="S30" s="32"/>
      <c r="T30" s="1" t="s">
        <v>5</v>
      </c>
    </row>
    <row r="31" spans="2:20">
      <c r="B31" s="2" t="s">
        <v>364</v>
      </c>
      <c r="C31" s="2" t="s">
        <v>365</v>
      </c>
      <c r="D31" s="2" t="s">
        <v>5</v>
      </c>
      <c r="E31" s="2" t="s">
        <v>366</v>
      </c>
      <c r="F31" s="2" t="s">
        <v>367</v>
      </c>
      <c r="G31" s="2" t="s">
        <v>368</v>
      </c>
      <c r="H31" s="2" t="s">
        <v>369</v>
      </c>
      <c r="I31" s="2" t="s">
        <v>370</v>
      </c>
      <c r="J31" s="2" t="s">
        <v>371</v>
      </c>
      <c r="K31" s="2" t="s">
        <v>372</v>
      </c>
      <c r="L31" s="2" t="s">
        <v>373</v>
      </c>
      <c r="M31" s="2" t="s">
        <v>194</v>
      </c>
      <c r="N31" s="1">
        <v>1</v>
      </c>
      <c r="O31" s="3">
        <v>45544.506944444402</v>
      </c>
      <c r="P31" s="2" t="s">
        <v>42</v>
      </c>
      <c r="Q31" s="3">
        <v>46053.364583333299</v>
      </c>
      <c r="R31" s="2" t="s">
        <v>38</v>
      </c>
      <c r="S31" s="32"/>
      <c r="T31" s="1" t="s">
        <v>5</v>
      </c>
    </row>
    <row r="32" spans="2:20">
      <c r="B32" s="2" t="s">
        <v>374</v>
      </c>
      <c r="C32" s="2" t="s">
        <v>375</v>
      </c>
      <c r="D32" s="2" t="s">
        <v>5</v>
      </c>
      <c r="E32" s="2" t="s">
        <v>376</v>
      </c>
      <c r="F32" s="2" t="s">
        <v>377</v>
      </c>
      <c r="G32" s="2" t="s">
        <v>378</v>
      </c>
      <c r="H32" s="2" t="s">
        <v>379</v>
      </c>
      <c r="I32" s="2" t="s">
        <v>380</v>
      </c>
      <c r="J32" s="2" t="s">
        <v>381</v>
      </c>
      <c r="K32" s="2" t="s">
        <v>382</v>
      </c>
      <c r="L32" s="2" t="s">
        <v>383</v>
      </c>
      <c r="M32" s="2" t="s">
        <v>194</v>
      </c>
      <c r="N32" s="1">
        <v>1</v>
      </c>
      <c r="O32" s="3">
        <v>45644.402777777803</v>
      </c>
      <c r="P32" s="2" t="s">
        <v>38</v>
      </c>
      <c r="Q32" s="3">
        <v>46198.548611111102</v>
      </c>
      <c r="R32" s="2" t="s">
        <v>39</v>
      </c>
      <c r="S32" s="32"/>
      <c r="T32" s="1" t="s">
        <v>5</v>
      </c>
    </row>
    <row r="33" spans="2:20">
      <c r="B33" s="2" t="s">
        <v>384</v>
      </c>
      <c r="C33" s="2" t="s">
        <v>385</v>
      </c>
      <c r="D33" s="2" t="s">
        <v>5</v>
      </c>
      <c r="E33" s="2" t="s">
        <v>386</v>
      </c>
      <c r="F33" s="2" t="s">
        <v>387</v>
      </c>
      <c r="G33" s="2" t="s">
        <v>388</v>
      </c>
      <c r="H33" s="2" t="s">
        <v>389</v>
      </c>
      <c r="I33" s="2" t="s">
        <v>390</v>
      </c>
      <c r="J33" s="2" t="s">
        <v>391</v>
      </c>
      <c r="K33" s="2" t="s">
        <v>392</v>
      </c>
      <c r="L33" s="2" t="s">
        <v>393</v>
      </c>
      <c r="M33" s="2" t="s">
        <v>194</v>
      </c>
      <c r="N33" s="1">
        <v>1</v>
      </c>
      <c r="O33" s="3">
        <v>45693.479166666701</v>
      </c>
      <c r="P33" s="2" t="s">
        <v>39</v>
      </c>
      <c r="Q33" s="3">
        <v>46159.392361111102</v>
      </c>
      <c r="R33" s="2" t="s">
        <v>49</v>
      </c>
      <c r="S33" s="32"/>
      <c r="T33" s="1" t="s">
        <v>5</v>
      </c>
    </row>
    <row r="34" spans="2:20">
      <c r="B34" s="2" t="s">
        <v>394</v>
      </c>
      <c r="C34" s="2" t="s">
        <v>395</v>
      </c>
      <c r="D34" s="2" t="s">
        <v>5</v>
      </c>
      <c r="E34" s="2" t="s">
        <v>396</v>
      </c>
      <c r="F34" s="2" t="s">
        <v>397</v>
      </c>
      <c r="G34" s="2" t="s">
        <v>398</v>
      </c>
      <c r="H34" s="2" t="s">
        <v>399</v>
      </c>
      <c r="I34" s="2" t="s">
        <v>5</v>
      </c>
      <c r="J34" s="2" t="s">
        <v>400</v>
      </c>
      <c r="K34" s="2" t="s">
        <v>401</v>
      </c>
      <c r="L34" s="2" t="s">
        <v>402</v>
      </c>
      <c r="M34" s="2" t="s">
        <v>194</v>
      </c>
      <c r="N34" s="1">
        <v>1</v>
      </c>
      <c r="O34" s="3">
        <v>45791.684027777803</v>
      </c>
      <c r="P34" s="2" t="s">
        <v>49</v>
      </c>
      <c r="Q34" s="3">
        <v>46201.534722222197</v>
      </c>
      <c r="R34" s="2" t="s">
        <v>42</v>
      </c>
      <c r="S34" s="32"/>
      <c r="T34" s="1" t="s">
        <v>5</v>
      </c>
    </row>
    <row r="35" spans="2:20">
      <c r="B35" s="2" t="s">
        <v>403</v>
      </c>
      <c r="C35" s="2" t="s">
        <v>404</v>
      </c>
      <c r="D35" s="2" t="s">
        <v>5</v>
      </c>
      <c r="E35" s="2" t="s">
        <v>405</v>
      </c>
      <c r="F35" s="2" t="s">
        <v>406</v>
      </c>
      <c r="G35" s="2" t="s">
        <v>407</v>
      </c>
      <c r="H35" s="2" t="s">
        <v>408</v>
      </c>
      <c r="I35" s="2" t="s">
        <v>409</v>
      </c>
      <c r="J35" s="2" t="s">
        <v>410</v>
      </c>
      <c r="K35" s="2" t="s">
        <v>411</v>
      </c>
      <c r="L35" s="2" t="s">
        <v>412</v>
      </c>
      <c r="M35" s="2" t="s">
        <v>194</v>
      </c>
      <c r="N35" s="1">
        <v>1</v>
      </c>
      <c r="O35" s="3">
        <v>45891.427083333299</v>
      </c>
      <c r="P35" s="2" t="s">
        <v>42</v>
      </c>
      <c r="Q35" s="3">
        <v>46203.670138888898</v>
      </c>
      <c r="R35" s="2" t="s">
        <v>38</v>
      </c>
      <c r="S35" s="32"/>
      <c r="T35" s="1" t="s">
        <v>5</v>
      </c>
    </row>
    <row r="36" spans="2:20">
      <c r="B36" s="2" t="s">
        <v>413</v>
      </c>
      <c r="C36" s="2" t="s">
        <v>414</v>
      </c>
      <c r="D36" s="2" t="s">
        <v>5</v>
      </c>
      <c r="E36" s="2" t="s">
        <v>415</v>
      </c>
      <c r="F36" s="2" t="s">
        <v>416</v>
      </c>
      <c r="G36" s="2" t="s">
        <v>417</v>
      </c>
      <c r="H36" s="2" t="s">
        <v>418</v>
      </c>
      <c r="I36" s="2" t="s">
        <v>419</v>
      </c>
      <c r="J36" s="2" t="s">
        <v>420</v>
      </c>
      <c r="K36" s="2" t="s">
        <v>421</v>
      </c>
      <c r="L36" s="2" t="s">
        <v>422</v>
      </c>
      <c r="M36" s="2" t="s">
        <v>194</v>
      </c>
      <c r="N36" s="1">
        <v>0</v>
      </c>
      <c r="O36" s="3">
        <v>45967.545138888898</v>
      </c>
      <c r="P36" s="2" t="s">
        <v>38</v>
      </c>
      <c r="Q36" s="3">
        <v>46205.430555555598</v>
      </c>
      <c r="R36" s="2" t="s">
        <v>39</v>
      </c>
      <c r="S36" s="32"/>
      <c r="T36" s="1" t="s">
        <v>5</v>
      </c>
    </row>
    <row r="37" spans="2:20">
      <c r="B37" s="2" t="s">
        <v>423</v>
      </c>
      <c r="C37" s="2" t="s">
        <v>424</v>
      </c>
      <c r="D37" s="2" t="s">
        <v>5</v>
      </c>
      <c r="E37" s="2" t="s">
        <v>425</v>
      </c>
      <c r="F37" s="2" t="s">
        <v>426</v>
      </c>
      <c r="G37" s="2" t="s">
        <v>427</v>
      </c>
      <c r="H37" s="2" t="s">
        <v>428</v>
      </c>
      <c r="I37" s="2" t="s">
        <v>429</v>
      </c>
      <c r="J37" s="2" t="s">
        <v>430</v>
      </c>
      <c r="K37" s="2" t="s">
        <v>431</v>
      </c>
      <c r="L37" s="2" t="s">
        <v>432</v>
      </c>
      <c r="M37" s="2" t="s">
        <v>194</v>
      </c>
      <c r="N37" s="1">
        <v>1</v>
      </c>
      <c r="O37" s="3">
        <v>46051.388888888898</v>
      </c>
      <c r="P37" s="2" t="s">
        <v>39</v>
      </c>
      <c r="Q37" s="3">
        <v>46199.482638888898</v>
      </c>
      <c r="R37" s="2" t="s">
        <v>49</v>
      </c>
      <c r="S37" s="32"/>
      <c r="T3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R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R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3"/>
  <sheetViews>
    <sheetView zoomScale="85" zoomScaleNormal="85" workbookViewId="0">
      <pane xSplit="3" ySplit="7" topLeftCell="D8" activePane="bottomRight" state="frozenSplit"/>
      <selection activeCell="D11" sqref="D11"/>
      <selection pane="topRight" activeCell="D11" sqref="D11"/>
      <selection pane="bottomLeft" activeCell="D11" sqref="D11"/>
      <selection pane="bottomRight" activeCell="D8" sqref="D8"/>
    </sheetView>
  </sheetViews>
  <sheetFormatPr defaultColWidth="9.1796875" defaultRowHeight="14.5"/>
  <cols>
    <col min="1" max="1" width="18.7265625" style="1" customWidth="1"/>
    <col min="2" max="2" width="20" style="2" customWidth="1"/>
    <col min="3" max="3" width="40.6328125" style="2" customWidth="1"/>
    <col min="4" max="4" width="16.7265625" style="2" customWidth="1"/>
    <col min="5" max="5" width="25.26953125" style="2" customWidth="1"/>
    <col min="6" max="8" width="14.7265625" style="1" customWidth="1"/>
    <col min="9" max="9" width="21.6328125" style="30" customWidth="1"/>
    <col min="10" max="10" width="20.36328125" style="30" customWidth="1"/>
    <col min="11" max="11" width="16.7265625" style="2" customWidth="1"/>
    <col min="12" max="12" width="11.453125" style="1" customWidth="1"/>
    <col min="13" max="13" width="22.7265625" style="3" customWidth="1"/>
    <col min="14" max="14" width="30.7265625" style="2" customWidth="1"/>
    <col min="15" max="15" width="22.7265625" style="3" customWidth="1"/>
    <col min="16" max="16" width="30.7265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4" customFormat="1">
      <c r="A1" s="5" t="s">
        <v>433</v>
      </c>
      <c r="B1" s="6" t="s">
        <v>434</v>
      </c>
      <c r="C1" s="7" t="s">
        <v>435</v>
      </c>
      <c r="D1" s="6" t="s">
        <v>437</v>
      </c>
      <c r="E1" s="9"/>
      <c r="I1" s="26"/>
      <c r="J1" s="26"/>
      <c r="K1" s="9"/>
      <c r="M1" s="8"/>
      <c r="N1" s="9"/>
      <c r="O1" s="8"/>
      <c r="P1" s="9"/>
    </row>
    <row r="2" spans="1:18" s="4" customFormat="1">
      <c r="A2" s="5" t="s">
        <v>436</v>
      </c>
      <c r="B2" s="31"/>
      <c r="C2" s="9"/>
      <c r="D2" s="9"/>
      <c r="E2" s="9"/>
      <c r="I2" s="26"/>
      <c r="J2" s="26"/>
      <c r="K2" s="9"/>
      <c r="M2" s="8"/>
      <c r="N2" s="9"/>
      <c r="O2" s="8"/>
      <c r="P2" s="9"/>
    </row>
    <row r="3" spans="1:18" s="4" customFormat="1" ht="29" customHeight="1">
      <c r="A3" s="10" t="s">
        <v>438</v>
      </c>
      <c r="B3" s="11" t="s">
        <v>439</v>
      </c>
      <c r="C3" s="12" t="s">
        <v>440</v>
      </c>
      <c r="D3" s="12" t="s">
        <v>441</v>
      </c>
      <c r="E3" s="12" t="s">
        <v>442</v>
      </c>
      <c r="F3" s="22" t="s">
        <v>443</v>
      </c>
      <c r="G3" s="22" t="s">
        <v>444</v>
      </c>
      <c r="H3" s="22" t="s">
        <v>445</v>
      </c>
      <c r="I3" s="27" t="s">
        <v>446</v>
      </c>
      <c r="J3" s="27" t="s">
        <v>447</v>
      </c>
      <c r="K3" s="12" t="s">
        <v>448</v>
      </c>
      <c r="L3" s="22" t="s">
        <v>66</v>
      </c>
      <c r="M3" s="13" t="s">
        <v>10</v>
      </c>
      <c r="N3" s="12" t="s">
        <v>11</v>
      </c>
      <c r="O3" s="13" t="s">
        <v>12</v>
      </c>
      <c r="P3" s="12" t="s">
        <v>13</v>
      </c>
      <c r="Q3" s="14" t="s">
        <v>449</v>
      </c>
      <c r="R3" s="14" t="s">
        <v>450</v>
      </c>
    </row>
    <row r="4" spans="1:18" s="4" customFormat="1" ht="18.5" customHeight="1">
      <c r="A4" s="10" t="s">
        <v>451</v>
      </c>
      <c r="B4" s="11" t="s">
        <v>453</v>
      </c>
      <c r="C4" s="12" t="s">
        <v>454</v>
      </c>
      <c r="D4" s="12" t="s">
        <v>455</v>
      </c>
      <c r="E4" s="12" t="s">
        <v>456</v>
      </c>
      <c r="F4" s="16" t="s">
        <v>452</v>
      </c>
      <c r="G4" s="16" t="s">
        <v>457</v>
      </c>
      <c r="H4" s="16" t="s">
        <v>459</v>
      </c>
      <c r="I4" s="28" t="s">
        <v>460</v>
      </c>
      <c r="J4" s="28" t="s">
        <v>461</v>
      </c>
      <c r="K4" s="12" t="s">
        <v>462</v>
      </c>
      <c r="L4" s="16" t="s">
        <v>458</v>
      </c>
      <c r="M4" s="15" t="s">
        <v>463</v>
      </c>
      <c r="N4" s="12" t="s">
        <v>464</v>
      </c>
      <c r="O4" s="15" t="s">
        <v>465</v>
      </c>
      <c r="P4" s="12" t="s">
        <v>466</v>
      </c>
      <c r="Q4" s="16"/>
      <c r="R4" s="16"/>
    </row>
    <row r="5" spans="1:18" s="4" customFormat="1">
      <c r="A5" s="10" t="s">
        <v>467</v>
      </c>
      <c r="B5" s="11" t="s">
        <v>72</v>
      </c>
      <c r="C5" s="12" t="s">
        <v>182</v>
      </c>
      <c r="D5" s="12" t="s">
        <v>468</v>
      </c>
      <c r="E5" s="12" t="s">
        <v>28</v>
      </c>
      <c r="F5" s="22" t="s">
        <v>75</v>
      </c>
      <c r="G5" s="22" t="s">
        <v>75</v>
      </c>
      <c r="H5" s="22" t="s">
        <v>469</v>
      </c>
      <c r="I5" s="27" t="s">
        <v>470</v>
      </c>
      <c r="J5" s="27" t="s">
        <v>470</v>
      </c>
      <c r="K5" s="12" t="s">
        <v>471</v>
      </c>
      <c r="L5" s="22" t="s">
        <v>75</v>
      </c>
      <c r="M5" s="13" t="s">
        <v>27</v>
      </c>
      <c r="N5" s="12" t="s">
        <v>28</v>
      </c>
      <c r="O5" s="13" t="s">
        <v>27</v>
      </c>
      <c r="P5" s="12" t="s">
        <v>28</v>
      </c>
      <c r="Q5" s="16"/>
      <c r="R5" s="16"/>
    </row>
    <row r="6" spans="1:18" s="4" customFormat="1">
      <c r="A6" s="5" t="s">
        <v>472</v>
      </c>
      <c r="B6" s="11" t="s">
        <v>30</v>
      </c>
      <c r="C6" s="12" t="s">
        <v>5</v>
      </c>
      <c r="D6" s="12" t="s">
        <v>5</v>
      </c>
      <c r="E6" s="12" t="s">
        <v>31</v>
      </c>
      <c r="F6" s="22" t="s">
        <v>32</v>
      </c>
      <c r="G6" s="22" t="s">
        <v>32</v>
      </c>
      <c r="H6" s="22" t="s">
        <v>31</v>
      </c>
      <c r="I6" s="27" t="s">
        <v>32</v>
      </c>
      <c r="J6" s="27" t="s">
        <v>32</v>
      </c>
      <c r="K6" s="12" t="s">
        <v>32</v>
      </c>
      <c r="L6" s="22" t="s">
        <v>32</v>
      </c>
      <c r="M6" s="13" t="s">
        <v>32</v>
      </c>
      <c r="N6" s="12" t="s">
        <v>5</v>
      </c>
      <c r="O6" s="13" t="s">
        <v>32</v>
      </c>
      <c r="P6" s="12" t="s">
        <v>5</v>
      </c>
      <c r="Q6" s="16"/>
      <c r="R6" s="16"/>
    </row>
    <row r="7" spans="1:18">
      <c r="A7" s="17" t="s">
        <v>473</v>
      </c>
      <c r="B7" s="18" t="s">
        <v>34</v>
      </c>
      <c r="C7" s="19" t="s">
        <v>34</v>
      </c>
      <c r="D7" s="19" t="s">
        <v>34</v>
      </c>
      <c r="E7" s="19" t="s">
        <v>34</v>
      </c>
      <c r="F7" s="23" t="s">
        <v>34</v>
      </c>
      <c r="G7" s="23" t="s">
        <v>34</v>
      </c>
      <c r="H7" s="23" t="s">
        <v>34</v>
      </c>
      <c r="I7" s="29" t="s">
        <v>34</v>
      </c>
      <c r="J7" s="29" t="s">
        <v>34</v>
      </c>
      <c r="K7" s="19" t="s">
        <v>34</v>
      </c>
      <c r="L7" s="23" t="s">
        <v>34</v>
      </c>
      <c r="M7" s="20" t="s">
        <v>34</v>
      </c>
      <c r="N7" s="19" t="s">
        <v>34</v>
      </c>
      <c r="O7" s="20" t="s">
        <v>34</v>
      </c>
      <c r="P7" s="19" t="s">
        <v>34</v>
      </c>
      <c r="Q7" s="21"/>
      <c r="R7" s="21"/>
    </row>
    <row r="8" spans="1:18">
      <c r="B8" s="2" t="s">
        <v>474</v>
      </c>
      <c r="C8" s="2" t="s">
        <v>475</v>
      </c>
      <c r="D8" s="2" t="s">
        <v>476</v>
      </c>
      <c r="E8" s="2" t="s">
        <v>477</v>
      </c>
      <c r="F8" s="1">
        <v>1</v>
      </c>
      <c r="G8" s="1">
        <v>1</v>
      </c>
      <c r="I8" s="30">
        <v>90</v>
      </c>
      <c r="J8" s="30">
        <v>250</v>
      </c>
      <c r="K8" s="2" t="s">
        <v>478</v>
      </c>
      <c r="L8" s="1">
        <v>1</v>
      </c>
      <c r="M8" s="3">
        <f t="shared" ref="M8:M37" ca="1" si="0">NOW()</f>
        <v>46217.730645138887</v>
      </c>
      <c r="N8" s="2" t="s">
        <v>479</v>
      </c>
      <c r="O8" s="3">
        <f t="shared" ref="O8:O37" ca="1" si="1">M8</f>
        <v>46217.730645138887</v>
      </c>
      <c r="P8" s="2" t="str">
        <f t="shared" ref="P8:P37" si="2">N8</f>
        <v>sys_operator</v>
      </c>
      <c r="Q8" s="32"/>
      <c r="R8" s="1" t="s">
        <v>5</v>
      </c>
    </row>
    <row r="9" spans="1:18">
      <c r="B9" s="2" t="s">
        <v>480</v>
      </c>
      <c r="C9" s="2" t="s">
        <v>481</v>
      </c>
      <c r="D9" s="2" t="s">
        <v>476</v>
      </c>
      <c r="E9" s="2" t="s">
        <v>483</v>
      </c>
      <c r="F9" s="1">
        <v>1</v>
      </c>
      <c r="G9" s="1">
        <v>1</v>
      </c>
      <c r="I9" s="30">
        <v>105</v>
      </c>
      <c r="J9" s="30">
        <v>305</v>
      </c>
      <c r="K9" s="2" t="s">
        <v>478</v>
      </c>
      <c r="L9" s="1">
        <v>1</v>
      </c>
      <c r="M9" s="3">
        <f t="shared" ca="1" si="0"/>
        <v>46217.730645138887</v>
      </c>
      <c r="N9" s="2" t="s">
        <v>42</v>
      </c>
      <c r="O9" s="3">
        <f t="shared" ca="1" si="1"/>
        <v>46217.730645138887</v>
      </c>
      <c r="P9" s="2" t="str">
        <f t="shared" si="2"/>
        <v>sys_operator</v>
      </c>
      <c r="Q9" s="32"/>
      <c r="R9" s="1" t="s">
        <v>5</v>
      </c>
    </row>
    <row r="10" spans="1:18">
      <c r="B10" s="2" t="s">
        <v>484</v>
      </c>
      <c r="C10" s="2" t="s">
        <v>482</v>
      </c>
      <c r="D10" s="2" t="s">
        <v>476</v>
      </c>
      <c r="E10" s="2" t="s">
        <v>486</v>
      </c>
      <c r="F10" s="1">
        <v>1</v>
      </c>
      <c r="G10" s="1">
        <v>1</v>
      </c>
      <c r="I10" s="30">
        <v>125</v>
      </c>
      <c r="J10" s="30">
        <v>355</v>
      </c>
      <c r="K10" s="2" t="s">
        <v>478</v>
      </c>
      <c r="L10" s="1">
        <v>1</v>
      </c>
      <c r="M10" s="3">
        <f t="shared" ca="1" si="0"/>
        <v>46217.730645138887</v>
      </c>
      <c r="N10" s="2" t="s">
        <v>42</v>
      </c>
      <c r="O10" s="3">
        <f t="shared" ca="1" si="1"/>
        <v>46217.730645138887</v>
      </c>
      <c r="P10" s="2" t="str">
        <f t="shared" si="2"/>
        <v>sys_operator</v>
      </c>
      <c r="Q10" s="32"/>
      <c r="R10" s="1" t="s">
        <v>5</v>
      </c>
    </row>
    <row r="11" spans="1:18" ht="29" customHeight="1">
      <c r="B11" s="2" t="s">
        <v>487</v>
      </c>
      <c r="C11" s="2" t="s">
        <v>485</v>
      </c>
      <c r="D11" s="2" t="s">
        <v>476</v>
      </c>
      <c r="E11" s="2" t="s">
        <v>477</v>
      </c>
      <c r="F11" s="1">
        <v>1</v>
      </c>
      <c r="G11" s="1">
        <v>1</v>
      </c>
      <c r="I11" s="30">
        <v>55</v>
      </c>
      <c r="J11" s="30">
        <v>180</v>
      </c>
      <c r="K11" s="2" t="s">
        <v>478</v>
      </c>
      <c r="L11" s="1">
        <v>1</v>
      </c>
      <c r="M11" s="3">
        <f t="shared" ca="1" si="0"/>
        <v>46217.730645138887</v>
      </c>
      <c r="N11" s="2" t="s">
        <v>42</v>
      </c>
      <c r="O11" s="3">
        <f t="shared" ca="1" si="1"/>
        <v>46217.730645138887</v>
      </c>
      <c r="P11" s="2" t="str">
        <f t="shared" si="2"/>
        <v>sys_operator</v>
      </c>
      <c r="Q11" s="32"/>
      <c r="R11" s="1" t="s">
        <v>5</v>
      </c>
    </row>
    <row r="12" spans="1:18" ht="29" customHeight="1">
      <c r="B12" s="2" t="s">
        <v>489</v>
      </c>
      <c r="C12" s="2" t="s">
        <v>488</v>
      </c>
      <c r="D12" s="2" t="s">
        <v>476</v>
      </c>
      <c r="E12" s="2" t="s">
        <v>483</v>
      </c>
      <c r="F12" s="1">
        <v>1</v>
      </c>
      <c r="G12" s="1">
        <v>1</v>
      </c>
      <c r="I12" s="30">
        <v>70</v>
      </c>
      <c r="J12" s="30">
        <v>230</v>
      </c>
      <c r="K12" s="2" t="s">
        <v>478</v>
      </c>
      <c r="L12" s="1">
        <v>1</v>
      </c>
      <c r="M12" s="3">
        <f t="shared" ca="1" si="0"/>
        <v>46217.730645138887</v>
      </c>
      <c r="N12" s="2" t="s">
        <v>42</v>
      </c>
      <c r="O12" s="3">
        <f t="shared" ca="1" si="1"/>
        <v>46217.730645138887</v>
      </c>
      <c r="P12" s="2" t="str">
        <f t="shared" si="2"/>
        <v>sys_operator</v>
      </c>
      <c r="Q12" s="32"/>
      <c r="R12" s="1" t="s">
        <v>5</v>
      </c>
    </row>
    <row r="13" spans="1:18" ht="29" customHeight="1">
      <c r="B13" s="2" t="s">
        <v>491</v>
      </c>
      <c r="C13" s="2" t="s">
        <v>490</v>
      </c>
      <c r="D13" s="2" t="s">
        <v>476</v>
      </c>
      <c r="E13" s="2" t="s">
        <v>486</v>
      </c>
      <c r="F13" s="1">
        <v>1</v>
      </c>
      <c r="G13" s="1">
        <v>1</v>
      </c>
      <c r="I13" s="30">
        <v>90</v>
      </c>
      <c r="J13" s="30">
        <v>285</v>
      </c>
      <c r="K13" s="2" t="s">
        <v>478</v>
      </c>
      <c r="L13" s="1">
        <v>1</v>
      </c>
      <c r="M13" s="3">
        <f t="shared" ca="1" si="0"/>
        <v>46217.730645138887</v>
      </c>
      <c r="N13" s="2" t="s">
        <v>42</v>
      </c>
      <c r="O13" s="3">
        <f t="shared" ca="1" si="1"/>
        <v>46217.730645138887</v>
      </c>
      <c r="P13" s="2" t="str">
        <f t="shared" si="2"/>
        <v>sys_operator</v>
      </c>
      <c r="Q13" s="32"/>
      <c r="R13" s="1" t="s">
        <v>5</v>
      </c>
    </row>
    <row r="14" spans="1:18" ht="29" customHeight="1">
      <c r="B14" s="2" t="s">
        <v>493</v>
      </c>
      <c r="C14" s="2" t="s">
        <v>492</v>
      </c>
      <c r="D14" s="2" t="s">
        <v>494</v>
      </c>
      <c r="F14" s="1">
        <v>1</v>
      </c>
      <c r="G14" s="1">
        <v>1</v>
      </c>
      <c r="I14" s="30">
        <v>90</v>
      </c>
      <c r="J14" s="30">
        <v>250</v>
      </c>
      <c r="K14" s="2" t="s">
        <v>478</v>
      </c>
      <c r="L14" s="1">
        <v>1</v>
      </c>
      <c r="M14" s="3">
        <f t="shared" ca="1" si="0"/>
        <v>46217.730645138887</v>
      </c>
      <c r="N14" s="2" t="s">
        <v>42</v>
      </c>
      <c r="O14" s="3">
        <f t="shared" ca="1" si="1"/>
        <v>46217.730645138887</v>
      </c>
      <c r="P14" s="2" t="str">
        <f t="shared" si="2"/>
        <v>sys_operator</v>
      </c>
      <c r="Q14" s="32"/>
      <c r="R14" s="1" t="s">
        <v>5</v>
      </c>
    </row>
    <row r="15" spans="1:18" ht="29" customHeight="1">
      <c r="B15" s="2" t="s">
        <v>496</v>
      </c>
      <c r="C15" s="2" t="s">
        <v>495</v>
      </c>
      <c r="D15" s="2" t="s">
        <v>494</v>
      </c>
      <c r="F15" s="1">
        <v>1</v>
      </c>
      <c r="G15" s="1">
        <v>1</v>
      </c>
      <c r="I15" s="30">
        <v>105</v>
      </c>
      <c r="J15" s="30">
        <v>305</v>
      </c>
      <c r="K15" s="2" t="s">
        <v>478</v>
      </c>
      <c r="L15" s="1">
        <v>1</v>
      </c>
      <c r="M15" s="3">
        <f t="shared" ca="1" si="0"/>
        <v>46217.730645138887</v>
      </c>
      <c r="N15" s="2" t="s">
        <v>42</v>
      </c>
      <c r="O15" s="3">
        <f t="shared" ca="1" si="1"/>
        <v>46217.730645138887</v>
      </c>
      <c r="P15" s="2" t="str">
        <f t="shared" si="2"/>
        <v>sys_operator</v>
      </c>
      <c r="Q15" s="32"/>
      <c r="R15" s="1" t="s">
        <v>5</v>
      </c>
    </row>
    <row r="16" spans="1:18" ht="29" customHeight="1">
      <c r="B16" s="2" t="s">
        <v>497</v>
      </c>
      <c r="C16" s="2" t="s">
        <v>498</v>
      </c>
      <c r="D16" s="2" t="s">
        <v>494</v>
      </c>
      <c r="F16" s="1">
        <v>1</v>
      </c>
      <c r="G16" s="1">
        <v>1</v>
      </c>
      <c r="I16" s="30">
        <v>125</v>
      </c>
      <c r="J16" s="30">
        <v>355</v>
      </c>
      <c r="K16" s="2" t="s">
        <v>478</v>
      </c>
      <c r="L16" s="1">
        <v>1</v>
      </c>
      <c r="M16" s="3">
        <f t="shared" ca="1" si="0"/>
        <v>46217.730645138887</v>
      </c>
      <c r="N16" s="2" t="s">
        <v>42</v>
      </c>
      <c r="O16" s="3">
        <f t="shared" ca="1" si="1"/>
        <v>46217.730645138887</v>
      </c>
      <c r="P16" s="2" t="str">
        <f t="shared" si="2"/>
        <v>sys_operator</v>
      </c>
      <c r="Q16" s="32"/>
      <c r="R16" s="1" t="s">
        <v>5</v>
      </c>
    </row>
    <row r="17" spans="2:18" ht="29" customHeight="1">
      <c r="B17" s="2" t="s">
        <v>499</v>
      </c>
      <c r="C17" s="2" t="s">
        <v>500</v>
      </c>
      <c r="D17" s="2" t="s">
        <v>494</v>
      </c>
      <c r="F17" s="1">
        <v>1</v>
      </c>
      <c r="G17" s="1">
        <v>1</v>
      </c>
      <c r="I17" s="30">
        <v>70</v>
      </c>
      <c r="J17" s="30">
        <v>215</v>
      </c>
      <c r="K17" s="2" t="s">
        <v>478</v>
      </c>
      <c r="L17" s="1">
        <v>1</v>
      </c>
      <c r="M17" s="3">
        <f t="shared" ca="1" si="0"/>
        <v>46217.730645138887</v>
      </c>
      <c r="N17" s="2" t="s">
        <v>42</v>
      </c>
      <c r="O17" s="3">
        <f t="shared" ca="1" si="1"/>
        <v>46217.730645138887</v>
      </c>
      <c r="P17" s="2" t="str">
        <f t="shared" si="2"/>
        <v>sys_operator</v>
      </c>
      <c r="Q17" s="32"/>
      <c r="R17" s="1" t="s">
        <v>5</v>
      </c>
    </row>
    <row r="18" spans="2:18" ht="29" customHeight="1">
      <c r="B18" s="2" t="s">
        <v>501</v>
      </c>
      <c r="C18" s="2" t="s">
        <v>502</v>
      </c>
      <c r="D18" s="2" t="s">
        <v>494</v>
      </c>
      <c r="F18" s="1">
        <v>1</v>
      </c>
      <c r="G18" s="1">
        <v>1</v>
      </c>
      <c r="I18" s="30">
        <v>90</v>
      </c>
      <c r="J18" s="30">
        <v>285</v>
      </c>
      <c r="K18" s="2" t="s">
        <v>478</v>
      </c>
      <c r="L18" s="1">
        <v>1</v>
      </c>
      <c r="M18" s="3">
        <f t="shared" ca="1" si="0"/>
        <v>46217.730645138887</v>
      </c>
      <c r="N18" s="2" t="s">
        <v>42</v>
      </c>
      <c r="O18" s="3">
        <f t="shared" ca="1" si="1"/>
        <v>46217.730645138887</v>
      </c>
      <c r="P18" s="2" t="str">
        <f t="shared" si="2"/>
        <v>sys_operator</v>
      </c>
      <c r="Q18" s="32"/>
      <c r="R18" s="1" t="s">
        <v>5</v>
      </c>
    </row>
    <row r="19" spans="2:18" ht="29" customHeight="1">
      <c r="B19" s="2" t="s">
        <v>503</v>
      </c>
      <c r="C19" s="2" t="s">
        <v>504</v>
      </c>
      <c r="D19" s="2" t="s">
        <v>494</v>
      </c>
      <c r="F19" s="1">
        <v>1</v>
      </c>
      <c r="G19" s="1">
        <v>1</v>
      </c>
      <c r="I19" s="30">
        <v>105</v>
      </c>
      <c r="J19" s="30">
        <v>355</v>
      </c>
      <c r="K19" s="2" t="s">
        <v>478</v>
      </c>
      <c r="L19" s="1">
        <v>1</v>
      </c>
      <c r="M19" s="3">
        <f t="shared" ca="1" si="0"/>
        <v>46217.730645138887</v>
      </c>
      <c r="N19" s="2" t="s">
        <v>42</v>
      </c>
      <c r="O19" s="3">
        <f t="shared" ca="1" si="1"/>
        <v>46217.730645138887</v>
      </c>
      <c r="P19" s="2" t="str">
        <f t="shared" si="2"/>
        <v>sys_operator</v>
      </c>
      <c r="Q19" s="32"/>
      <c r="R19" s="1" t="s">
        <v>5</v>
      </c>
    </row>
    <row r="20" spans="2:18" ht="29" customHeight="1">
      <c r="B20" s="2" t="s">
        <v>505</v>
      </c>
      <c r="C20" s="2" t="s">
        <v>506</v>
      </c>
      <c r="D20" s="2" t="s">
        <v>507</v>
      </c>
      <c r="F20" s="1">
        <v>0</v>
      </c>
      <c r="G20" s="1">
        <v>0</v>
      </c>
      <c r="I20" s="30">
        <v>20</v>
      </c>
      <c r="J20" s="30">
        <v>105</v>
      </c>
      <c r="K20" s="2" t="s">
        <v>478</v>
      </c>
      <c r="L20" s="1">
        <v>1</v>
      </c>
      <c r="M20" s="3">
        <f t="shared" ca="1" si="0"/>
        <v>46217.730645138887</v>
      </c>
      <c r="N20" s="2" t="s">
        <v>42</v>
      </c>
      <c r="O20" s="3">
        <f t="shared" ca="1" si="1"/>
        <v>46217.730645138887</v>
      </c>
      <c r="P20" s="2" t="str">
        <f t="shared" si="2"/>
        <v>sys_operator</v>
      </c>
      <c r="Q20" s="32"/>
      <c r="R20" s="1" t="s">
        <v>5</v>
      </c>
    </row>
    <row r="21" spans="2:18" ht="29" customHeight="1">
      <c r="B21" s="2" t="s">
        <v>509</v>
      </c>
      <c r="C21" s="2" t="s">
        <v>508</v>
      </c>
      <c r="D21" s="2" t="s">
        <v>507</v>
      </c>
      <c r="F21" s="1">
        <v>0</v>
      </c>
      <c r="G21" s="1">
        <v>0</v>
      </c>
      <c r="I21" s="30">
        <v>35</v>
      </c>
      <c r="J21" s="30">
        <v>145</v>
      </c>
      <c r="K21" s="2" t="s">
        <v>478</v>
      </c>
      <c r="L21" s="1">
        <v>1</v>
      </c>
      <c r="M21" s="3">
        <f t="shared" ca="1" si="0"/>
        <v>46217.730645138887</v>
      </c>
      <c r="N21" s="2" t="s">
        <v>42</v>
      </c>
      <c r="O21" s="3">
        <f t="shared" ca="1" si="1"/>
        <v>46217.730645138887</v>
      </c>
      <c r="P21" s="2" t="str">
        <f t="shared" si="2"/>
        <v>sys_operator</v>
      </c>
      <c r="Q21" s="32"/>
      <c r="R21" s="1" t="s">
        <v>5</v>
      </c>
    </row>
    <row r="22" spans="2:18" ht="29" customHeight="1">
      <c r="B22" s="2" t="s">
        <v>511</v>
      </c>
      <c r="C22" s="2" t="s">
        <v>510</v>
      </c>
      <c r="D22" s="2" t="s">
        <v>507</v>
      </c>
      <c r="F22" s="1">
        <v>0</v>
      </c>
      <c r="G22" s="1">
        <v>0</v>
      </c>
      <c r="I22" s="30">
        <v>50</v>
      </c>
      <c r="J22" s="30">
        <v>180</v>
      </c>
      <c r="K22" s="2" t="s">
        <v>478</v>
      </c>
      <c r="L22" s="1">
        <v>1</v>
      </c>
      <c r="M22" s="3">
        <f t="shared" ca="1" si="0"/>
        <v>46217.730645138887</v>
      </c>
      <c r="N22" s="2" t="s">
        <v>42</v>
      </c>
      <c r="O22" s="3">
        <f t="shared" ca="1" si="1"/>
        <v>46217.730645138887</v>
      </c>
      <c r="P22" s="2" t="str">
        <f t="shared" si="2"/>
        <v>sys_operator</v>
      </c>
      <c r="Q22" s="32"/>
      <c r="R22" s="1" t="s">
        <v>5</v>
      </c>
    </row>
    <row r="23" spans="2:18" ht="29" customHeight="1">
      <c r="B23" s="2" t="s">
        <v>513</v>
      </c>
      <c r="C23" s="2" t="s">
        <v>512</v>
      </c>
      <c r="D23" s="2" t="s">
        <v>507</v>
      </c>
      <c r="F23" s="1">
        <v>1</v>
      </c>
      <c r="G23" s="1">
        <v>0</v>
      </c>
      <c r="I23" s="30">
        <v>45</v>
      </c>
      <c r="J23" s="30">
        <v>145</v>
      </c>
      <c r="K23" s="2" t="s">
        <v>478</v>
      </c>
      <c r="L23" s="1">
        <v>1</v>
      </c>
      <c r="M23" s="3">
        <f t="shared" ca="1" si="0"/>
        <v>46217.730645138887</v>
      </c>
      <c r="N23" s="2" t="s">
        <v>42</v>
      </c>
      <c r="O23" s="3">
        <f t="shared" ca="1" si="1"/>
        <v>46217.730645138887</v>
      </c>
      <c r="P23" s="2" t="str">
        <f t="shared" si="2"/>
        <v>sys_operator</v>
      </c>
      <c r="Q23" s="32"/>
      <c r="R23" s="1" t="s">
        <v>5</v>
      </c>
    </row>
    <row r="24" spans="2:18" ht="29" customHeight="1">
      <c r="B24" s="2" t="s">
        <v>515</v>
      </c>
      <c r="C24" s="2" t="s">
        <v>514</v>
      </c>
      <c r="D24" s="2" t="s">
        <v>507</v>
      </c>
      <c r="F24" s="1">
        <v>1</v>
      </c>
      <c r="G24" s="1">
        <v>0</v>
      </c>
      <c r="I24" s="30">
        <v>55</v>
      </c>
      <c r="J24" s="30">
        <v>215</v>
      </c>
      <c r="K24" s="2" t="s">
        <v>478</v>
      </c>
      <c r="L24" s="1">
        <v>1</v>
      </c>
      <c r="M24" s="3">
        <f t="shared" ca="1" si="0"/>
        <v>46217.730645138887</v>
      </c>
      <c r="N24" s="2" t="s">
        <v>42</v>
      </c>
      <c r="O24" s="3">
        <f t="shared" ca="1" si="1"/>
        <v>46217.730645138887</v>
      </c>
      <c r="P24" s="2" t="str">
        <f t="shared" si="2"/>
        <v>sys_operator</v>
      </c>
      <c r="Q24" s="32"/>
      <c r="R24" s="1" t="s">
        <v>5</v>
      </c>
    </row>
    <row r="25" spans="2:18" ht="29" customHeight="1">
      <c r="B25" s="2" t="s">
        <v>517</v>
      </c>
      <c r="C25" s="2" t="s">
        <v>516</v>
      </c>
      <c r="D25" s="2" t="s">
        <v>507</v>
      </c>
      <c r="F25" s="1">
        <v>1</v>
      </c>
      <c r="G25" s="1">
        <v>0</v>
      </c>
      <c r="I25" s="30">
        <v>85</v>
      </c>
      <c r="J25" s="30">
        <v>285</v>
      </c>
      <c r="K25" s="2" t="s">
        <v>478</v>
      </c>
      <c r="L25" s="1">
        <v>1</v>
      </c>
      <c r="M25" s="3">
        <f t="shared" ca="1" si="0"/>
        <v>46217.730645138887</v>
      </c>
      <c r="N25" s="2" t="s">
        <v>42</v>
      </c>
      <c r="O25" s="3">
        <f t="shared" ca="1" si="1"/>
        <v>46217.730645138887</v>
      </c>
      <c r="P25" s="2" t="str">
        <f t="shared" si="2"/>
        <v>sys_operator</v>
      </c>
      <c r="Q25" s="32"/>
      <c r="R25" s="1" t="s">
        <v>5</v>
      </c>
    </row>
    <row r="26" spans="2:18" ht="29" customHeight="1">
      <c r="B26" s="2" t="s">
        <v>519</v>
      </c>
      <c r="C26" s="2" t="s">
        <v>518</v>
      </c>
      <c r="D26" s="2" t="s">
        <v>507</v>
      </c>
      <c r="F26" s="1">
        <v>0</v>
      </c>
      <c r="G26" s="1">
        <v>0</v>
      </c>
      <c r="I26" s="30">
        <v>15</v>
      </c>
      <c r="J26" s="30">
        <v>70</v>
      </c>
      <c r="K26" s="2" t="s">
        <v>478</v>
      </c>
      <c r="L26" s="1">
        <v>1</v>
      </c>
      <c r="M26" s="3">
        <f t="shared" ca="1" si="0"/>
        <v>46217.730645138887</v>
      </c>
      <c r="N26" s="2" t="s">
        <v>42</v>
      </c>
      <c r="O26" s="3">
        <f t="shared" ca="1" si="1"/>
        <v>46217.730645138887</v>
      </c>
      <c r="P26" s="2" t="str">
        <f t="shared" si="2"/>
        <v>sys_operator</v>
      </c>
      <c r="Q26" s="32"/>
      <c r="R26" s="1" t="s">
        <v>5</v>
      </c>
    </row>
    <row r="27" spans="2:18" ht="29" customHeight="1">
      <c r="B27" s="2" t="s">
        <v>521</v>
      </c>
      <c r="C27" s="2" t="s">
        <v>520</v>
      </c>
      <c r="D27" s="2" t="s">
        <v>507</v>
      </c>
      <c r="F27" s="1">
        <v>0</v>
      </c>
      <c r="G27" s="1">
        <v>0</v>
      </c>
      <c r="I27" s="30">
        <v>25</v>
      </c>
      <c r="J27" s="30">
        <v>105</v>
      </c>
      <c r="K27" s="2" t="s">
        <v>478</v>
      </c>
      <c r="L27" s="1">
        <v>1</v>
      </c>
      <c r="M27" s="3">
        <f t="shared" ca="1" si="0"/>
        <v>46217.730645138887</v>
      </c>
      <c r="N27" s="2" t="s">
        <v>42</v>
      </c>
      <c r="O27" s="3">
        <f t="shared" ca="1" si="1"/>
        <v>46217.730645138887</v>
      </c>
      <c r="P27" s="2" t="str">
        <f t="shared" si="2"/>
        <v>sys_operator</v>
      </c>
      <c r="Q27" s="32"/>
      <c r="R27" s="1" t="s">
        <v>5</v>
      </c>
    </row>
    <row r="28" spans="2:18" ht="29" customHeight="1">
      <c r="B28" s="2" t="s">
        <v>523</v>
      </c>
      <c r="C28" s="2" t="s">
        <v>522</v>
      </c>
      <c r="D28" s="2" t="s">
        <v>507</v>
      </c>
      <c r="F28" s="1">
        <v>0</v>
      </c>
      <c r="G28" s="1">
        <v>0</v>
      </c>
      <c r="I28" s="30">
        <v>40</v>
      </c>
      <c r="J28" s="30">
        <v>145</v>
      </c>
      <c r="K28" s="2" t="s">
        <v>478</v>
      </c>
      <c r="L28" s="1">
        <v>1</v>
      </c>
      <c r="M28" s="3">
        <f t="shared" ca="1" si="0"/>
        <v>46217.730645138887</v>
      </c>
      <c r="N28" s="2" t="s">
        <v>42</v>
      </c>
      <c r="O28" s="3">
        <f t="shared" ca="1" si="1"/>
        <v>46217.730645138887</v>
      </c>
      <c r="P28" s="2" t="str">
        <f t="shared" si="2"/>
        <v>sys_operator</v>
      </c>
      <c r="Q28" s="32"/>
      <c r="R28" s="1" t="s">
        <v>5</v>
      </c>
    </row>
    <row r="29" spans="2:18" ht="29" customHeight="1">
      <c r="B29" s="2" t="s">
        <v>525</v>
      </c>
      <c r="C29" s="2" t="s">
        <v>524</v>
      </c>
      <c r="D29" s="2" t="s">
        <v>507</v>
      </c>
      <c r="F29" s="1">
        <v>1</v>
      </c>
      <c r="G29" s="1">
        <v>0</v>
      </c>
      <c r="I29" s="30">
        <v>35</v>
      </c>
      <c r="J29" s="30">
        <v>105</v>
      </c>
      <c r="K29" s="2" t="s">
        <v>478</v>
      </c>
      <c r="L29" s="1">
        <v>1</v>
      </c>
      <c r="M29" s="3">
        <f t="shared" ca="1" si="0"/>
        <v>46217.730645138887</v>
      </c>
      <c r="N29" s="2" t="s">
        <v>42</v>
      </c>
      <c r="O29" s="3">
        <f t="shared" ca="1" si="1"/>
        <v>46217.730645138887</v>
      </c>
      <c r="P29" s="2" t="str">
        <f t="shared" si="2"/>
        <v>sys_operator</v>
      </c>
      <c r="Q29" s="32"/>
      <c r="R29" s="1" t="s">
        <v>5</v>
      </c>
    </row>
    <row r="30" spans="2:18" ht="29" customHeight="1">
      <c r="B30" s="2" t="s">
        <v>527</v>
      </c>
      <c r="C30" s="2" t="s">
        <v>526</v>
      </c>
      <c r="D30" s="2" t="s">
        <v>507</v>
      </c>
      <c r="F30" s="1">
        <v>1</v>
      </c>
      <c r="G30" s="1">
        <v>0</v>
      </c>
      <c r="I30" s="30">
        <v>50</v>
      </c>
      <c r="J30" s="30">
        <v>180</v>
      </c>
      <c r="K30" s="2" t="s">
        <v>478</v>
      </c>
      <c r="L30" s="1">
        <v>1</v>
      </c>
      <c r="M30" s="3">
        <f t="shared" ca="1" si="0"/>
        <v>46217.730645138887</v>
      </c>
      <c r="N30" s="2" t="s">
        <v>42</v>
      </c>
      <c r="O30" s="3">
        <f t="shared" ca="1" si="1"/>
        <v>46217.730645138887</v>
      </c>
      <c r="P30" s="2" t="str">
        <f t="shared" si="2"/>
        <v>sys_operator</v>
      </c>
      <c r="Q30" s="32"/>
      <c r="R30" s="1" t="s">
        <v>5</v>
      </c>
    </row>
    <row r="31" spans="2:18" ht="29" customHeight="1">
      <c r="B31" s="2" t="s">
        <v>529</v>
      </c>
      <c r="C31" s="2" t="s">
        <v>528</v>
      </c>
      <c r="D31" s="2" t="s">
        <v>507</v>
      </c>
      <c r="F31" s="1">
        <v>1</v>
      </c>
      <c r="G31" s="1">
        <v>0</v>
      </c>
      <c r="I31" s="30">
        <v>75</v>
      </c>
      <c r="J31" s="30">
        <v>250</v>
      </c>
      <c r="K31" s="2" t="s">
        <v>478</v>
      </c>
      <c r="L31" s="1">
        <v>1</v>
      </c>
      <c r="M31" s="3">
        <f t="shared" ca="1" si="0"/>
        <v>46217.730645138887</v>
      </c>
      <c r="N31" s="2" t="s">
        <v>42</v>
      </c>
      <c r="O31" s="3">
        <f t="shared" ca="1" si="1"/>
        <v>46217.730645138887</v>
      </c>
      <c r="P31" s="2" t="str">
        <f t="shared" si="2"/>
        <v>sys_operator</v>
      </c>
      <c r="Q31" s="32"/>
      <c r="R31" s="1" t="s">
        <v>5</v>
      </c>
    </row>
    <row r="32" spans="2:18">
      <c r="B32" s="2" t="s">
        <v>531</v>
      </c>
      <c r="C32" s="2" t="s">
        <v>530</v>
      </c>
      <c r="D32" s="2" t="s">
        <v>532</v>
      </c>
      <c r="F32" s="1">
        <v>1</v>
      </c>
      <c r="G32" s="1">
        <v>1</v>
      </c>
      <c r="H32" s="1">
        <v>30</v>
      </c>
      <c r="I32" s="30">
        <v>90</v>
      </c>
      <c r="J32" s="30">
        <v>285</v>
      </c>
      <c r="K32" s="2" t="s">
        <v>478</v>
      </c>
      <c r="L32" s="1">
        <v>1</v>
      </c>
      <c r="M32" s="3">
        <f t="shared" ca="1" si="0"/>
        <v>46217.730645138887</v>
      </c>
      <c r="N32" s="2" t="s">
        <v>42</v>
      </c>
      <c r="O32" s="3">
        <f t="shared" ca="1" si="1"/>
        <v>46217.730645138887</v>
      </c>
      <c r="P32" s="2" t="str">
        <f t="shared" si="2"/>
        <v>sys_operator</v>
      </c>
      <c r="Q32" s="32"/>
      <c r="R32" s="1" t="s">
        <v>5</v>
      </c>
    </row>
    <row r="33" spans="2:18">
      <c r="B33" s="2" t="s">
        <v>534</v>
      </c>
      <c r="C33" s="2" t="s">
        <v>533</v>
      </c>
      <c r="D33" s="2" t="s">
        <v>532</v>
      </c>
      <c r="F33" s="1">
        <v>1</v>
      </c>
      <c r="G33" s="1">
        <v>1</v>
      </c>
      <c r="H33" s="1">
        <v>60</v>
      </c>
      <c r="I33" s="30">
        <v>105</v>
      </c>
      <c r="J33" s="30">
        <v>355</v>
      </c>
      <c r="K33" s="2" t="s">
        <v>478</v>
      </c>
      <c r="L33" s="1">
        <v>1</v>
      </c>
      <c r="M33" s="3">
        <f t="shared" ca="1" si="0"/>
        <v>46217.730645138887</v>
      </c>
      <c r="N33" s="2" t="s">
        <v>42</v>
      </c>
      <c r="O33" s="3">
        <f t="shared" ca="1" si="1"/>
        <v>46217.730645138887</v>
      </c>
      <c r="P33" s="2" t="str">
        <f t="shared" si="2"/>
        <v>sys_operator</v>
      </c>
      <c r="Q33" s="32"/>
      <c r="R33" s="1" t="s">
        <v>5</v>
      </c>
    </row>
    <row r="34" spans="2:18">
      <c r="B34" s="2" t="s">
        <v>535</v>
      </c>
      <c r="C34" s="2" t="s">
        <v>536</v>
      </c>
      <c r="D34" s="2" t="s">
        <v>532</v>
      </c>
      <c r="F34" s="1">
        <v>1</v>
      </c>
      <c r="G34" s="1">
        <v>1</v>
      </c>
      <c r="H34" s="1">
        <v>120</v>
      </c>
      <c r="I34" s="30">
        <v>125</v>
      </c>
      <c r="J34" s="30">
        <v>430</v>
      </c>
      <c r="K34" s="2" t="s">
        <v>478</v>
      </c>
      <c r="L34" s="1">
        <v>1</v>
      </c>
      <c r="M34" s="3">
        <f t="shared" ca="1" si="0"/>
        <v>46217.730645138887</v>
      </c>
      <c r="N34" s="2" t="s">
        <v>42</v>
      </c>
      <c r="O34" s="3">
        <f t="shared" ca="1" si="1"/>
        <v>46217.730645138887</v>
      </c>
      <c r="P34" s="2" t="str">
        <f t="shared" si="2"/>
        <v>sys_operator</v>
      </c>
      <c r="Q34" s="32"/>
      <c r="R34" s="1" t="s">
        <v>5</v>
      </c>
    </row>
    <row r="35" spans="2:18" ht="29" customHeight="1">
      <c r="B35" s="2" t="s">
        <v>537</v>
      </c>
      <c r="C35" s="2" t="s">
        <v>538</v>
      </c>
      <c r="D35" s="2" t="s">
        <v>532</v>
      </c>
      <c r="F35" s="1">
        <v>1</v>
      </c>
      <c r="G35" s="1">
        <v>1</v>
      </c>
      <c r="H35" s="1">
        <v>30</v>
      </c>
      <c r="I35" s="30">
        <v>55</v>
      </c>
      <c r="J35" s="30">
        <v>180</v>
      </c>
      <c r="K35" s="2" t="s">
        <v>478</v>
      </c>
      <c r="L35" s="1">
        <v>1</v>
      </c>
      <c r="M35" s="3">
        <f t="shared" ca="1" si="0"/>
        <v>46217.730645138887</v>
      </c>
      <c r="N35" s="2" t="s">
        <v>42</v>
      </c>
      <c r="O35" s="3">
        <f t="shared" ca="1" si="1"/>
        <v>46217.730645138887</v>
      </c>
      <c r="P35" s="2" t="str">
        <f t="shared" si="2"/>
        <v>sys_operator</v>
      </c>
      <c r="Q35" s="32"/>
      <c r="R35" s="1" t="s">
        <v>5</v>
      </c>
    </row>
    <row r="36" spans="2:18" ht="29" customHeight="1">
      <c r="B36" s="2" t="s">
        <v>539</v>
      </c>
      <c r="C36" s="2" t="s">
        <v>540</v>
      </c>
      <c r="D36" s="2" t="s">
        <v>532</v>
      </c>
      <c r="F36" s="1">
        <v>1</v>
      </c>
      <c r="G36" s="1">
        <v>1</v>
      </c>
      <c r="H36" s="1">
        <v>60</v>
      </c>
      <c r="I36" s="30">
        <v>70</v>
      </c>
      <c r="J36" s="30">
        <v>250</v>
      </c>
      <c r="K36" s="2" t="s">
        <v>478</v>
      </c>
      <c r="L36" s="1">
        <v>1</v>
      </c>
      <c r="M36" s="3">
        <f t="shared" ca="1" si="0"/>
        <v>46217.730645138887</v>
      </c>
      <c r="N36" s="2" t="s">
        <v>42</v>
      </c>
      <c r="O36" s="3">
        <f t="shared" ca="1" si="1"/>
        <v>46217.730645138887</v>
      </c>
      <c r="P36" s="2" t="str">
        <f t="shared" si="2"/>
        <v>sys_operator</v>
      </c>
      <c r="Q36" s="32"/>
      <c r="R36" s="1" t="s">
        <v>5</v>
      </c>
    </row>
    <row r="37" spans="2:18" ht="29" customHeight="1">
      <c r="B37" s="2" t="s">
        <v>541</v>
      </c>
      <c r="C37" s="2" t="s">
        <v>542</v>
      </c>
      <c r="D37" s="2" t="s">
        <v>532</v>
      </c>
      <c r="F37" s="1">
        <v>1</v>
      </c>
      <c r="G37" s="1">
        <v>1</v>
      </c>
      <c r="H37" s="1">
        <v>120</v>
      </c>
      <c r="I37" s="30">
        <v>90</v>
      </c>
      <c r="J37" s="30">
        <v>320</v>
      </c>
      <c r="K37" s="2" t="s">
        <v>478</v>
      </c>
      <c r="L37" s="1">
        <v>1</v>
      </c>
      <c r="M37" s="3">
        <f t="shared" ca="1" si="0"/>
        <v>46217.730645138887</v>
      </c>
      <c r="N37" s="2" t="s">
        <v>42</v>
      </c>
      <c r="O37" s="3">
        <f t="shared" ca="1" si="1"/>
        <v>46217.730645138887</v>
      </c>
      <c r="P37" s="2" t="str">
        <f t="shared" si="2"/>
        <v>sys_operator</v>
      </c>
      <c r="Q37" s="32"/>
      <c r="R37" s="1" t="s">
        <v>5</v>
      </c>
    </row>
    <row r="41" spans="2:18">
      <c r="C41" s="24"/>
    </row>
    <row r="42" spans="2:18">
      <c r="C42" s="24"/>
    </row>
    <row r="43" spans="2:18">
      <c r="C43" s="24"/>
    </row>
  </sheetData>
  <phoneticPr fontId="2"/>
  <conditionalFormatting sqref="B7:P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P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workbookViewId="0">
      <pane xSplit="3" ySplit="7" topLeftCell="D8" activePane="bottomRight" state="frozenSplit"/>
      <selection activeCell="D1" sqref="D1"/>
      <selection pane="topRight"/>
      <selection pane="bottomLeft"/>
      <selection pane="bottomRight" activeCell="D8" sqref="D8"/>
    </sheetView>
  </sheetViews>
  <sheetFormatPr defaultColWidth="9.1796875" defaultRowHeight="14.5"/>
  <cols>
    <col min="1" max="1" width="18.7265625" style="1" customWidth="1"/>
    <col min="2" max="2" width="24.7265625" style="2" customWidth="1"/>
    <col min="3" max="3" width="18.7265625" style="2" customWidth="1"/>
    <col min="4" max="4" width="28.81640625" style="2" customWidth="1"/>
    <col min="5" max="5" width="59.81640625" style="2" customWidth="1"/>
    <col min="6" max="6" width="22.7265625" style="3" customWidth="1"/>
    <col min="7" max="7" width="30.7265625" style="2" customWidth="1"/>
    <col min="8" max="8" width="22.7265625" style="3" customWidth="1"/>
    <col min="9" max="9" width="30.7265625" style="2" customWidth="1"/>
    <col min="10" max="10" width="10.7265625" style="1" customWidth="1"/>
    <col min="11" max="11" width="48.7265625" style="1" customWidth="1"/>
    <col min="12" max="12" width="9.1796875" style="1" customWidth="1"/>
    <col min="13" max="16384" width="9.1796875" style="1"/>
  </cols>
  <sheetData>
    <row r="1" spans="1:11" s="4" customFormat="1">
      <c r="A1" s="5" t="s">
        <v>0</v>
      </c>
      <c r="B1" s="6" t="s">
        <v>543</v>
      </c>
      <c r="C1" s="7" t="s">
        <v>2</v>
      </c>
      <c r="D1" s="6" t="s">
        <v>544</v>
      </c>
      <c r="E1" s="9"/>
      <c r="F1" s="8"/>
      <c r="G1" s="9"/>
      <c r="H1" s="8"/>
      <c r="I1" s="9"/>
    </row>
    <row r="2" spans="1:11" s="4" customFormat="1">
      <c r="A2" s="5" t="s">
        <v>4</v>
      </c>
      <c r="B2" s="31"/>
      <c r="C2" s="9"/>
      <c r="D2" s="9"/>
      <c r="E2" s="9"/>
      <c r="F2" s="8"/>
      <c r="G2" s="9"/>
      <c r="H2" s="8"/>
      <c r="I2" s="9"/>
    </row>
    <row r="3" spans="1:11" s="4" customFormat="1">
      <c r="A3" s="10" t="s">
        <v>6</v>
      </c>
      <c r="B3" s="11" t="s">
        <v>545</v>
      </c>
      <c r="C3" s="11" t="s">
        <v>546</v>
      </c>
      <c r="D3" s="12" t="s">
        <v>547</v>
      </c>
      <c r="E3" s="12" t="s">
        <v>548</v>
      </c>
      <c r="F3" s="13" t="s">
        <v>10</v>
      </c>
      <c r="G3" s="12" t="s">
        <v>11</v>
      </c>
      <c r="H3" s="13" t="s">
        <v>12</v>
      </c>
      <c r="I3" s="12" t="s">
        <v>13</v>
      </c>
      <c r="J3" s="14" t="s">
        <v>14</v>
      </c>
      <c r="K3" s="14" t="s">
        <v>15</v>
      </c>
    </row>
    <row r="4" spans="1:11" s="4" customFormat="1">
      <c r="A4" s="10" t="s">
        <v>16</v>
      </c>
      <c r="B4" s="11" t="s">
        <v>549</v>
      </c>
      <c r="C4" s="11" t="s">
        <v>550</v>
      </c>
      <c r="D4" s="12" t="s">
        <v>551</v>
      </c>
      <c r="E4" s="12" t="s">
        <v>552</v>
      </c>
      <c r="F4" s="15" t="s">
        <v>20</v>
      </c>
      <c r="G4" s="12" t="s">
        <v>21</v>
      </c>
      <c r="H4" s="15" t="s">
        <v>22</v>
      </c>
      <c r="I4" s="12" t="s">
        <v>23</v>
      </c>
      <c r="J4" s="16"/>
      <c r="K4" s="16"/>
    </row>
    <row r="5" spans="1:11" s="4" customFormat="1">
      <c r="A5" s="10" t="s">
        <v>24</v>
      </c>
      <c r="B5" s="11" t="s">
        <v>26</v>
      </c>
      <c r="C5" s="11" t="s">
        <v>26</v>
      </c>
      <c r="D5" s="12" t="s">
        <v>182</v>
      </c>
      <c r="E5" s="12" t="s">
        <v>553</v>
      </c>
      <c r="F5" s="13" t="s">
        <v>27</v>
      </c>
      <c r="G5" s="12" t="s">
        <v>28</v>
      </c>
      <c r="H5" s="13" t="s">
        <v>27</v>
      </c>
      <c r="I5" s="12" t="s">
        <v>28</v>
      </c>
      <c r="J5" s="16"/>
      <c r="K5" s="16"/>
    </row>
    <row r="6" spans="1:11" s="4" customFormat="1">
      <c r="A6" s="5" t="s">
        <v>29</v>
      </c>
      <c r="B6" s="11" t="s">
        <v>30</v>
      </c>
      <c r="C6" s="11" t="s">
        <v>30</v>
      </c>
      <c r="D6" s="12" t="s">
        <v>5</v>
      </c>
      <c r="E6" s="12" t="s">
        <v>31</v>
      </c>
      <c r="F6" s="13" t="s">
        <v>32</v>
      </c>
      <c r="G6" s="12" t="s">
        <v>5</v>
      </c>
      <c r="H6" s="13" t="s">
        <v>32</v>
      </c>
      <c r="I6" s="12" t="s">
        <v>5</v>
      </c>
      <c r="J6" s="16"/>
      <c r="K6" s="16"/>
    </row>
    <row r="7" spans="1:11">
      <c r="A7" s="17" t="s">
        <v>33</v>
      </c>
      <c r="B7" s="18" t="s">
        <v>34</v>
      </c>
      <c r="C7" s="18" t="s">
        <v>34</v>
      </c>
      <c r="D7" s="19" t="s">
        <v>34</v>
      </c>
      <c r="E7" s="19" t="s">
        <v>34</v>
      </c>
      <c r="F7" s="20" t="s">
        <v>34</v>
      </c>
      <c r="G7" s="19" t="s">
        <v>34</v>
      </c>
      <c r="H7" s="20" t="s">
        <v>34</v>
      </c>
      <c r="I7" s="19" t="s">
        <v>34</v>
      </c>
      <c r="J7" s="21"/>
      <c r="K7" s="21"/>
    </row>
    <row r="8" spans="1:11">
      <c r="B8" s="2" t="s">
        <v>554</v>
      </c>
      <c r="C8" s="2" t="s">
        <v>476</v>
      </c>
      <c r="D8" s="2" t="s">
        <v>556</v>
      </c>
      <c r="E8" s="2" t="s">
        <v>555</v>
      </c>
      <c r="F8" s="3">
        <f t="shared" ref="F8:F29" ca="1" si="0">NOW()</f>
        <v>46217.730645138887</v>
      </c>
      <c r="G8" s="2" t="s">
        <v>557</v>
      </c>
      <c r="H8" s="3">
        <f t="shared" ref="H8:H29" ca="1" si="1">F8</f>
        <v>46217.730645138887</v>
      </c>
      <c r="I8" s="2" t="str">
        <f t="shared" ref="I8:I29" si="2">G8</f>
        <v>sys_admin</v>
      </c>
      <c r="J8" s="32"/>
      <c r="K8" s="1" t="s">
        <v>5</v>
      </c>
    </row>
    <row r="9" spans="1:11">
      <c r="B9" s="2" t="s">
        <v>554</v>
      </c>
      <c r="C9" s="2" t="s">
        <v>494</v>
      </c>
      <c r="D9" s="2" t="s">
        <v>559</v>
      </c>
      <c r="E9" s="2" t="s">
        <v>558</v>
      </c>
      <c r="F9" s="3">
        <f t="shared" ca="1" si="0"/>
        <v>46217.730645138887</v>
      </c>
      <c r="G9" s="2" t="s">
        <v>560</v>
      </c>
      <c r="H9" s="3">
        <f t="shared" ca="1" si="1"/>
        <v>46217.730645138887</v>
      </c>
      <c r="I9" s="2" t="str">
        <f t="shared" si="2"/>
        <v>sys_admin</v>
      </c>
      <c r="J9" s="32"/>
      <c r="K9" s="1" t="s">
        <v>5</v>
      </c>
    </row>
    <row r="10" spans="1:11" ht="29" customHeight="1">
      <c r="B10" s="2" t="s">
        <v>554</v>
      </c>
      <c r="C10" s="2" t="s">
        <v>507</v>
      </c>
      <c r="D10" s="2" t="s">
        <v>561</v>
      </c>
      <c r="E10" s="2" t="s">
        <v>562</v>
      </c>
      <c r="F10" s="3">
        <f t="shared" ca="1" si="0"/>
        <v>46217.730645138887</v>
      </c>
      <c r="G10" s="2" t="s">
        <v>560</v>
      </c>
      <c r="H10" s="3">
        <f t="shared" ca="1" si="1"/>
        <v>46217.730645138887</v>
      </c>
      <c r="I10" s="2" t="str">
        <f t="shared" si="2"/>
        <v>sys_admin</v>
      </c>
      <c r="J10" s="32"/>
      <c r="K10" s="1" t="s">
        <v>5</v>
      </c>
    </row>
    <row r="11" spans="1:11" ht="29" customHeight="1">
      <c r="B11" s="2" t="s">
        <v>554</v>
      </c>
      <c r="C11" s="2" t="s">
        <v>532</v>
      </c>
      <c r="D11" s="2" t="s">
        <v>564</v>
      </c>
      <c r="E11" s="2" t="s">
        <v>563</v>
      </c>
      <c r="F11" s="3">
        <f t="shared" ca="1" si="0"/>
        <v>46217.730645138887</v>
      </c>
      <c r="G11" s="2" t="s">
        <v>560</v>
      </c>
      <c r="H11" s="3">
        <f t="shared" ca="1" si="1"/>
        <v>46217.730645138887</v>
      </c>
      <c r="I11" s="2" t="str">
        <f t="shared" si="2"/>
        <v>sys_admin</v>
      </c>
      <c r="J11" s="32"/>
      <c r="K11" s="1" t="s">
        <v>5</v>
      </c>
    </row>
    <row r="12" spans="1:11">
      <c r="B12" s="2" t="s">
        <v>565</v>
      </c>
      <c r="C12" s="2" t="s">
        <v>566</v>
      </c>
      <c r="D12" s="2" t="s">
        <v>567</v>
      </c>
      <c r="E12" s="2" t="s">
        <v>568</v>
      </c>
      <c r="F12" s="3">
        <f t="shared" ca="1" si="0"/>
        <v>46217.730645138887</v>
      </c>
      <c r="G12" s="2" t="s">
        <v>560</v>
      </c>
      <c r="H12" s="3">
        <f t="shared" ca="1" si="1"/>
        <v>46217.730645138887</v>
      </c>
      <c r="I12" s="2" t="str">
        <f t="shared" si="2"/>
        <v>sys_admin</v>
      </c>
      <c r="J12" s="32"/>
      <c r="K12" s="1" t="s">
        <v>5</v>
      </c>
    </row>
    <row r="13" spans="1:11" ht="29" customHeight="1">
      <c r="B13" s="2" t="s">
        <v>443</v>
      </c>
      <c r="C13" s="2" t="s">
        <v>569</v>
      </c>
      <c r="D13" s="2" t="s">
        <v>570</v>
      </c>
      <c r="E13" s="2" t="s">
        <v>571</v>
      </c>
      <c r="F13" s="3">
        <f t="shared" ca="1" si="0"/>
        <v>46217.730645138887</v>
      </c>
      <c r="G13" s="2" t="s">
        <v>572</v>
      </c>
      <c r="H13" s="3">
        <f t="shared" ca="1" si="1"/>
        <v>46217.730645138887</v>
      </c>
      <c r="I13" s="2" t="str">
        <f t="shared" si="2"/>
        <v>sys_administrator</v>
      </c>
      <c r="J13" s="32"/>
      <c r="K13" s="1" t="s">
        <v>5</v>
      </c>
    </row>
    <row r="14" spans="1:11" ht="29" customHeight="1">
      <c r="B14" s="2" t="s">
        <v>444</v>
      </c>
      <c r="C14" s="2" t="s">
        <v>566</v>
      </c>
      <c r="D14" s="2" t="s">
        <v>574</v>
      </c>
      <c r="E14" s="2" t="s">
        <v>573</v>
      </c>
      <c r="F14" s="3">
        <f t="shared" ca="1" si="0"/>
        <v>46217.730645138887</v>
      </c>
      <c r="G14" s="2" t="s">
        <v>572</v>
      </c>
      <c r="H14" s="3">
        <f t="shared" ca="1" si="1"/>
        <v>46217.730645138887</v>
      </c>
      <c r="I14" s="2" t="str">
        <f t="shared" si="2"/>
        <v>sys_administrator</v>
      </c>
      <c r="J14" s="32"/>
      <c r="K14" s="1" t="s">
        <v>5</v>
      </c>
    </row>
    <row r="15" spans="1:11" ht="29" customHeight="1">
      <c r="B15" s="2" t="s">
        <v>444</v>
      </c>
      <c r="C15" s="2" t="s">
        <v>569</v>
      </c>
      <c r="D15" s="2" t="s">
        <v>576</v>
      </c>
      <c r="E15" s="2" t="s">
        <v>575</v>
      </c>
      <c r="F15" s="3">
        <f t="shared" ca="1" si="0"/>
        <v>46217.730645138887</v>
      </c>
      <c r="G15" s="2" t="s">
        <v>572</v>
      </c>
      <c r="H15" s="3">
        <f t="shared" ca="1" si="1"/>
        <v>46217.730645138887</v>
      </c>
      <c r="I15" s="2" t="str">
        <f t="shared" si="2"/>
        <v>sys_administrator</v>
      </c>
      <c r="J15" s="32"/>
      <c r="K15" s="1" t="s">
        <v>5</v>
      </c>
    </row>
    <row r="16" spans="1:11">
      <c r="B16" s="2" t="s">
        <v>66</v>
      </c>
      <c r="C16" s="2" t="s">
        <v>577</v>
      </c>
      <c r="D16" s="2" t="s">
        <v>578</v>
      </c>
      <c r="E16" s="2" t="s">
        <v>579</v>
      </c>
      <c r="F16" s="3">
        <f t="shared" ca="1" si="0"/>
        <v>46217.730645138887</v>
      </c>
      <c r="G16" s="2" t="s">
        <v>572</v>
      </c>
      <c r="H16" s="3">
        <f t="shared" ca="1" si="1"/>
        <v>46217.730645138887</v>
      </c>
      <c r="I16" s="2" t="str">
        <f t="shared" si="2"/>
        <v>sys_administrator</v>
      </c>
      <c r="J16" s="32"/>
      <c r="K16" s="1" t="s">
        <v>5</v>
      </c>
    </row>
    <row r="17" spans="2:11">
      <c r="B17" s="2" t="s">
        <v>66</v>
      </c>
      <c r="C17" s="2" t="s">
        <v>580</v>
      </c>
      <c r="D17" s="2" t="s">
        <v>581</v>
      </c>
      <c r="E17" s="2" t="s">
        <v>582</v>
      </c>
      <c r="F17" s="3">
        <f t="shared" ca="1" si="0"/>
        <v>46217.730645138887</v>
      </c>
      <c r="G17" s="2" t="s">
        <v>572</v>
      </c>
      <c r="H17" s="3">
        <f t="shared" ca="1" si="1"/>
        <v>46217.730645138887</v>
      </c>
      <c r="I17" s="2" t="str">
        <f t="shared" si="2"/>
        <v>sys_administrator</v>
      </c>
      <c r="J17" s="32"/>
      <c r="K17" s="1" t="s">
        <v>5</v>
      </c>
    </row>
    <row r="18" spans="2:11">
      <c r="B18" s="33" t="s">
        <v>583</v>
      </c>
      <c r="C18" s="2" t="s">
        <v>566</v>
      </c>
      <c r="D18" s="2" t="s">
        <v>584</v>
      </c>
      <c r="E18" s="2" t="s">
        <v>585</v>
      </c>
      <c r="F18" s="3">
        <f t="shared" ca="1" si="0"/>
        <v>46217.730645138887</v>
      </c>
      <c r="G18" s="2" t="s">
        <v>572</v>
      </c>
      <c r="H18" s="3">
        <f t="shared" ca="1" si="1"/>
        <v>46217.730645138887</v>
      </c>
      <c r="I18" s="2" t="str">
        <f t="shared" si="2"/>
        <v>sys_administrator</v>
      </c>
      <c r="J18" s="32"/>
      <c r="K18" s="1" t="s">
        <v>5</v>
      </c>
    </row>
    <row r="19" spans="2:11" ht="29" customHeight="1">
      <c r="B19" s="33" t="s">
        <v>583</v>
      </c>
      <c r="C19" s="2" t="s">
        <v>586</v>
      </c>
      <c r="D19" s="2" t="s">
        <v>587</v>
      </c>
      <c r="E19" s="2" t="s">
        <v>588</v>
      </c>
      <c r="F19" s="3">
        <f t="shared" ca="1" si="0"/>
        <v>46217.730645138887</v>
      </c>
      <c r="G19" s="2" t="s">
        <v>572</v>
      </c>
      <c r="H19" s="3">
        <f t="shared" ca="1" si="1"/>
        <v>46217.730645138887</v>
      </c>
      <c r="I19" s="2" t="str">
        <f t="shared" si="2"/>
        <v>sys_administrator</v>
      </c>
      <c r="J19" s="32"/>
      <c r="K19" s="1" t="s">
        <v>5</v>
      </c>
    </row>
    <row r="20" spans="2:11">
      <c r="B20" s="33" t="s">
        <v>589</v>
      </c>
      <c r="C20" s="2" t="s">
        <v>569</v>
      </c>
      <c r="D20" s="2" t="s">
        <v>590</v>
      </c>
      <c r="E20" s="2" t="s">
        <v>591</v>
      </c>
      <c r="F20" s="3">
        <f t="shared" ca="1" si="0"/>
        <v>46217.730645138887</v>
      </c>
      <c r="G20" s="2" t="s">
        <v>572</v>
      </c>
      <c r="H20" s="3">
        <f t="shared" ca="1" si="1"/>
        <v>46217.730645138887</v>
      </c>
      <c r="I20" s="2" t="str">
        <f t="shared" si="2"/>
        <v>sys_administrator</v>
      </c>
      <c r="J20" s="32"/>
      <c r="K20" s="1" t="s">
        <v>5</v>
      </c>
    </row>
    <row r="21" spans="2:11">
      <c r="B21" s="33" t="s">
        <v>589</v>
      </c>
      <c r="C21" s="2" t="s">
        <v>566</v>
      </c>
      <c r="D21" s="2" t="s">
        <v>593</v>
      </c>
      <c r="E21" s="2" t="s">
        <v>592</v>
      </c>
      <c r="F21" s="3">
        <f t="shared" ca="1" si="0"/>
        <v>46217.730645138887</v>
      </c>
      <c r="G21" s="2" t="s">
        <v>572</v>
      </c>
      <c r="H21" s="3">
        <f t="shared" ca="1" si="1"/>
        <v>46217.730645138887</v>
      </c>
      <c r="I21" s="2" t="str">
        <f t="shared" si="2"/>
        <v>sys_administrator</v>
      </c>
      <c r="J21" s="32"/>
      <c r="K21" s="1" t="s">
        <v>5</v>
      </c>
    </row>
    <row r="22" spans="2:11">
      <c r="B22" s="33" t="s">
        <v>589</v>
      </c>
      <c r="C22" s="2" t="s">
        <v>586</v>
      </c>
      <c r="D22" s="2" t="s">
        <v>594</v>
      </c>
      <c r="E22" s="2" t="s">
        <v>595</v>
      </c>
      <c r="F22" s="3">
        <f t="shared" ca="1" si="0"/>
        <v>46217.730645138887</v>
      </c>
      <c r="G22" s="2" t="s">
        <v>572</v>
      </c>
      <c r="H22" s="3">
        <f t="shared" ca="1" si="1"/>
        <v>46217.730645138887</v>
      </c>
      <c r="I22" s="2" t="str">
        <f t="shared" si="2"/>
        <v>sys_administrator</v>
      </c>
      <c r="J22" s="32"/>
      <c r="K22" s="1" t="s">
        <v>5</v>
      </c>
    </row>
    <row r="23" spans="2:11" ht="29" customHeight="1">
      <c r="B23" s="33" t="s">
        <v>589</v>
      </c>
      <c r="C23" s="2" t="s">
        <v>597</v>
      </c>
      <c r="D23" s="2" t="s">
        <v>596</v>
      </c>
      <c r="E23" s="2" t="s">
        <v>598</v>
      </c>
      <c r="F23" s="3">
        <f t="shared" ca="1" si="0"/>
        <v>46217.730645138887</v>
      </c>
      <c r="G23" s="2" t="s">
        <v>572</v>
      </c>
      <c r="H23" s="3">
        <f t="shared" ca="1" si="1"/>
        <v>46217.730645138887</v>
      </c>
      <c r="I23" s="2" t="str">
        <f t="shared" si="2"/>
        <v>sys_administrator</v>
      </c>
      <c r="J23" s="32"/>
      <c r="K23" s="1" t="s">
        <v>5</v>
      </c>
    </row>
    <row r="24" spans="2:11" ht="29" customHeight="1">
      <c r="B24" s="33" t="s">
        <v>589</v>
      </c>
      <c r="C24" s="2" t="s">
        <v>600</v>
      </c>
      <c r="D24" s="2" t="s">
        <v>599</v>
      </c>
      <c r="E24" s="2" t="s">
        <v>601</v>
      </c>
      <c r="F24" s="3">
        <f t="shared" ca="1" si="0"/>
        <v>46217.730645138887</v>
      </c>
      <c r="G24" s="2" t="s">
        <v>572</v>
      </c>
      <c r="H24" s="3">
        <f t="shared" ca="1" si="1"/>
        <v>46217.730645138887</v>
      </c>
      <c r="I24" s="2" t="str">
        <f t="shared" si="2"/>
        <v>sys_administrator</v>
      </c>
      <c r="J24" s="32"/>
      <c r="K24" s="1" t="s">
        <v>5</v>
      </c>
    </row>
    <row r="25" spans="2:11">
      <c r="B25" s="33" t="s">
        <v>589</v>
      </c>
      <c r="C25" s="2" t="s">
        <v>603</v>
      </c>
      <c r="D25" s="2" t="s">
        <v>602</v>
      </c>
      <c r="E25" s="2" t="s">
        <v>604</v>
      </c>
      <c r="F25" s="3">
        <f t="shared" ca="1" si="0"/>
        <v>46217.730645138887</v>
      </c>
      <c r="G25" s="2" t="s">
        <v>572</v>
      </c>
      <c r="H25" s="3">
        <f t="shared" ca="1" si="1"/>
        <v>46217.730645138887</v>
      </c>
      <c r="I25" s="2" t="str">
        <f t="shared" si="2"/>
        <v>sys_administrator</v>
      </c>
      <c r="J25" s="32"/>
      <c r="K25" s="1" t="s">
        <v>5</v>
      </c>
    </row>
    <row r="26" spans="2:11">
      <c r="B26" s="33" t="s">
        <v>589</v>
      </c>
      <c r="C26" s="2" t="s">
        <v>606</v>
      </c>
      <c r="D26" s="2" t="s">
        <v>605</v>
      </c>
      <c r="E26" s="2" t="s">
        <v>607</v>
      </c>
      <c r="F26" s="3">
        <f t="shared" ca="1" si="0"/>
        <v>46217.730645138887</v>
      </c>
      <c r="G26" s="2" t="s">
        <v>572</v>
      </c>
      <c r="H26" s="3">
        <f t="shared" ca="1" si="1"/>
        <v>46217.730645138887</v>
      </c>
      <c r="I26" s="2" t="str">
        <f t="shared" si="2"/>
        <v>sys_administrator</v>
      </c>
      <c r="J26" s="32"/>
      <c r="K26" s="1" t="s">
        <v>5</v>
      </c>
    </row>
    <row r="27" spans="2:11">
      <c r="B27" s="33" t="s">
        <v>589</v>
      </c>
      <c r="C27" s="2" t="s">
        <v>609</v>
      </c>
      <c r="D27" s="2" t="s">
        <v>608</v>
      </c>
      <c r="E27" s="2" t="s">
        <v>610</v>
      </c>
      <c r="F27" s="3">
        <f t="shared" ca="1" si="0"/>
        <v>46217.730645138887</v>
      </c>
      <c r="G27" s="2" t="s">
        <v>572</v>
      </c>
      <c r="H27" s="3">
        <f t="shared" ca="1" si="1"/>
        <v>46217.730645138887</v>
      </c>
      <c r="I27" s="2" t="str">
        <f t="shared" si="2"/>
        <v>sys_administrator</v>
      </c>
      <c r="J27" s="32"/>
      <c r="K27" s="1" t="s">
        <v>5</v>
      </c>
    </row>
    <row r="28" spans="2:11">
      <c r="B28" s="33" t="s">
        <v>589</v>
      </c>
      <c r="C28" s="2" t="s">
        <v>612</v>
      </c>
      <c r="D28" s="2" t="s">
        <v>611</v>
      </c>
      <c r="E28" s="2" t="s">
        <v>613</v>
      </c>
      <c r="F28" s="3">
        <f t="shared" ca="1" si="0"/>
        <v>46217.730645138887</v>
      </c>
      <c r="G28" s="2" t="s">
        <v>572</v>
      </c>
      <c r="H28" s="3">
        <f t="shared" ca="1" si="1"/>
        <v>46217.730645138887</v>
      </c>
      <c r="I28" s="2" t="str">
        <f t="shared" si="2"/>
        <v>sys_administrator</v>
      </c>
      <c r="J28" s="32"/>
      <c r="K28" s="1" t="s">
        <v>5</v>
      </c>
    </row>
    <row r="29" spans="2:11">
      <c r="B29" s="33" t="s">
        <v>589</v>
      </c>
      <c r="C29" s="2" t="s">
        <v>615</v>
      </c>
      <c r="D29" s="2" t="s">
        <v>614</v>
      </c>
      <c r="E29" s="2" t="s">
        <v>616</v>
      </c>
      <c r="F29" s="3">
        <f t="shared" ca="1" si="0"/>
        <v>46217.730645138887</v>
      </c>
      <c r="G29" s="2" t="s">
        <v>572</v>
      </c>
      <c r="H29" s="3">
        <f t="shared" ca="1" si="1"/>
        <v>46217.730645138887</v>
      </c>
      <c r="I29" s="2" t="str">
        <f t="shared" si="2"/>
        <v>sys_administrator</v>
      </c>
      <c r="J29" s="32"/>
      <c r="K29" s="1" t="s">
        <v>5</v>
      </c>
    </row>
    <row r="30" spans="2:11">
      <c r="B30" s="25"/>
    </row>
  </sheetData>
  <phoneticPr fontId="2"/>
  <conditionalFormatting sqref="B7:I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I7" xr:uid="{00000000-0002-0000-04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clients</vt:lpstr>
      <vt:lpstr>services</vt:lpstr>
      <vt:lpstr>common_codes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2026-07-12T01:04:22Z</dcterms:created>
  <dcterms:modified xsi:type="dcterms:W3CDTF">2026-07-14T08:32:39Z</dcterms:modified>
</cp:coreProperties>
</file>