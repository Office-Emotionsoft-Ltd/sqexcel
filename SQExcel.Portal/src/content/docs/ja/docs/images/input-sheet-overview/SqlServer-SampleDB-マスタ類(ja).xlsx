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input-sheet-overview\"/>
    </mc:Choice>
  </mc:AlternateContent>
  <xr:revisionPtr revIDLastSave="0" documentId="13_ncr:1_{83B64317-6980-4DCB-BE7D-C927E4ECE2D3}" xr6:coauthVersionLast="47" xr6:coauthVersionMax="47" xr10:uidLastSave="{00000000-0000-0000-0000-000000000000}"/>
  <bookViews>
    <workbookView xWindow="3160" yWindow="610" windowWidth="19980" windowHeight="10110" xr2:uid="{00000000-000D-0000-FFFF-FFFF00000000}"/>
  </bookViews>
  <sheets>
    <sheet name="departments" sheetId="1" r:id="rId1"/>
    <sheet name="employees" sheetId="2" r:id="rId2"/>
    <sheet name="clients" sheetId="3" r:id="rId3"/>
    <sheet name="services" sheetId="4" r:id="rId4"/>
    <sheet name="common_cod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4" l="1"/>
  <c r="O8" i="4" s="1"/>
  <c r="P8" i="4"/>
  <c r="M9" i="4"/>
  <c r="O9" i="4" s="1"/>
  <c r="P9" i="4"/>
  <c r="M10" i="4"/>
  <c r="O10" i="4" s="1"/>
  <c r="P10" i="4"/>
  <c r="M11" i="4"/>
  <c r="O11" i="4" s="1"/>
  <c r="P11" i="4"/>
  <c r="M12" i="4"/>
  <c r="O12" i="4" s="1"/>
  <c r="P12" i="4"/>
  <c r="M13" i="4"/>
  <c r="O13" i="4"/>
  <c r="P13" i="4"/>
  <c r="M14" i="4"/>
  <c r="O14" i="4"/>
  <c r="P14" i="4"/>
  <c r="M15" i="4"/>
  <c r="O15" i="4" s="1"/>
  <c r="P15" i="4"/>
  <c r="M16" i="4"/>
  <c r="O16" i="4" s="1"/>
  <c r="P16" i="4"/>
  <c r="M17" i="4"/>
  <c r="O17" i="4" s="1"/>
  <c r="P17" i="4"/>
  <c r="M18" i="4"/>
  <c r="O18" i="4"/>
  <c r="P18" i="4"/>
  <c r="M19" i="4"/>
  <c r="O19" i="4" s="1"/>
  <c r="P19" i="4"/>
  <c r="M20" i="4"/>
  <c r="O20" i="4" s="1"/>
  <c r="P20" i="4"/>
  <c r="M21" i="4"/>
  <c r="O21" i="4"/>
  <c r="P21" i="4"/>
  <c r="M22" i="4"/>
  <c r="O22" i="4" s="1"/>
  <c r="P22" i="4"/>
  <c r="M23" i="4"/>
  <c r="O23" i="4" s="1"/>
  <c r="P23" i="4"/>
  <c r="M24" i="4"/>
  <c r="O24" i="4" s="1"/>
  <c r="P24" i="4"/>
  <c r="M25" i="4"/>
  <c r="O25" i="4"/>
  <c r="P25" i="4"/>
  <c r="I26" i="4"/>
  <c r="J26" i="4"/>
  <c r="M26" i="4"/>
  <c r="O26" i="4"/>
  <c r="P26" i="4"/>
  <c r="I27" i="4"/>
  <c r="J27" i="4"/>
  <c r="M27" i="4"/>
  <c r="O27" i="4" s="1"/>
  <c r="P27" i="4"/>
  <c r="I28" i="4"/>
  <c r="J28" i="4"/>
  <c r="M28" i="4"/>
  <c r="O28" i="4" s="1"/>
  <c r="P28" i="4"/>
  <c r="I29" i="4"/>
  <c r="J29" i="4"/>
  <c r="M29" i="4"/>
  <c r="O29" i="4" s="1"/>
  <c r="P29" i="4"/>
  <c r="I30" i="4"/>
  <c r="J30" i="4"/>
  <c r="M30" i="4"/>
  <c r="O30" i="4"/>
  <c r="P30" i="4"/>
  <c r="I31" i="4"/>
  <c r="J31" i="4"/>
  <c r="M31" i="4"/>
  <c r="O31" i="4" s="1"/>
  <c r="P31" i="4"/>
  <c r="M32" i="4"/>
  <c r="O32" i="4"/>
  <c r="P32" i="4"/>
  <c r="M33" i="4"/>
  <c r="O33" i="4"/>
  <c r="P33" i="4"/>
  <c r="M34" i="4"/>
  <c r="O34" i="4"/>
  <c r="P34" i="4"/>
  <c r="I35" i="4"/>
  <c r="M35" i="4"/>
  <c r="O35" i="4"/>
  <c r="P35" i="4"/>
  <c r="I36" i="4"/>
  <c r="M36" i="4"/>
  <c r="O36" i="4"/>
  <c r="P36" i="4"/>
  <c r="I37" i="4"/>
  <c r="M37" i="4"/>
  <c r="O37" i="4" s="1"/>
  <c r="P37" i="4"/>
  <c r="F8" i="5"/>
  <c r="H8" i="5"/>
  <c r="I8" i="5"/>
  <c r="F9" i="5"/>
  <c r="H9" i="5"/>
  <c r="I9" i="5"/>
  <c r="F10" i="5"/>
  <c r="H10" i="5"/>
  <c r="I10" i="5"/>
  <c r="F11" i="5"/>
  <c r="H11" i="5" s="1"/>
  <c r="I11" i="5"/>
  <c r="F12" i="5"/>
  <c r="H12" i="5"/>
  <c r="I12" i="5"/>
  <c r="F13" i="5"/>
  <c r="H13" i="5" s="1"/>
  <c r="I13" i="5"/>
  <c r="F14" i="5"/>
  <c r="H14" i="5"/>
  <c r="I14" i="5"/>
  <c r="F15" i="5"/>
  <c r="H15" i="5" s="1"/>
  <c r="I15" i="5"/>
  <c r="F16" i="5"/>
  <c r="H16" i="5" s="1"/>
  <c r="I16" i="5"/>
  <c r="F17" i="5"/>
  <c r="H17" i="5" s="1"/>
  <c r="I17" i="5"/>
  <c r="F18" i="5"/>
  <c r="H18" i="5" s="1"/>
  <c r="I18" i="5"/>
  <c r="F19" i="5"/>
  <c r="H19" i="5" s="1"/>
  <c r="I19" i="5"/>
  <c r="F20" i="5"/>
  <c r="H20" i="5" s="1"/>
  <c r="I20" i="5"/>
  <c r="F21" i="5"/>
  <c r="H21" i="5"/>
  <c r="I21" i="5"/>
  <c r="F22" i="5"/>
  <c r="H22" i="5"/>
  <c r="I22" i="5"/>
  <c r="F23" i="5"/>
  <c r="H23" i="5" s="1"/>
  <c r="I23" i="5"/>
  <c r="F24" i="5"/>
  <c r="H24" i="5"/>
  <c r="I24" i="5"/>
  <c r="F25" i="5"/>
  <c r="H25" i="5" s="1"/>
  <c r="I25" i="5"/>
  <c r="F26" i="5"/>
  <c r="H26" i="5"/>
  <c r="I26" i="5"/>
  <c r="F27" i="5"/>
  <c r="H27" i="5" s="1"/>
  <c r="I27" i="5"/>
  <c r="F28" i="5"/>
  <c r="H28" i="5"/>
  <c r="I28" i="5"/>
  <c r="F29" i="5"/>
  <c r="H29" i="5"/>
  <c r="I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<sst xmlns="http://schemas.openxmlformats.org/spreadsheetml/2006/main" count="4126" uniqueCount="1480">
  <si>
    <t>テーブル名</t>
  </si>
  <si>
    <t>hr.departments</t>
  </si>
  <si>
    <t>論理名</t>
  </si>
  <si>
    <t>部門マスター</t>
  </si>
  <si>
    <t>DB種類</t>
  </si>
  <si>
    <t>Microsoft SQL Server</t>
  </si>
  <si>
    <t>処理結果</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</si>
  <si>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</si>
  <si>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</si>
  <si>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</si>
  <si>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</si>
  <si>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</si>
  <si>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</si>
  <si>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</si>
  <si>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</si>
  <si>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</si>
  <si>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</si>
  <si>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</si>
  <si>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</si>
  <si>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</si>
  <si>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</si>
  <si>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</si>
  <si>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</si>
  <si>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</si>
  <si>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</si>
  <si>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</si>
  <si>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</si>
  <si>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NVarChar(100)</t>
  </si>
  <si>
    <t>DateTime</t>
  </si>
  <si>
    <t>VarChar(20)</t>
  </si>
  <si>
    <t>項目属性</t>
  </si>
  <si>
    <t>K</t>
  </si>
  <si>
    <t/>
  </si>
  <si>
    <t>N</t>
  </si>
  <si>
    <t>D</t>
  </si>
  <si>
    <t>入力対象</t>
  </si>
  <si>
    <t>*</t>
  </si>
  <si>
    <t>system</t>
  </si>
  <si>
    <t>sys_administrator</t>
  </si>
  <si>
    <t>TRUE</t>
  </si>
  <si>
    <t>sys_operator</t>
  </si>
  <si>
    <t>sys_developer</t>
  </si>
  <si>
    <t>DP0016</t>
  </si>
  <si>
    <t>SC0001</t>
  </si>
  <si>
    <t>SC0002</t>
  </si>
  <si>
    <t>SC0003</t>
  </si>
  <si>
    <t>SC0004</t>
  </si>
  <si>
    <t>SC0005</t>
  </si>
  <si>
    <t>SC0006</t>
  </si>
  <si>
    <t>SC0007</t>
  </si>
  <si>
    <t>SC0008</t>
  </si>
  <si>
    <t>SC0009</t>
  </si>
  <si>
    <t>SC0010</t>
  </si>
  <si>
    <t>SC0011</t>
  </si>
  <si>
    <t>SC0012</t>
  </si>
  <si>
    <t>SC0013</t>
  </si>
  <si>
    <t>SC0014</t>
  </si>
  <si>
    <t>SC0015</t>
  </si>
  <si>
    <t>SC0016</t>
  </si>
  <si>
    <t>SC0017</t>
  </si>
  <si>
    <t>SC0018</t>
  </si>
  <si>
    <t>SC0019</t>
  </si>
  <si>
    <t>SC0020</t>
  </si>
  <si>
    <t>SC0021</t>
  </si>
  <si>
    <t>SC0022</t>
  </si>
  <si>
    <t>SC0023</t>
  </si>
  <si>
    <t>SC0024</t>
  </si>
  <si>
    <t>SC0025</t>
  </si>
  <si>
    <t>SC0026</t>
  </si>
  <si>
    <t>SC0027</t>
  </si>
  <si>
    <t>SC0028</t>
  </si>
  <si>
    <t>SC0029</t>
  </si>
  <si>
    <t>hr.employees</t>
  </si>
  <si>
    <t>従業員マスター（担当者マスター）</t>
  </si>
  <si>
    <t>employee_id</t>
  </si>
  <si>
    <t>last_name</t>
  </si>
  <si>
    <t>first_name</t>
  </si>
  <si>
    <t>email</t>
  </si>
  <si>
    <t>is_active</t>
  </si>
  <si>
    <t>従業員ID（担当者コード）</t>
  </si>
  <si>
    <t>姓</t>
  </si>
  <si>
    <t>名</t>
  </si>
  <si>
    <t>業務メールアドレス</t>
  </si>
  <si>
    <t>有効フラグ（1=有効,0=無効）</t>
  </si>
  <si>
    <t>Char(8)</t>
  </si>
  <si>
    <t>NVarChar(50)</t>
  </si>
  <si>
    <t>VarChar(254)</t>
  </si>
  <si>
    <t>Bit</t>
  </si>
  <si>
    <t>16000001</t>
  </si>
  <si>
    <t>佐藤</t>
  </si>
  <si>
    <t>翔太</t>
  </si>
  <si>
    <t>shota.sato001@example-ad.test</t>
  </si>
  <si>
    <t>17000001</t>
  </si>
  <si>
    <t>田中</t>
  </si>
  <si>
    <t>亮</t>
  </si>
  <si>
    <t>ryo.tanaka002@media-sample.invalid</t>
  </si>
  <si>
    <t>18000001</t>
  </si>
  <si>
    <t>山本</t>
  </si>
  <si>
    <t>美咲</t>
  </si>
  <si>
    <t>misaki.yamamoto003@demo-agency.example</t>
  </si>
  <si>
    <t>19000001</t>
  </si>
  <si>
    <t>加藤</t>
  </si>
  <si>
    <t>舞</t>
  </si>
  <si>
    <t>mai.kato004@ads-local.test</t>
  </si>
  <si>
    <t>20000001</t>
  </si>
  <si>
    <t>キム</t>
  </si>
  <si>
    <t>ミンジュン</t>
  </si>
  <si>
    <t>kim.mj005@example-ad.test</t>
  </si>
  <si>
    <t>21000001</t>
  </si>
  <si>
    <t>井上</t>
  </si>
  <si>
    <t>遥</t>
  </si>
  <si>
    <t>haruka.inoue006@media-sample.invalid</t>
  </si>
  <si>
    <t>22000001</t>
  </si>
  <si>
    <t>清水</t>
  </si>
  <si>
    <t>和也</t>
  </si>
  <si>
    <t>kazuya.shimizu007@demo-agency.example</t>
  </si>
  <si>
    <t>23000001</t>
  </si>
  <si>
    <t>橋本</t>
  </si>
  <si>
    <t>悠斗</t>
  </si>
  <si>
    <t>yuto.hashimoto008@ads-local.test</t>
  </si>
  <si>
    <t>24000001</t>
  </si>
  <si>
    <t>阿部</t>
  </si>
  <si>
    <t>shota.abe009@example-ad.test</t>
  </si>
  <si>
    <t>25000001</t>
  </si>
  <si>
    <t>リー</t>
  </si>
  <si>
    <t>エミリー</t>
  </si>
  <si>
    <t>lee.emily010@media-sample.invalid</t>
  </si>
  <si>
    <t>26000001</t>
  </si>
  <si>
    <t>近藤</t>
  </si>
  <si>
    <t>misaki.kondo011@demo-agency.example</t>
  </si>
  <si>
    <t>16000002</t>
  </si>
  <si>
    <t>遠藤</t>
  </si>
  <si>
    <t>mai.endo012@ads-local.test</t>
  </si>
  <si>
    <t>17000002</t>
  </si>
  <si>
    <t>西村</t>
  </si>
  <si>
    <t>葵</t>
  </si>
  <si>
    <t>aoi.nishimura013@example-ad.test</t>
  </si>
  <si>
    <t>18000002</t>
  </si>
  <si>
    <t>三浦</t>
  </si>
  <si>
    <t>haruka.miura014@media-sample.invalid</t>
  </si>
  <si>
    <t>19000002</t>
  </si>
  <si>
    <t>ワン</t>
  </si>
  <si>
    <t>シャオリン</t>
  </si>
  <si>
    <t>wang.xl015@demo-agency.example</t>
  </si>
  <si>
    <t>20000002</t>
  </si>
  <si>
    <t>原田</t>
  </si>
  <si>
    <t>yuto.harada016@ads-local.test</t>
  </si>
  <si>
    <t>21000002</t>
  </si>
  <si>
    <t>野村</t>
  </si>
  <si>
    <t>shota.nomura017@example-ad.test</t>
  </si>
  <si>
    <t>22000002</t>
  </si>
  <si>
    <t>鈴木</t>
  </si>
  <si>
    <t>ryo.suzuki018@media-sample.invalid</t>
  </si>
  <si>
    <t>23000002</t>
  </si>
  <si>
    <t>伊藤</t>
  </si>
  <si>
    <t>misaki.ito019@demo-agency.example</t>
  </si>
  <si>
    <t>24000002</t>
  </si>
  <si>
    <t>チャン</t>
  </si>
  <si>
    <t>ウェイ</t>
  </si>
  <si>
    <t>zhang.wei020@ads-local.test</t>
  </si>
  <si>
    <t>25000002</t>
  </si>
  <si>
    <t>吉田</t>
  </si>
  <si>
    <t>aoi.yoshida021@example-ad.test</t>
  </si>
  <si>
    <t>26000002</t>
  </si>
  <si>
    <t>山口</t>
  </si>
  <si>
    <t>haruka.yamaguchi022@media-sample.invalid</t>
  </si>
  <si>
    <t>16000003</t>
  </si>
  <si>
    <t>木村</t>
  </si>
  <si>
    <t>kazuya.kimura023@demo-agency.example</t>
  </si>
  <si>
    <t>17000003</t>
  </si>
  <si>
    <t>斎藤</t>
  </si>
  <si>
    <t>yuto.saito024@ads-local.test</t>
  </si>
  <si>
    <t>18000003</t>
  </si>
  <si>
    <t>グエン</t>
  </si>
  <si>
    <t>アン</t>
  </si>
  <si>
    <t>nguyen.an025@example-ad.test</t>
  </si>
  <si>
    <t>19000003</t>
  </si>
  <si>
    <t>前田</t>
  </si>
  <si>
    <t>ryo.maeda026@media-sample.invalid</t>
  </si>
  <si>
    <t>20000003</t>
  </si>
  <si>
    <t>長谷川</t>
  </si>
  <si>
    <t>misaki.hasegawa027@demo-agency.example</t>
  </si>
  <si>
    <t>21000003</t>
  </si>
  <si>
    <t>石井</t>
  </si>
  <si>
    <t>mai.ishii028@ads-local.test</t>
  </si>
  <si>
    <t>22000003</t>
  </si>
  <si>
    <t>青木</t>
  </si>
  <si>
    <t>aoi.aoki029@example-ad.test</t>
  </si>
  <si>
    <t>23000003</t>
  </si>
  <si>
    <t>トラン</t>
  </si>
  <si>
    <t>リン</t>
  </si>
  <si>
    <t>tran.linh030@media-sample.invalid</t>
  </si>
  <si>
    <t>24000003</t>
  </si>
  <si>
    <t>藤原</t>
  </si>
  <si>
    <t>kazuya.fujiwara031@demo-agency.example</t>
  </si>
  <si>
    <t>25000003</t>
  </si>
  <si>
    <t>中川</t>
  </si>
  <si>
    <t>yuto.nakagawa032@ads-local.test</t>
  </si>
  <si>
    <t>26000003</t>
  </si>
  <si>
    <t>小川</t>
  </si>
  <si>
    <t>shota.ogawa033@example-ad.test</t>
  </si>
  <si>
    <t>16000004</t>
  </si>
  <si>
    <t>金子</t>
  </si>
  <si>
    <t>ryo.kaneko034@media-sample.invalid</t>
  </si>
  <si>
    <t>17000004</t>
  </si>
  <si>
    <t>スミス</t>
  </si>
  <si>
    <t>ジョン</t>
  </si>
  <si>
    <t>smith.john035@demo-agency.example</t>
  </si>
  <si>
    <t>18000004</t>
  </si>
  <si>
    <t>渡辺</t>
  </si>
  <si>
    <t>mai.watanabe036@ads-local.test</t>
  </si>
  <si>
    <t>19000004</t>
  </si>
  <si>
    <t>小林</t>
  </si>
  <si>
    <t>aoi.kobayashi037@example-ad.test</t>
  </si>
  <si>
    <t>20000004</t>
  </si>
  <si>
    <t>山田</t>
  </si>
  <si>
    <t>haruka.yamada038@media-sample.invalid</t>
  </si>
  <si>
    <t>21000004</t>
  </si>
  <si>
    <t>松本</t>
  </si>
  <si>
    <t>kazuya.matsumoto039@demo-agency.example</t>
  </si>
  <si>
    <t>22000004</t>
  </si>
  <si>
    <t>ブラウン</t>
  </si>
  <si>
    <t>アリス</t>
  </si>
  <si>
    <t>brown.alice040@ads-local.test</t>
  </si>
  <si>
    <t>23000004</t>
  </si>
  <si>
    <t>池田</t>
  </si>
  <si>
    <t>shota.ikeda041@example-ad.test</t>
  </si>
  <si>
    <t>24000004</t>
  </si>
  <si>
    <t>森</t>
  </si>
  <si>
    <t>ryo.mori042@media-sample.invalid</t>
  </si>
  <si>
    <t>25000004</t>
  </si>
  <si>
    <t>藤田</t>
  </si>
  <si>
    <t>misaki.fujita043@demo-agency.example</t>
  </si>
  <si>
    <t>26000004</t>
  </si>
  <si>
    <t>村上</t>
  </si>
  <si>
    <t>mai.murakami044@ads-local.test</t>
  </si>
  <si>
    <t>16000005</t>
  </si>
  <si>
    <t>ジョンソン</t>
  </si>
  <si>
    <t>マイケル</t>
  </si>
  <si>
    <t>johnson.michael045@example-ad.test</t>
  </si>
  <si>
    <t>17000005</t>
  </si>
  <si>
    <t>藤井</t>
  </si>
  <si>
    <t>haruka.fujii046@media-sample.invalid</t>
  </si>
  <si>
    <t>18000005</t>
  </si>
  <si>
    <t>太田</t>
  </si>
  <si>
    <t>kazuya.ota047@demo-agency.example</t>
  </si>
  <si>
    <t>19000005</t>
  </si>
  <si>
    <t>岡本</t>
  </si>
  <si>
    <t>yuto.okamoto048@ads-local.test</t>
  </si>
  <si>
    <t>20000005</t>
  </si>
  <si>
    <t>中島</t>
  </si>
  <si>
    <t>shota.nakajima049@example-ad.test</t>
  </si>
  <si>
    <t>21000005</t>
  </si>
  <si>
    <t>ガルシア</t>
  </si>
  <si>
    <t>ソフィア</t>
  </si>
  <si>
    <t>garcia.sophia050@media-sample.invalid</t>
  </si>
  <si>
    <t>22000005</t>
  </si>
  <si>
    <t>misaki.sato051@demo-agency.example</t>
  </si>
  <si>
    <t>23000005</t>
  </si>
  <si>
    <t>mai.tanaka052@ads-local.test</t>
  </si>
  <si>
    <t>24000005</t>
  </si>
  <si>
    <t>aoi.yamamoto053@example-ad.test</t>
  </si>
  <si>
    <t>25000005</t>
  </si>
  <si>
    <t>haruka.kato054@media-sample.invalid</t>
  </si>
  <si>
    <t>26000005</t>
  </si>
  <si>
    <t>マルティン</t>
  </si>
  <si>
    <t>ルーカス</t>
  </si>
  <si>
    <t>martin.lucas055@demo-agency.example</t>
  </si>
  <si>
    <t>16000006</t>
  </si>
  <si>
    <t>yuto.inoue056@ads-local.test</t>
  </si>
  <si>
    <t>17000006</t>
  </si>
  <si>
    <t>shota.shimizu057@example-ad.test</t>
  </si>
  <si>
    <t>18000006</t>
  </si>
  <si>
    <t>ryo.hashimoto058@media-sample.invalid</t>
  </si>
  <si>
    <t>19000006</t>
  </si>
  <si>
    <t>misaki.abe059@demo-agency.example</t>
  </si>
  <si>
    <t>20000006</t>
  </si>
  <si>
    <t>デュポン</t>
  </si>
  <si>
    <t>クロエ</t>
  </si>
  <si>
    <t>dupont.chloe060@ads-local.test</t>
  </si>
  <si>
    <t>21000006</t>
  </si>
  <si>
    <t>aoi.kondo061@example-ad.test</t>
  </si>
  <si>
    <t>22000006</t>
  </si>
  <si>
    <t>haruka.endo062@media-sample.invalid</t>
  </si>
  <si>
    <t>23000006</t>
  </si>
  <si>
    <t>kazuya.nishimura063@demo-agency.example</t>
  </si>
  <si>
    <t>24000006</t>
  </si>
  <si>
    <t>yuto.miura064@ads-local.test</t>
  </si>
  <si>
    <t>25000006</t>
  </si>
  <si>
    <t>ロッシ</t>
  </si>
  <si>
    <t>マルコ</t>
  </si>
  <si>
    <t>rossi.marco065@example-ad.test</t>
  </si>
  <si>
    <t>26000006</t>
  </si>
  <si>
    <t>ryo.harada066@media-sample.invalid</t>
  </si>
  <si>
    <t>16000007</t>
  </si>
  <si>
    <t>misaki.nomura067@demo-agency.example</t>
  </si>
  <si>
    <t>17000007</t>
  </si>
  <si>
    <t>mai.suzuki068@ads-local.test</t>
  </si>
  <si>
    <t>18000007</t>
  </si>
  <si>
    <t>aoi.ito069@example-ad.test</t>
  </si>
  <si>
    <t>19000007</t>
  </si>
  <si>
    <t>ミラー</t>
  </si>
  <si>
    <t>オリビア</t>
  </si>
  <si>
    <t>miller.olivia070@media-sample.invalid</t>
  </si>
  <si>
    <t>20000007</t>
  </si>
  <si>
    <t>kazuya.yoshida071@demo-agency.example</t>
  </si>
  <si>
    <t>21000007</t>
  </si>
  <si>
    <t>yuto.yamaguchi072@ads-local.test</t>
  </si>
  <si>
    <t>22000007</t>
  </si>
  <si>
    <t>shota.kimura073@example-ad.test</t>
  </si>
  <si>
    <t>23000007</t>
  </si>
  <si>
    <t>ryo.saito074@media-sample.invalid</t>
  </si>
  <si>
    <t>24000007</t>
  </si>
  <si>
    <t>パテル</t>
  </si>
  <si>
    <t>アーリア</t>
  </si>
  <si>
    <t>patel.aarya075@demo-agency.example</t>
  </si>
  <si>
    <t>25000007</t>
  </si>
  <si>
    <t>mai.maeda076@ads-local.test</t>
  </si>
  <si>
    <t>26000007</t>
  </si>
  <si>
    <t>aoi.hasegawa077@example-ad.test</t>
  </si>
  <si>
    <t>16000008</t>
  </si>
  <si>
    <t>haruka.ishii078@media-sample.invalid</t>
  </si>
  <si>
    <t>17000008</t>
  </si>
  <si>
    <t>kazuya.aoki079@demo-agency.example</t>
  </si>
  <si>
    <t>18000008</t>
  </si>
  <si>
    <t>アリ</t>
  </si>
  <si>
    <t>ファティマ</t>
  </si>
  <si>
    <t>ali.fatima080@ads-local.test</t>
  </si>
  <si>
    <t>19000008</t>
  </si>
  <si>
    <t>shota.fujiwara081@example-ad.test</t>
  </si>
  <si>
    <t>20000008</t>
  </si>
  <si>
    <t>ryo.nakagawa082@media-sample.invalid</t>
  </si>
  <si>
    <t>21000008</t>
  </si>
  <si>
    <t>misaki.ogawa083@demo-agency.example</t>
  </si>
  <si>
    <t>22000008</t>
  </si>
  <si>
    <t>mai.kaneko084@ads-local.test</t>
  </si>
  <si>
    <t>23000008</t>
  </si>
  <si>
    <t>パク</t>
  </si>
  <si>
    <t>ジフン</t>
  </si>
  <si>
    <t>park.jihoon085@example-ad.test</t>
  </si>
  <si>
    <t>24000008</t>
  </si>
  <si>
    <t>haruka.watanabe086@media-sample.invalid</t>
  </si>
  <si>
    <t>25000008</t>
  </si>
  <si>
    <t>kazuya.kobayashi087@demo-agency.example</t>
  </si>
  <si>
    <t>26000008</t>
  </si>
  <si>
    <t>yuto.yamada088@ads-local.test</t>
  </si>
  <si>
    <t>16000009</t>
  </si>
  <si>
    <t>shota.matsumoto089@example-ad.test</t>
  </si>
  <si>
    <t>17000009</t>
  </si>
  <si>
    <t>チェン</t>
  </si>
  <si>
    <t>メイ</t>
  </si>
  <si>
    <t>chen.mei090@media-sample.invalid</t>
  </si>
  <si>
    <t>18000009</t>
  </si>
  <si>
    <t>misaki.ikeda091@demo-agency.example</t>
  </si>
  <si>
    <t>19000009</t>
  </si>
  <si>
    <t>mai.mori092@ads-local.test</t>
  </si>
  <si>
    <t>20000009</t>
  </si>
  <si>
    <t>aoi.fujita093@example-ad.test</t>
  </si>
  <si>
    <t>21000009</t>
  </si>
  <si>
    <t>haruka.murakami094@media-sample.invalid</t>
  </si>
  <si>
    <t>22000009</t>
  </si>
  <si>
    <t>ウィルソン</t>
  </si>
  <si>
    <t>ノア</t>
  </si>
  <si>
    <t>wilson.noah095@demo-agency.example</t>
  </si>
  <si>
    <t>23000009</t>
  </si>
  <si>
    <t>yuto.fujii096@ads-local.test</t>
  </si>
  <si>
    <t>24000009</t>
  </si>
  <si>
    <t>shota.ota097@example-ad.test</t>
  </si>
  <si>
    <t>25000009</t>
  </si>
  <si>
    <t>ryo.okamoto098@media-sample.invalid</t>
  </si>
  <si>
    <t>26000009</t>
  </si>
  <si>
    <t>misaki.nakajima099@demo-agency.example</t>
  </si>
  <si>
    <t>16000010</t>
  </si>
  <si>
    <t>デイビス</t>
  </si>
  <si>
    <t>エマ</t>
  </si>
  <si>
    <t>davis.emma100@ads-local.test</t>
  </si>
  <si>
    <t>17000010</t>
  </si>
  <si>
    <t>aoi.sato101@example-ad.test</t>
  </si>
  <si>
    <t>18000010</t>
  </si>
  <si>
    <t>haruka.tanaka102@media-sample.invalid</t>
  </si>
  <si>
    <t>19000010</t>
  </si>
  <si>
    <t>kazuya.yamamoto103@demo-agency.example</t>
  </si>
  <si>
    <t>20000010</t>
  </si>
  <si>
    <t>yuto.kato104@ads-local.test</t>
  </si>
  <si>
    <t>21000010</t>
  </si>
  <si>
    <t>ホセ</t>
  </si>
  <si>
    <t>カルロス</t>
  </si>
  <si>
    <t>jose.carlos105@example-ad.test</t>
  </si>
  <si>
    <t>22000010</t>
  </si>
  <si>
    <t>ryo.inoue106@media-sample.invalid</t>
  </si>
  <si>
    <t>23000010</t>
  </si>
  <si>
    <t>misaki.shimizu107@demo-agency.example</t>
  </si>
  <si>
    <t>24000010</t>
  </si>
  <si>
    <t>mai.hashimoto108@ads-local.test</t>
  </si>
  <si>
    <t>25000010</t>
  </si>
  <si>
    <t>aoi.abe109@example-ad.test</t>
  </si>
  <si>
    <t>26000010</t>
  </si>
  <si>
    <t>サントス</t>
  </si>
  <si>
    <t>マリア</t>
  </si>
  <si>
    <t>santos.maria110@media-sample.invalid</t>
  </si>
  <si>
    <t>16000011</t>
  </si>
  <si>
    <t>kazuya.kondo111@demo-agency.example</t>
  </si>
  <si>
    <t>17000011</t>
  </si>
  <si>
    <t>yuto.endo112@ads-local.test</t>
  </si>
  <si>
    <t>18000011</t>
  </si>
  <si>
    <t>shota.nishimura113@example-ad.test</t>
  </si>
  <si>
    <t>19000011</t>
  </si>
  <si>
    <t>ryo.miura114@media-sample.invalid</t>
  </si>
  <si>
    <t>20000011</t>
  </si>
  <si>
    <t>イブラヒム</t>
  </si>
  <si>
    <t>アミナ</t>
  </si>
  <si>
    <t>ibrahim.amina115@demo-agency.example</t>
  </si>
  <si>
    <t>21000011</t>
  </si>
  <si>
    <t>mai.harada116@ads-local.test</t>
  </si>
  <si>
    <t>22000011</t>
  </si>
  <si>
    <t>aoi.nomura117@example-ad.test</t>
  </si>
  <si>
    <t>23000011</t>
  </si>
  <si>
    <t>haruka.suzuki118@media-sample.invalid</t>
  </si>
  <si>
    <t>24000011</t>
  </si>
  <si>
    <t>kazuya.ito119@demo-agency.example</t>
  </si>
  <si>
    <t>25000011</t>
  </si>
  <si>
    <t>コバチ</t>
  </si>
  <si>
    <t>アンナ</t>
  </si>
  <si>
    <t>kovac.anna120@ads-local.test</t>
  </si>
  <si>
    <t>26000011</t>
  </si>
  <si>
    <t>shota.yoshida121@example-ad.test</t>
  </si>
  <si>
    <t>16000012</t>
  </si>
  <si>
    <t>ryo.yamaguchi122@media-sample.invalid</t>
  </si>
  <si>
    <t>17000012</t>
  </si>
  <si>
    <t>misaki.kimura123@demo-agency.example</t>
  </si>
  <si>
    <t>18000012</t>
  </si>
  <si>
    <t>mai.saito124@ads-local.test</t>
  </si>
  <si>
    <t>19000012</t>
  </si>
  <si>
    <t>シュミット</t>
  </si>
  <si>
    <t>レオン</t>
  </si>
  <si>
    <t>schmidt.leon125@example-ad.test</t>
  </si>
  <si>
    <t>20000012</t>
  </si>
  <si>
    <t>haruka.maeda126@media-sample.invalid</t>
  </si>
  <si>
    <t>21000012</t>
  </si>
  <si>
    <t>kazuya.hasegawa127@demo-agency.example</t>
  </si>
  <si>
    <t>22000012</t>
  </si>
  <si>
    <t>yuto.ishii128@ads-local.test</t>
  </si>
  <si>
    <t>23000012</t>
  </si>
  <si>
    <t>shota.aoki129@example-ad.test</t>
  </si>
  <si>
    <t>24000012</t>
  </si>
  <si>
    <t>モレノ</t>
  </si>
  <si>
    <t>ラウラ</t>
  </si>
  <si>
    <t>moreno.laura130@media-sample.invalid</t>
  </si>
  <si>
    <t>25000012</t>
  </si>
  <si>
    <t>misaki.fujiwara131@demo-agency.example</t>
  </si>
  <si>
    <t>26000012</t>
  </si>
  <si>
    <t>mai.nakagawa132@ads-local.test</t>
  </si>
  <si>
    <t>16000013</t>
  </si>
  <si>
    <t>aoi.ogawa133@example-ad.test</t>
  </si>
  <si>
    <t>17000013</t>
  </si>
  <si>
    <t>haruka.kaneko134@media-sample.invalid</t>
  </si>
  <si>
    <t>18000013</t>
  </si>
  <si>
    <t>アンダーソン</t>
  </si>
  <si>
    <t>リアム</t>
  </si>
  <si>
    <t>anderson.liam135@demo-agency.example</t>
  </si>
  <si>
    <t>19000013</t>
  </si>
  <si>
    <t>yuto.watanabe136@ads-local.test</t>
  </si>
  <si>
    <t>20000013</t>
  </si>
  <si>
    <t>shota.kobayashi137@example-ad.test</t>
  </si>
  <si>
    <t>21000013</t>
  </si>
  <si>
    <t>ryo.yamada138@media-sample.invalid</t>
  </si>
  <si>
    <t>22000013</t>
  </si>
  <si>
    <t>misaki.matsumoto139@demo-agency.example</t>
  </si>
  <si>
    <t>23000013</t>
  </si>
  <si>
    <t>タナカ</t>
  </si>
  <si>
    <t>ケン</t>
  </si>
  <si>
    <t>tanaka.ken140@ads-local.test</t>
  </si>
  <si>
    <t>24000013</t>
  </si>
  <si>
    <t>aoi.ikeda141@example-ad.test</t>
  </si>
  <si>
    <t>25000013</t>
  </si>
  <si>
    <t>haruka.mori142@media-sample.invalid</t>
  </si>
  <si>
    <t>26000013</t>
  </si>
  <si>
    <t>kazuya.fujita143@demo-agency.example</t>
  </si>
  <si>
    <t>16000014</t>
  </si>
  <si>
    <t>yuto.murakami144@ads-local.test</t>
  </si>
  <si>
    <t>17000014</t>
  </si>
  <si>
    <t>ナカムラ</t>
  </si>
  <si>
    <t>ユミ</t>
  </si>
  <si>
    <t>nakamura.yumi145@example-ad.test</t>
  </si>
  <si>
    <t>18000014</t>
  </si>
  <si>
    <t>ryo.fujii146@media-sample.invalid</t>
  </si>
  <si>
    <t>19000014</t>
  </si>
  <si>
    <t>misaki.ota147@demo-agency.example</t>
  </si>
  <si>
    <t>20000014</t>
  </si>
  <si>
    <t>mai.okamoto148@ads-local.test</t>
  </si>
  <si>
    <t>21000014</t>
  </si>
  <si>
    <t>aoi.nakajima149@example-ad.test</t>
  </si>
  <si>
    <t>22000014</t>
  </si>
  <si>
    <t>カーン</t>
  </si>
  <si>
    <t>サミル</t>
  </si>
  <si>
    <t>khan.samir150@media-sample.invalid</t>
  </si>
  <si>
    <t>23000014</t>
  </si>
  <si>
    <t>kazuya.sato151@demo-agency.example</t>
  </si>
  <si>
    <t>24000014</t>
  </si>
  <si>
    <t>yuto.tanaka152@ads-local.test</t>
  </si>
  <si>
    <t>25000014</t>
  </si>
  <si>
    <t>shota.yamamoto153@example-ad.test</t>
  </si>
  <si>
    <t>26000014</t>
  </si>
  <si>
    <t>ryo.kato154@media-sample.invalid</t>
  </si>
  <si>
    <t>16000015</t>
  </si>
  <si>
    <t>オコンネル</t>
  </si>
  <si>
    <t>ショーン</t>
  </si>
  <si>
    <t>oconnell.sean155@demo-agency.example</t>
  </si>
  <si>
    <t>17000015</t>
  </si>
  <si>
    <t>mai.inoue156@ads-local.test</t>
  </si>
  <si>
    <t>18000015</t>
  </si>
  <si>
    <t>aoi.shimizu157@example-ad.test</t>
  </si>
  <si>
    <t>19000015</t>
  </si>
  <si>
    <t>haruka.hashimoto158@media-sample.invalid</t>
  </si>
  <si>
    <t>20000015</t>
  </si>
  <si>
    <t>kazuya.abe159@demo-agency.example</t>
  </si>
  <si>
    <t>21000015</t>
  </si>
  <si>
    <t>シルバ</t>
  </si>
  <si>
    <t>ブルーノ</t>
  </si>
  <si>
    <t>silva.bruno160@ads-local.test</t>
  </si>
  <si>
    <t>22000015</t>
  </si>
  <si>
    <t>shota.kondo161@example-ad.test</t>
  </si>
  <si>
    <t>23000015</t>
  </si>
  <si>
    <t>ryo.endo162@media-sample.invalid</t>
  </si>
  <si>
    <t>24000015</t>
  </si>
  <si>
    <t>misaki.nishimura163@demo-agency.example</t>
  </si>
  <si>
    <t>25000015</t>
  </si>
  <si>
    <t>mai.miura164@ads-local.test</t>
  </si>
  <si>
    <t>26000015</t>
  </si>
  <si>
    <t>ロペス</t>
  </si>
  <si>
    <t>イサベル</t>
  </si>
  <si>
    <t>lopez.isabel165@example-ad.test</t>
  </si>
  <si>
    <t>16000016</t>
  </si>
  <si>
    <t>haruka.harada166@media-sample.invalid</t>
  </si>
  <si>
    <t>17000016</t>
  </si>
  <si>
    <t>kazuya.nomura167@demo-agency.example</t>
  </si>
  <si>
    <t>18000016</t>
  </si>
  <si>
    <t>yuto.suzuki168@ads-local.test</t>
  </si>
  <si>
    <t>19000016</t>
  </si>
  <si>
    <t>shota.ito169@example-ad.test</t>
  </si>
  <si>
    <t>20000016</t>
  </si>
  <si>
    <t>ラフマン</t>
  </si>
  <si>
    <t>ナディア</t>
  </si>
  <si>
    <t>rahman.nadia170@media-sample.invalid</t>
  </si>
  <si>
    <t>21000016</t>
  </si>
  <si>
    <t>misaki.yoshida171@demo-agency.example</t>
  </si>
  <si>
    <t>22000016</t>
  </si>
  <si>
    <t>mai.yamaguchi172@ads-local.test</t>
  </si>
  <si>
    <t>23000016</t>
  </si>
  <si>
    <t>aoi.kimura173@example-ad.test</t>
  </si>
  <si>
    <t>24000016</t>
  </si>
  <si>
    <t>haruka.saito174@media-sample.invalid</t>
  </si>
  <si>
    <t>25000016</t>
  </si>
  <si>
    <t>モハメド</t>
  </si>
  <si>
    <t>ユスフ</t>
  </si>
  <si>
    <t>mohamed.yusuf175@demo-agency.example</t>
  </si>
  <si>
    <t>26000016</t>
  </si>
  <si>
    <t>yuto.maeda176@ads-local.test</t>
  </si>
  <si>
    <t>16000017</t>
  </si>
  <si>
    <t>shota.hasegawa177@example-ad.test</t>
  </si>
  <si>
    <t>17000017</t>
  </si>
  <si>
    <t>ryo.ishii178@media-sample.invalid</t>
  </si>
  <si>
    <t>18000017</t>
  </si>
  <si>
    <t>misaki.aoki179@demo-agency.example</t>
  </si>
  <si>
    <t>19000017</t>
  </si>
  <si>
    <t>リュウ</t>
  </si>
  <si>
    <t>ハオ</t>
  </si>
  <si>
    <t>liu.hao180@ads-local.test</t>
  </si>
  <si>
    <t>20000017</t>
  </si>
  <si>
    <t>aoi.fujiwara181@example-ad.test</t>
  </si>
  <si>
    <t>21000017</t>
  </si>
  <si>
    <t>haruka.nakagawa182@media-sample.invalid</t>
  </si>
  <si>
    <t>22000017</t>
  </si>
  <si>
    <t>kazuya.ogawa183@demo-agency.example</t>
  </si>
  <si>
    <t>23000017</t>
  </si>
  <si>
    <t>yuto.kaneko184@ads-local.test</t>
  </si>
  <si>
    <t>24000017</t>
  </si>
  <si>
    <t>チョウ</t>
  </si>
  <si>
    <t>ユナ</t>
  </si>
  <si>
    <t>cho.yuna185@example-ad.test</t>
  </si>
  <si>
    <t>25000017</t>
  </si>
  <si>
    <t>ryo.watanabe186@media-sample.invalid</t>
  </si>
  <si>
    <t>26000017</t>
  </si>
  <si>
    <t>misaki.kobayashi187@demo-agency.example</t>
  </si>
  <si>
    <t>16000018</t>
  </si>
  <si>
    <t>mai.yamada188@ads-local.test</t>
  </si>
  <si>
    <t>17000018</t>
  </si>
  <si>
    <t>aoi.matsumoto189@example-ad.test</t>
  </si>
  <si>
    <t>18000018</t>
  </si>
  <si>
    <t>ベッカー</t>
  </si>
  <si>
    <t>ミア</t>
  </si>
  <si>
    <t>becker.mia190@media-sample.invalid</t>
  </si>
  <si>
    <t>19000018</t>
  </si>
  <si>
    <t>kazuya.ikeda191@demo-agency.example</t>
  </si>
  <si>
    <t>20000018</t>
  </si>
  <si>
    <t>yuto.mori192@ads-local.test</t>
  </si>
  <si>
    <t>21000018</t>
  </si>
  <si>
    <t>shota.fujita193@example-ad.test</t>
  </si>
  <si>
    <t>22000018</t>
  </si>
  <si>
    <t>ryo.murakami194@media-sample.invalid</t>
  </si>
  <si>
    <t>23000018</t>
  </si>
  <si>
    <t>ロビンソン</t>
  </si>
  <si>
    <t>エイデン</t>
  </si>
  <si>
    <t>robinson.aiden195@demo-agency.example</t>
  </si>
  <si>
    <t>24000018</t>
  </si>
  <si>
    <t>mai.fujii196@ads-local.test</t>
  </si>
  <si>
    <t>25000018</t>
  </si>
  <si>
    <t>aoi.ota197@example-ad.test</t>
  </si>
  <si>
    <t>26000018</t>
  </si>
  <si>
    <t>haruka.okamoto198@media-sample.invalid</t>
  </si>
  <si>
    <t>16000019</t>
  </si>
  <si>
    <t>kazuya.nakajima199@demo-agency.example</t>
  </si>
  <si>
    <t>17000019</t>
  </si>
  <si>
    <t>ネルソン</t>
  </si>
  <si>
    <t>エラ</t>
  </si>
  <si>
    <t>nelson.ella200@ads-local.test</t>
  </si>
  <si>
    <t>sales.clients</t>
  </si>
  <si>
    <t>取引先マスター</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</si>
  <si>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</si>
  <si>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</si>
  <si>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</si>
  <si>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</si>
  <si>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</si>
  <si>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</si>
  <si>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</si>
  <si>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</si>
  <si>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</si>
  <si>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</si>
  <si>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</si>
  <si>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</si>
  <si>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</si>
  <si>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</si>
  <si>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</si>
  <si>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</si>
  <si>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</si>
  <si>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</si>
  <si>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使用頻度低。集合住宅名・部屋番号等）</t>
  </si>
  <si>
    <t>市区町村（日本: 市区町村に相当）</t>
  </si>
  <si>
    <t>都道府県・州（日本: 都道府県に相当）</t>
  </si>
  <si>
    <t>郵便番号（日本: ハイフンなし例1500001）</t>
  </si>
  <si>
    <t>国コード（ISO 3166-1 alpha-2）</t>
  </si>
  <si>
    <t>有効フラグ</t>
  </si>
  <si>
    <t>NVarChar(200)</t>
  </si>
  <si>
    <t>Char(2)</t>
  </si>
  <si>
    <t>JC000001</t>
  </si>
  <si>
    <t>株式会社青山デジタルマーケット</t>
  </si>
  <si>
    <t>カブシキガイシャアオヤマデジタルマーケット</t>
  </si>
  <si>
    <t>佐藤 健一</t>
  </si>
  <si>
    <t>03-3000-1000</t>
  </si>
  <si>
    <t>contact001@aoyama-digital.client-sample.test</t>
  </si>
  <si>
    <t>神宮前3-12-8 青山クロスビル</t>
  </si>
  <si>
    <t>30号室</t>
  </si>
  <si>
    <t>渋谷区</t>
  </si>
  <si>
    <t>東京都</t>
  </si>
  <si>
    <t>1500001</t>
  </si>
  <si>
    <t>JP</t>
  </si>
  <si>
    <t>JC000002</t>
  </si>
  <si>
    <t>渋谷ライフスタイル合同会社</t>
  </si>
  <si>
    <t>シブヤライフスタイルゴウドウガイシャ</t>
  </si>
  <si>
    <t>鈴木 翔太</t>
  </si>
  <si>
    <t>03-3037-1053</t>
  </si>
  <si>
    <t>contact002@shibuya-life.brand-demo.invalid</t>
  </si>
  <si>
    <t>道玄坂2-18-5 渋谷マークス</t>
  </si>
  <si>
    <t>47号室</t>
  </si>
  <si>
    <t>1500043</t>
  </si>
  <si>
    <t>JC000003</t>
  </si>
  <si>
    <t>有限会社銀座コスメティクス</t>
  </si>
  <si>
    <t>ユウゲンガイシャギンザコスメティクス</t>
  </si>
  <si>
    <t>高橋 彩香</t>
  </si>
  <si>
    <t>03-3074-1106</t>
  </si>
  <si>
    <t>contact003@ginza-cosme.example-customer.test</t>
  </si>
  <si>
    <t>銀座4-6-12 銀座セントラル</t>
  </si>
  <si>
    <t>54号室</t>
  </si>
  <si>
    <t>中央区</t>
  </si>
  <si>
    <t>1040061</t>
  </si>
  <si>
    <t>JC000004</t>
  </si>
  <si>
    <t>日本フィットネスラボ株式会社</t>
  </si>
  <si>
    <t>ニホンフィットネスラボカブシキガイシャ</t>
  </si>
  <si>
    <t>田中 誠</t>
  </si>
  <si>
    <t>03-3111-1159</t>
  </si>
  <si>
    <t>contact004@fitness-lab.jp-market.invalid</t>
  </si>
  <si>
    <t>丸の内1-9-2 丸の内テラス</t>
  </si>
  <si>
    <t>61号室</t>
  </si>
  <si>
    <t>千代田区</t>
  </si>
  <si>
    <t>1000005</t>
  </si>
  <si>
    <t>JC000005</t>
  </si>
  <si>
    <t>合同会社東京フードリンク</t>
  </si>
  <si>
    <t>ゴウドウガイシャトウキョウフードリンク</t>
  </si>
  <si>
    <t>伊藤 麻衣</t>
  </si>
  <si>
    <t>03-3148-1212</t>
  </si>
  <si>
    <t>contact005@tokyo-food.ad-client.example</t>
  </si>
  <si>
    <t>西新宿7-10-6 新宿グランド</t>
  </si>
  <si>
    <t>78号室</t>
  </si>
  <si>
    <t>新宿区</t>
  </si>
  <si>
    <t>1600023</t>
  </si>
  <si>
    <t>JC000006</t>
  </si>
  <si>
    <t>丸の内ビジネススクール有限会社</t>
  </si>
  <si>
    <t>マルノウチビジネススクールユウゲンガイシャ</t>
  </si>
  <si>
    <t>渡辺 陽介</t>
  </si>
  <si>
    <t>03-3185-1265</t>
  </si>
  <si>
    <t>contact006@marunouchi-school.client-sample.test</t>
  </si>
  <si>
    <t>港南2-16-4 品川オフィスタワー</t>
  </si>
  <si>
    <t>85号室</t>
  </si>
  <si>
    <t>港区</t>
  </si>
  <si>
    <t>1080075</t>
  </si>
  <si>
    <t>JC000007</t>
  </si>
  <si>
    <t>株式会社表参道アパレル</t>
  </si>
  <si>
    <t>カブシキガイシャオモテサンドウアパレル</t>
  </si>
  <si>
    <t>山本 奈々</t>
  </si>
  <si>
    <t>045-3222-1318</t>
  </si>
  <si>
    <t>contact007@omotesando-apparel.brand-demo.invalid</t>
  </si>
  <si>
    <t>北幸1-4-1 横浜ビジネススクエア</t>
  </si>
  <si>
    <t>92号室</t>
  </si>
  <si>
    <t>横浜市西区</t>
  </si>
  <si>
    <t>神奈川県</t>
  </si>
  <si>
    <t>2200004</t>
  </si>
  <si>
    <t>JC000008</t>
  </si>
  <si>
    <t>新宿トラベルサービス合同会社</t>
  </si>
  <si>
    <t>シンジュクトラベルサービスゴウドウガイシャ</t>
  </si>
  <si>
    <t>キム ミンジュン</t>
  </si>
  <si>
    <t>045-3259-1371</t>
  </si>
  <si>
    <t>contact008@shinjuku-travel.example-customer.test</t>
  </si>
  <si>
    <t>みなとみらい3-6-1 MMイースト</t>
  </si>
  <si>
    <t>109号室</t>
  </si>
  <si>
    <t>2200012</t>
  </si>
  <si>
    <t>JC000009</t>
  </si>
  <si>
    <t>有限会社品川クラウドソリューション</t>
  </si>
  <si>
    <t>ユウゲンガイシャシナガワクラウドソリューション</t>
  </si>
  <si>
    <t>小林 遥</t>
  </si>
  <si>
    <t>043-3296-1424</t>
  </si>
  <si>
    <t>contact009@shinagawa-cloud.jp-market.invalid</t>
  </si>
  <si>
    <t>新千葉1-7-3 千葉駅前ビル</t>
  </si>
  <si>
    <t>116号室</t>
  </si>
  <si>
    <t>千葉市中央区</t>
  </si>
  <si>
    <t>千葉県</t>
  </si>
  <si>
    <t>2600031</t>
  </si>
  <si>
    <t>JC000010</t>
  </si>
  <si>
    <t>横浜ホームデザイン株式会社</t>
  </si>
  <si>
    <t>ヨコハマホームデザインカブシキガイシャ</t>
  </si>
  <si>
    <t>加藤 良太</t>
  </si>
  <si>
    <t>048-3333-1477</t>
  </si>
  <si>
    <t>contact010@yokohama-home.ad-client.example</t>
  </si>
  <si>
    <t>桜木町2-3-2 大宮ソニック前</t>
  </si>
  <si>
    <t>33号室</t>
  </si>
  <si>
    <t>さいたま市大宮区</t>
  </si>
  <si>
    <t>埼玉県</t>
  </si>
  <si>
    <t>3300854</t>
  </si>
  <si>
    <t>JC000011</t>
  </si>
  <si>
    <t>合同会社千葉ヘルスケア</t>
  </si>
  <si>
    <t>ゴウドウガイシャチバヘルスケア</t>
  </si>
  <si>
    <t>吉田 健一</t>
  </si>
  <si>
    <t>042-3370-1530</t>
  </si>
  <si>
    <t>contact011@chiba-health.client-sample.test</t>
  </si>
  <si>
    <t>曙町2-8-18 立川プラザ</t>
  </si>
  <si>
    <t>40号室</t>
  </si>
  <si>
    <t>立川市</t>
  </si>
  <si>
    <t>1900012</t>
  </si>
  <si>
    <t>JC000012</t>
  </si>
  <si>
    <t>大宮教育出版有限会社</t>
  </si>
  <si>
    <t>オオミヤキョウイクシュッパンユウゲンガイシャ</t>
  </si>
  <si>
    <t>山田 翔太</t>
  </si>
  <si>
    <t>03-3407-1583</t>
  </si>
  <si>
    <t>contact012@omiya-pub.brand-demo.invalid</t>
  </si>
  <si>
    <t>東池袋1-20-2 池袋デジタル館</t>
  </si>
  <si>
    <t>57号室</t>
  </si>
  <si>
    <t>豊島区</t>
  </si>
  <si>
    <t>1700013</t>
  </si>
  <si>
    <t>JC000013</t>
  </si>
  <si>
    <t>株式会社立川スポーツ用品</t>
  </si>
  <si>
    <t>カブシキガイシャタチカワスポーツヨウヒン</t>
  </si>
  <si>
    <t>佐々木 彩香</t>
  </si>
  <si>
    <t>03-3444-1636</t>
  </si>
  <si>
    <t>contact013@tachikawa-sports.example-customer.test</t>
  </si>
  <si>
    <t>64号室</t>
  </si>
  <si>
    <t>JC000014</t>
  </si>
  <si>
    <t>池袋ゲームスタジオ合同会社</t>
  </si>
  <si>
    <t>イケブクロゲームスタジオゴウドウガイシャ</t>
  </si>
  <si>
    <t>山口 誠</t>
  </si>
  <si>
    <t>03-3481-1689</t>
  </si>
  <si>
    <t>contact014@ikebukuro-game.jp-market.invalid</t>
  </si>
  <si>
    <t>71号室</t>
  </si>
  <si>
    <t>JC000015</t>
  </si>
  <si>
    <t>有限会社恵比寿ウェルネス</t>
  </si>
  <si>
    <t>ユウゲンガイシャエビスウェルネス</t>
  </si>
  <si>
    <t>松本 麻衣</t>
  </si>
  <si>
    <t>03-3518-1742</t>
  </si>
  <si>
    <t>contact015@ebisu-wellness.ad-client.example</t>
  </si>
  <si>
    <t>88号室</t>
  </si>
  <si>
    <t>JC000016</t>
  </si>
  <si>
    <t>六本木イベント企画株式会社</t>
  </si>
  <si>
    <t>ロッポンギイベントキカクカブシキガイシャ</t>
  </si>
  <si>
    <t>井上 陽介</t>
  </si>
  <si>
    <t>03-3555-1795</t>
  </si>
  <si>
    <t>contact016@roppongi-event.client-sample.test</t>
  </si>
  <si>
    <t>95号室</t>
  </si>
  <si>
    <t>JC000017</t>
  </si>
  <si>
    <t>合同会社中目黒カフェグループ</t>
  </si>
  <si>
    <t>ゴウドウガイシャナカメグロカフェグループ</t>
  </si>
  <si>
    <t>木村 奈々</t>
  </si>
  <si>
    <t>03-3592-1848</t>
  </si>
  <si>
    <t>contact017@nakameguro-cafe.brand-demo.invalid</t>
  </si>
  <si>
    <t>102号室</t>
  </si>
  <si>
    <t>JC000018</t>
  </si>
  <si>
    <t>秋葉原ガジェット有限会社</t>
  </si>
  <si>
    <t>アキハバラガジェットユウゲンガイシャ</t>
  </si>
  <si>
    <t>リー エミリー</t>
  </si>
  <si>
    <t>03-3629-1901</t>
  </si>
  <si>
    <t>contact018@akihabara-gadget.example-customer.test</t>
  </si>
  <si>
    <t>119号室</t>
  </si>
  <si>
    <t>JC000019</t>
  </si>
  <si>
    <t>株式会社日本サブスクサービス</t>
  </si>
  <si>
    <t>カブシキガイシャニホンサブスクサービス</t>
  </si>
  <si>
    <t>清水 遥</t>
  </si>
  <si>
    <t>045-3666-1954</t>
  </si>
  <si>
    <t>contact019@subscription-jp.jp-market.invalid</t>
  </si>
  <si>
    <t>36号室</t>
  </si>
  <si>
    <t>JC000020</t>
  </si>
  <si>
    <t>東京ペットライフ合同会社</t>
  </si>
  <si>
    <t>トウキョウペットライフゴウドウガイシャ</t>
  </si>
  <si>
    <t>斎藤 良太</t>
  </si>
  <si>
    <t>045-3703-2007</t>
  </si>
  <si>
    <t>contact020@tokyo-pet.ad-client.example</t>
  </si>
  <si>
    <t>43号室</t>
  </si>
  <si>
    <t>JC000021</t>
  </si>
  <si>
    <t>有限会社東日本青山デジタルマーケット</t>
  </si>
  <si>
    <t>ユウゲンガイシャヒガシニホンアオヤマデジタルマーケット</t>
  </si>
  <si>
    <t>池田 健一</t>
  </si>
  <si>
    <t>043-3740-2060</t>
  </si>
  <si>
    <t>contact021@aoyama-digital.client-sample.test</t>
  </si>
  <si>
    <t>50号室</t>
  </si>
  <si>
    <t>JC000022</t>
  </si>
  <si>
    <t>東日本渋谷ライフスタイル株式会社</t>
  </si>
  <si>
    <t>ヒガシニホンシブヤライフスタイルカブシキガイシャ</t>
  </si>
  <si>
    <t>橋本 翔太</t>
  </si>
  <si>
    <t>048-3777-2113</t>
  </si>
  <si>
    <t>contact022@shibuya-life.brand-demo.invalid</t>
  </si>
  <si>
    <t>67号室</t>
  </si>
  <si>
    <t>JC000023</t>
  </si>
  <si>
    <t>合同会社東日本銀座コスメティクス</t>
  </si>
  <si>
    <t>ゴウドウガイシャヒガシニホンギンザコスメティクス</t>
  </si>
  <si>
    <t>石川 彩香</t>
  </si>
  <si>
    <t>042-3814-2166</t>
  </si>
  <si>
    <t>contact023@ginza-cosme.example-customer.test</t>
  </si>
  <si>
    <t>74号室</t>
  </si>
  <si>
    <t>JC000024</t>
  </si>
  <si>
    <t>東日本日本フィットネスラボ有限会社</t>
  </si>
  <si>
    <t>ヒガシニホンニホンフィットネスラボユウゲンガイシャ</t>
  </si>
  <si>
    <t>森 誠</t>
  </si>
  <si>
    <t>03-3851-2219</t>
  </si>
  <si>
    <t>contact024@fitness-lab.jp-market.invalid</t>
  </si>
  <si>
    <t>81号室</t>
  </si>
  <si>
    <t>JC000025</t>
  </si>
  <si>
    <t>株式会社東日本東京フードリンク</t>
  </si>
  <si>
    <t>カブシキガイシャヒガシニホントウキョウフードリンク</t>
  </si>
  <si>
    <t>阿部 麻衣</t>
  </si>
  <si>
    <t>03-3888-2272</t>
  </si>
  <si>
    <t>contact025@tokyo-food.ad-client.example</t>
  </si>
  <si>
    <t>98号室</t>
  </si>
  <si>
    <t>JC000026</t>
  </si>
  <si>
    <t>東日本丸の内ビジネススクール合同会社</t>
  </si>
  <si>
    <t>ヒガシニホンマルノウチビジネススクールゴウドウガイシャ</t>
  </si>
  <si>
    <t>前田 陽介</t>
  </si>
  <si>
    <t>03-3925-2325</t>
  </si>
  <si>
    <t>contact026@marunouchi-school.client-sample.test</t>
  </si>
  <si>
    <t>105号室</t>
  </si>
  <si>
    <t>JC000027</t>
  </si>
  <si>
    <t>有限会社東日本表参道アパレル</t>
  </si>
  <si>
    <t>ユウゲンガイシャヒガシニホンオモテサンドウアパレル</t>
  </si>
  <si>
    <t>藤田 奈々</t>
  </si>
  <si>
    <t>03-3962-2378</t>
  </si>
  <si>
    <t>contact027@omotesando-apparel.brand-demo.invalid</t>
  </si>
  <si>
    <t>112号室</t>
  </si>
  <si>
    <t>JC000028</t>
  </si>
  <si>
    <t>東日本新宿トラベルサービス株式会社</t>
  </si>
  <si>
    <t>ヒガシニホンシンジュクトラベルサービスカブシキガイシャ</t>
  </si>
  <si>
    <t>グエン アン</t>
  </si>
  <si>
    <t>03-3999-2431</t>
  </si>
  <si>
    <t>contact028@shinjuku-travel.example-customer.test</t>
  </si>
  <si>
    <t>39号室</t>
  </si>
  <si>
    <t>JC000029</t>
  </si>
  <si>
    <t>合同会社東日本品川クラウドソリューション</t>
  </si>
  <si>
    <t>ゴウドウガイシャヒガシニホンシナガワクラウドソリューション</t>
  </si>
  <si>
    <t>長谷川 遥</t>
  </si>
  <si>
    <t>03-4036-2484</t>
  </si>
  <si>
    <t>contact029@shinagawa-cloud.jp-market.invalid</t>
  </si>
  <si>
    <t>46号室</t>
  </si>
  <si>
    <t>JC000030</t>
  </si>
  <si>
    <t>東日本横浜ホームデザイン有限会社</t>
  </si>
  <si>
    <t>ヒガシニホンヨコハマホームデザインユウゲンガイシャ</t>
  </si>
  <si>
    <t>村上 良太</t>
  </si>
  <si>
    <t>03-4073-2537</t>
  </si>
  <si>
    <t>contact030@yokohama-home.ad-client.example</t>
  </si>
  <si>
    <t>53号室</t>
  </si>
  <si>
    <t>JC000031</t>
  </si>
  <si>
    <t>株式会社東日本千葉ヘルスケア</t>
  </si>
  <si>
    <t>カブシキガイシャヒガシニホンチバヘルスケア</t>
  </si>
  <si>
    <t>045-4110-2590</t>
  </si>
  <si>
    <t>contact031@chiba-health.client-sample.test</t>
  </si>
  <si>
    <t>60号室</t>
  </si>
  <si>
    <t>JC000032</t>
  </si>
  <si>
    <t>東日本大宮教育出版合同会社</t>
  </si>
  <si>
    <t>ヒガシニホンオオミヤキョウイクシュッパンゴウドウガイシャ</t>
  </si>
  <si>
    <t>045-4147-2643</t>
  </si>
  <si>
    <t>contact032@omiya-pub.brand-demo.invalid</t>
  </si>
  <si>
    <t>77号室</t>
  </si>
  <si>
    <t>JC000033</t>
  </si>
  <si>
    <t>有限会社東日本立川スポーツ用品</t>
  </si>
  <si>
    <t>ユウゲンガイシャヒガシニホンタチカワスポーツヨウヒン</t>
  </si>
  <si>
    <t>043-4184-2696</t>
  </si>
  <si>
    <t>contact033@tachikawa-sports.example-customer.test</t>
  </si>
  <si>
    <t>84号室</t>
  </si>
  <si>
    <t>JC000034</t>
  </si>
  <si>
    <t>東日本池袋ゲームスタジオ株式会社</t>
  </si>
  <si>
    <t>ヒガシニホンイケブクロゲームスタジオカブシキガイシャ</t>
  </si>
  <si>
    <t>048-4221-2749</t>
  </si>
  <si>
    <t>contact034@ikebukuro-game.jp-market.invalid</t>
  </si>
  <si>
    <t>91号室</t>
  </si>
  <si>
    <t>JC000035</t>
  </si>
  <si>
    <t>合同会社東日本恵比寿ウェルネス</t>
  </si>
  <si>
    <t>ゴウドウガイシャヒガシニホンエビスウェルネス</t>
  </si>
  <si>
    <t>042-4258-2802</t>
  </si>
  <si>
    <t>contact035@ebisu-wellness.ad-client.example</t>
  </si>
  <si>
    <t>108号室</t>
  </si>
  <si>
    <t>JC000036</t>
  </si>
  <si>
    <t>東日本六本木イベント企画有限会社</t>
  </si>
  <si>
    <t>ヒガシニホンロッポンギイベントキカクユウゲンガイシャ</t>
  </si>
  <si>
    <t>03-4295-2855</t>
  </si>
  <si>
    <t>contact036@roppongi-event.client-sample.test</t>
  </si>
  <si>
    <t>115号室</t>
  </si>
  <si>
    <t>JC000037</t>
  </si>
  <si>
    <t>株式会社東日本中目黒カフェグループ</t>
  </si>
  <si>
    <t>カブシキガイシャヒガシニホンナカメグロカフェグループ</t>
  </si>
  <si>
    <t>03-4332-2908</t>
  </si>
  <si>
    <t>contact037@nakameguro-cafe.brand-demo.invalid</t>
  </si>
  <si>
    <t>32号室</t>
  </si>
  <si>
    <t>JC000038</t>
  </si>
  <si>
    <t>東日本秋葉原ガジェット合同会社</t>
  </si>
  <si>
    <t>ヒガシニホンアキハバラガジェットゴウドウガイシャ</t>
  </si>
  <si>
    <t>チェン メイ</t>
  </si>
  <si>
    <t>03-4369-2961</t>
  </si>
  <si>
    <t>contact038@akihabara-gadget.example-customer.test</t>
  </si>
  <si>
    <t>49号室</t>
  </si>
  <si>
    <t>JC000039</t>
  </si>
  <si>
    <t>有限会社東日本日本サブスクサービス</t>
  </si>
  <si>
    <t>ユウゲンガイシャヒガシニホンニホンサブスクサービス</t>
  </si>
  <si>
    <t>03-4406-3014</t>
  </si>
  <si>
    <t>contact039@subscription-jp.jp-market.invalid</t>
  </si>
  <si>
    <t>56号室</t>
  </si>
  <si>
    <t>JC000040</t>
  </si>
  <si>
    <t>東日本東京ペットライフ株式会社</t>
  </si>
  <si>
    <t>ヒガシニホントウキョウペットライフカブシキガイシャ</t>
  </si>
  <si>
    <t>03-4443-3067</t>
  </si>
  <si>
    <t>contact040@tokyo-pet.ad-client.example</t>
  </si>
  <si>
    <t>63号室</t>
  </si>
  <si>
    <t>JC000041</t>
  </si>
  <si>
    <t>合同会社首都圏青山デジタルマーケット</t>
  </si>
  <si>
    <t>ゴウドウガイシャシュトケンアオヤマデジタルマーケット</t>
  </si>
  <si>
    <t>03-4480-3120</t>
  </si>
  <si>
    <t>contact041@aoyama-digital.client-sample.test</t>
  </si>
  <si>
    <t>70号室</t>
  </si>
  <si>
    <t>JC000042</t>
  </si>
  <si>
    <t>首都圏渋谷ライフスタイル有限会社</t>
  </si>
  <si>
    <t>シュトケンシブヤライフスタイルユウゲンガイシャ</t>
  </si>
  <si>
    <t>03-4517-3173</t>
  </si>
  <si>
    <t>contact042@shibuya-life.brand-demo.invalid</t>
  </si>
  <si>
    <t>87号室</t>
  </si>
  <si>
    <t>JC000043</t>
  </si>
  <si>
    <t>株式会社首都圏銀座コスメティクス</t>
  </si>
  <si>
    <t>カブシキガイシャシュトケンギンザコスメティクス</t>
  </si>
  <si>
    <t>045-4554-3226</t>
  </si>
  <si>
    <t>contact043@ginza-cosme.example-customer.test</t>
  </si>
  <si>
    <t>94号室</t>
  </si>
  <si>
    <t>JC000044</t>
  </si>
  <si>
    <t>首都圏日本フィットネスラボ合同会社</t>
  </si>
  <si>
    <t>シュトケンニホンフィットネスラボゴウドウガイシャ</t>
  </si>
  <si>
    <t>045-4591-3279</t>
  </si>
  <si>
    <t>contact044@fitness-lab.jp-market.invalid</t>
  </si>
  <si>
    <t>101号室</t>
  </si>
  <si>
    <t>JC000045</t>
  </si>
  <si>
    <t>有限会社首都圏東京フードリンク</t>
  </si>
  <si>
    <t>ユウゲンガイシャシュトケントウキョウフードリンク</t>
  </si>
  <si>
    <t>043-4628-3332</t>
  </si>
  <si>
    <t>contact045@tokyo-food.ad-client.example</t>
  </si>
  <si>
    <t>118号室</t>
  </si>
  <si>
    <t>JC000046</t>
  </si>
  <si>
    <t>首都圏丸の内ビジネススクール株式会社</t>
  </si>
  <si>
    <t>シュトケンマルノウチビジネススクールカブシキガイシャ</t>
  </si>
  <si>
    <t>048-4665-3385</t>
  </si>
  <si>
    <t>contact046@marunouchi-school.client-sample.test</t>
  </si>
  <si>
    <t>35号室</t>
  </si>
  <si>
    <t>JC000047</t>
  </si>
  <si>
    <t>合同会社首都圏表参道アパレル</t>
  </si>
  <si>
    <t>ゴウドウガイシャシュトケンオモテサンドウアパレル</t>
  </si>
  <si>
    <t>042-4702-3438</t>
  </si>
  <si>
    <t>contact047@omotesando-apparel.brand-demo.invalid</t>
  </si>
  <si>
    <t>42号室</t>
  </si>
  <si>
    <t>JC000048</t>
  </si>
  <si>
    <t>首都圏新宿トラベルサービス有限会社</t>
  </si>
  <si>
    <t>シュトケンシンジュクトラベルサービスユウゲンガイシャ</t>
  </si>
  <si>
    <t>パク ジフン</t>
  </si>
  <si>
    <t>03-4739-3491</t>
  </si>
  <si>
    <t>contact048@shinjuku-travel.example-customer.test</t>
  </si>
  <si>
    <t>59号室</t>
  </si>
  <si>
    <t>JC000049</t>
  </si>
  <si>
    <t>株式会社首都圏品川クラウドソリューション</t>
  </si>
  <si>
    <t>カブシキガイシャシュトケンシナガワクラウドソリューション</t>
  </si>
  <si>
    <t>03-4776-3544</t>
  </si>
  <si>
    <t>contact049@shinagawa-cloud.jp-market.invalid</t>
  </si>
  <si>
    <t>66号室</t>
  </si>
  <si>
    <t>JC000050</t>
  </si>
  <si>
    <t>首都圏横浜ホームデザイン合同会社</t>
  </si>
  <si>
    <t>シュトケンヨコハマホームデザインゴウドウガイシャ</t>
  </si>
  <si>
    <t>03-4813-3597</t>
  </si>
  <si>
    <t>contact050@yokohama-home.ad-client.example</t>
  </si>
  <si>
    <t>73号室</t>
  </si>
  <si>
    <t>JC000051</t>
  </si>
  <si>
    <t>有限会社首都圏千葉ヘルスケア</t>
  </si>
  <si>
    <t>ユウゲンガイシャシュトケンチバヘルスケア</t>
  </si>
  <si>
    <t>03-4850-3650</t>
  </si>
  <si>
    <t>contact051@chiba-health.client-sample.test</t>
  </si>
  <si>
    <t>80号室</t>
  </si>
  <si>
    <t>JC000052</t>
  </si>
  <si>
    <t>首都圏大宮教育出版株式会社</t>
  </si>
  <si>
    <t>シュトケンオオミヤキョウイクシュッパンカブシキガイシャ</t>
  </si>
  <si>
    <t>03-4887-3703</t>
  </si>
  <si>
    <t>contact052@omiya-pub.brand-demo.invalid</t>
  </si>
  <si>
    <t>97号室</t>
  </si>
  <si>
    <t>JC000053</t>
  </si>
  <si>
    <t>合同会社首都圏立川スポーツ用品</t>
  </si>
  <si>
    <t>ゴウドウガイシャシュトケンタチカワスポーツヨウヒン</t>
  </si>
  <si>
    <t>03-4924-3756</t>
  </si>
  <si>
    <t>contact053@tachikawa-sports.example-customer.test</t>
  </si>
  <si>
    <t>104号室</t>
  </si>
  <si>
    <t>JC000054</t>
  </si>
  <si>
    <t>首都圏池袋ゲームスタジオ有限会社</t>
  </si>
  <si>
    <t>シュトケンイケブクロゲームスタジオユウゲンガイシャ</t>
  </si>
  <si>
    <t>03-4961-3809</t>
  </si>
  <si>
    <t>contact054@ikebukuro-game.jp-market.invalid</t>
  </si>
  <si>
    <t>111号室</t>
  </si>
  <si>
    <t>JC000055</t>
  </si>
  <si>
    <t>株式会社首都圏恵比寿ウェルネス</t>
  </si>
  <si>
    <t>カブシキガイシャシュトケンエビスウェルネス</t>
  </si>
  <si>
    <t>045-4998-3862</t>
  </si>
  <si>
    <t>contact055@ebisu-wellness.ad-client.example</t>
  </si>
  <si>
    <t>38号室</t>
  </si>
  <si>
    <t>JC000056</t>
  </si>
  <si>
    <t>首都圏六本木イベント企画合同会社</t>
  </si>
  <si>
    <t>シュトケンロッポンギイベントキカクゴウドウガイシャ</t>
  </si>
  <si>
    <t>045-5035-3915</t>
  </si>
  <si>
    <t>contact056@roppongi-event.client-sample.test</t>
  </si>
  <si>
    <t>45号室</t>
  </si>
  <si>
    <t>JC000057</t>
  </si>
  <si>
    <t>有限会社首都圏中目黒カフェグループ</t>
  </si>
  <si>
    <t>ユウゲンガイシャシュトケンナカメグロカフェグループ</t>
  </si>
  <si>
    <t>043-5072-3968</t>
  </si>
  <si>
    <t>contact057@nakameguro-cafe.brand-demo.invalid</t>
  </si>
  <si>
    <t>52号室</t>
  </si>
  <si>
    <t>JC000058</t>
  </si>
  <si>
    <t>首都圏秋葉原ガジェット株式会社</t>
  </si>
  <si>
    <t>シュトケンアキハバラガジェットカブシキガイシャ</t>
  </si>
  <si>
    <t>スミス ジョン</t>
  </si>
  <si>
    <t>048-5109-4021</t>
  </si>
  <si>
    <t>contact058@akihabara-gadget.example-customer.test</t>
  </si>
  <si>
    <t>69号室</t>
  </si>
  <si>
    <t>JC000059</t>
  </si>
  <si>
    <t>合同会社首都圏日本サブスクサービス</t>
  </si>
  <si>
    <t>ゴウドウガイシャシュトケンニホンサブスクサービス</t>
  </si>
  <si>
    <t>042-5146-4074</t>
  </si>
  <si>
    <t>contact059@subscription-jp.jp-market.invalid</t>
  </si>
  <si>
    <t>76号室</t>
  </si>
  <si>
    <t>JC000060</t>
  </si>
  <si>
    <t>首都圏東京ペットライフ有限会社</t>
  </si>
  <si>
    <t>シュトケントウキョウペットライフユウゲンガイシャ</t>
  </si>
  <si>
    <t>03-5183-4127</t>
  </si>
  <si>
    <t>contact060@tokyo-pet.ad-client.example</t>
  </si>
  <si>
    <t>83号室</t>
  </si>
  <si>
    <t>JC000061</t>
  </si>
  <si>
    <t>株式会社オンライン青山デジタルマーケット</t>
  </si>
  <si>
    <t>カブシキガイシャオンラインアオヤマデジタルマーケット</t>
  </si>
  <si>
    <t>03-5220-4180</t>
  </si>
  <si>
    <t>contact061@aoyama-digital.client-sample.test</t>
  </si>
  <si>
    <t>90号室</t>
  </si>
  <si>
    <t>JC000062</t>
  </si>
  <si>
    <t>オンライン渋谷ライフスタイル合同会社</t>
  </si>
  <si>
    <t>オンラインシブヤライフスタイルゴウドウガイシャ</t>
  </si>
  <si>
    <t>03-5257-4233</t>
  </si>
  <si>
    <t>contact062@shibuya-life.brand-demo.invalid</t>
  </si>
  <si>
    <t>107号室</t>
  </si>
  <si>
    <t>JC000063</t>
  </si>
  <si>
    <t>有限会社オンライン銀座コスメティクス</t>
  </si>
  <si>
    <t>ユウゲンガイシャオンラインギンザコスメティクス</t>
  </si>
  <si>
    <t>03-5294-4286</t>
  </si>
  <si>
    <t>contact063@ginza-cosme.example-customer.test</t>
  </si>
  <si>
    <t>114号室</t>
  </si>
  <si>
    <t>JC000064</t>
  </si>
  <si>
    <t>オンライン日本フィットネスラボ株式会社</t>
  </si>
  <si>
    <t>オンラインニホンフィットネスラボカブシキガイシャ</t>
  </si>
  <si>
    <t>03-5331-4339</t>
  </si>
  <si>
    <t>contact064@fitness-lab.jp-market.invalid</t>
  </si>
  <si>
    <t>31号室</t>
  </si>
  <si>
    <t>JC000065</t>
  </si>
  <si>
    <t>合同会社オンライン東京フードリンク</t>
  </si>
  <si>
    <t>ゴウドウガイシャオンライントウキョウフードリンク</t>
  </si>
  <si>
    <t>03-5368-4392</t>
  </si>
  <si>
    <t>contact065@tokyo-food.ad-client.example</t>
  </si>
  <si>
    <t>48号室</t>
  </si>
  <si>
    <t>JC000066</t>
  </si>
  <si>
    <t>オンライン丸の内ビジネススクール有限会社</t>
  </si>
  <si>
    <t>オンラインマルノウチビジネススクールユウゲンガイシャ</t>
  </si>
  <si>
    <t>03-5405-4445</t>
  </si>
  <si>
    <t>contact066@marunouchi-school.client-sample.test</t>
  </si>
  <si>
    <t>55号室</t>
  </si>
  <si>
    <t>JC000067</t>
  </si>
  <si>
    <t>株式会社オンライン表参道アパレル</t>
  </si>
  <si>
    <t>カブシキガイシャオンラインオモテサンドウアパレル</t>
  </si>
  <si>
    <t>045-5442-4498</t>
  </si>
  <si>
    <t>contact067@omotesando-apparel.brand-demo.invalid</t>
  </si>
  <si>
    <t>62号室</t>
  </si>
  <si>
    <t>JC000068</t>
  </si>
  <si>
    <t>オンライン新宿トラベルサービス合同会社</t>
  </si>
  <si>
    <t>オンラインシンジュクトラベルサービスゴウドウガイシャ</t>
  </si>
  <si>
    <t>ブラウン アリス</t>
  </si>
  <si>
    <t>045-5479-4551</t>
  </si>
  <si>
    <t>contact068@shinjuku-travel.example-customer.test</t>
  </si>
  <si>
    <t>79号室</t>
  </si>
  <si>
    <t>JC000069</t>
  </si>
  <si>
    <t>有限会社オンライン品川クラウドソリューション</t>
  </si>
  <si>
    <t>ユウゲンガイシャオンラインシナガワクラウドソリューション</t>
  </si>
  <si>
    <t>043-5516-4604</t>
  </si>
  <si>
    <t>contact069@shinagawa-cloud.jp-market.invalid</t>
  </si>
  <si>
    <t>86号室</t>
  </si>
  <si>
    <t>JC000070</t>
  </si>
  <si>
    <t>オンライン横浜ホームデザイン株式会社</t>
  </si>
  <si>
    <t>オンラインヨコハマホームデザインカブシキガイシャ</t>
  </si>
  <si>
    <t>048-5553-4657</t>
  </si>
  <si>
    <t>contact070@yokohama-home.ad-client.example</t>
  </si>
  <si>
    <t>93号室</t>
  </si>
  <si>
    <t>JC000071</t>
  </si>
  <si>
    <t>合同会社オンライン千葉ヘルスケア</t>
  </si>
  <si>
    <t>ゴウドウガイシャオンラインチバヘルスケア</t>
  </si>
  <si>
    <t>042-5590-4710</t>
  </si>
  <si>
    <t>contact071@chiba-health.client-sample.test</t>
  </si>
  <si>
    <t>100号室</t>
  </si>
  <si>
    <t>JC000072</t>
  </si>
  <si>
    <t>オンライン大宮教育出版有限会社</t>
  </si>
  <si>
    <t>オンラインオオミヤキョウイクシュッパンユウゲンガイシャ</t>
  </si>
  <si>
    <t>03-5627-4763</t>
  </si>
  <si>
    <t>contact072@omiya-pub.brand-demo.invalid</t>
  </si>
  <si>
    <t>117号室</t>
  </si>
  <si>
    <t>JC000073</t>
  </si>
  <si>
    <t>株式会社オンライン立川スポーツ用品</t>
  </si>
  <si>
    <t>カブシキガイシャオンラインタチカワスポーツヨウヒン</t>
  </si>
  <si>
    <t>03-5664-4816</t>
  </si>
  <si>
    <t>contact073@tachikawa-sports.example-customer.test</t>
  </si>
  <si>
    <t>34号室</t>
  </si>
  <si>
    <t>JC000074</t>
  </si>
  <si>
    <t>オンライン池袋ゲームスタジオ合同会社</t>
  </si>
  <si>
    <t>オンラインイケブクロゲームスタジオゴウドウガイシャ</t>
  </si>
  <si>
    <t>03-5701-4869</t>
  </si>
  <si>
    <t>contact074@ikebukuro-game.jp-market.invalid</t>
  </si>
  <si>
    <t>41号室</t>
  </si>
  <si>
    <t>JC000075</t>
  </si>
  <si>
    <t>有限会社オンライン恵比寿ウェルネス</t>
  </si>
  <si>
    <t>ユウゲンガイシャオンラインエビスウェルネス</t>
  </si>
  <si>
    <t>03-5738-4922</t>
  </si>
  <si>
    <t>contact075@ebisu-wellness.ad-client.example</t>
  </si>
  <si>
    <t>58号室</t>
  </si>
  <si>
    <t>JC000076</t>
  </si>
  <si>
    <t>オンライン六本木イベント企画株式会社</t>
  </si>
  <si>
    <t>オンラインロッポンギイベントキカクカブシキガイシャ</t>
  </si>
  <si>
    <t>03-5775-4975</t>
  </si>
  <si>
    <t>contact076@roppongi-event.client-sample.test</t>
  </si>
  <si>
    <t>65号室</t>
  </si>
  <si>
    <t>JC000077</t>
  </si>
  <si>
    <t>合同会社オンライン中目黒カフェグループ</t>
  </si>
  <si>
    <t>ゴウドウガイシャオンラインナカメグロカフェグループ</t>
  </si>
  <si>
    <t>03-5812-5028</t>
  </si>
  <si>
    <t>contact077@nakameguro-cafe.brand-demo.invalid</t>
  </si>
  <si>
    <t>72号室</t>
  </si>
  <si>
    <t>JC000078</t>
  </si>
  <si>
    <t>オンライン秋葉原ガジェット有限会社</t>
  </si>
  <si>
    <t>オンラインアキハバラガジェットユウゲンガイシャ</t>
  </si>
  <si>
    <t>ガルシア ソフィア</t>
  </si>
  <si>
    <t>03-5849-5081</t>
  </si>
  <si>
    <t>contact078@akihabara-gadget.example-customer.test</t>
  </si>
  <si>
    <t>89号室</t>
  </si>
  <si>
    <t>JC000079</t>
  </si>
  <si>
    <t>株式会社オンライン日本サブスクサービス</t>
  </si>
  <si>
    <t>カブシキガイシャオンラインニホンサブスクサービス</t>
  </si>
  <si>
    <t>045-5886-5134</t>
  </si>
  <si>
    <t>contact079@subscription-jp.jp-market.invalid</t>
  </si>
  <si>
    <t>96号室</t>
  </si>
  <si>
    <t>JC000080</t>
  </si>
  <si>
    <t>オンライン東京ペットライフ合同会社</t>
  </si>
  <si>
    <t>オンライントウキョウペットライフゴウドウガイシャ</t>
  </si>
  <si>
    <t>045-5923-5187</t>
  </si>
  <si>
    <t>contact080@tokyo-pet.ad-client.example</t>
  </si>
  <si>
    <t>103号室</t>
  </si>
  <si>
    <t>JC000081</t>
  </si>
  <si>
    <t>有限会社リテール青山デジタルマーケット</t>
  </si>
  <si>
    <t>ユウゲンガイシャリテールアオヤマデジタルマーケット</t>
  </si>
  <si>
    <t>043-5960-5240</t>
  </si>
  <si>
    <t>contact081@aoyama-digital.client-sample.test</t>
  </si>
  <si>
    <t>110号室</t>
  </si>
  <si>
    <t>JC000082</t>
  </si>
  <si>
    <t>リテール渋谷ライフスタイル株式会社</t>
  </si>
  <si>
    <t>リテールシブヤライフスタイルカブシキガイシャ</t>
  </si>
  <si>
    <t>048-5997-5293</t>
  </si>
  <si>
    <t>contact082@shibuya-life.brand-demo.invalid</t>
  </si>
  <si>
    <t>37号室</t>
  </si>
  <si>
    <t>JC000083</t>
  </si>
  <si>
    <t>合同会社リテール銀座コスメティクス</t>
  </si>
  <si>
    <t>ゴウドウガイシャリテールギンザコスメティクス</t>
  </si>
  <si>
    <t>042-6034-5346</t>
  </si>
  <si>
    <t>contact083@ginza-cosme.example-customer.test</t>
  </si>
  <si>
    <t>44号室</t>
  </si>
  <si>
    <t>JC000084</t>
  </si>
  <si>
    <t>リテール日本フィットネスラボ有限会社</t>
  </si>
  <si>
    <t>リテールニホンフィットネスラボユウゲンガイシャ</t>
  </si>
  <si>
    <t>03-6071-5399</t>
  </si>
  <si>
    <t>contact084@fitness-lab.jp-market.invalid</t>
  </si>
  <si>
    <t>51号室</t>
  </si>
  <si>
    <t>JC000085</t>
  </si>
  <si>
    <t>株式会社リテール東京フードリンク</t>
  </si>
  <si>
    <t>カブシキガイシャリテールトウキョウフードリンク</t>
  </si>
  <si>
    <t>03-6108-5452</t>
  </si>
  <si>
    <t>contact085@tokyo-food.ad-client.example</t>
  </si>
  <si>
    <t>68号室</t>
  </si>
  <si>
    <t>JC000086</t>
  </si>
  <si>
    <t>リテール丸の内ビジネススクール合同会社</t>
  </si>
  <si>
    <t>リテールマルノウチビジネススクールゴウドウガイシャ</t>
  </si>
  <si>
    <t>03-6145-5505</t>
  </si>
  <si>
    <t>contact086@marunouchi-school.client-sample.test</t>
  </si>
  <si>
    <t>75号室</t>
  </si>
  <si>
    <t>JC000087</t>
  </si>
  <si>
    <t>有限会社リテール表参道アパレル</t>
  </si>
  <si>
    <t>ユウゲンガイシャリテールオモテサンドウアパレル</t>
  </si>
  <si>
    <t>03-6182-5558</t>
  </si>
  <si>
    <t>contact087@omotesando-apparel.brand-demo.invalid</t>
  </si>
  <si>
    <t>82号室</t>
  </si>
  <si>
    <t>JC000088</t>
  </si>
  <si>
    <t>リテール新宿トラベルサービス株式会社</t>
  </si>
  <si>
    <t>リテールシンジュクトラベルサービスカブシキガイシャ</t>
  </si>
  <si>
    <t>ロッシ マルコ</t>
  </si>
  <si>
    <t>03-6219-5611</t>
  </si>
  <si>
    <t>contact088@shinjuku-travel.example-customer.test</t>
  </si>
  <si>
    <t>99号室</t>
  </si>
  <si>
    <t>JC000089</t>
  </si>
  <si>
    <t>合同会社リテール品川クラウドソリューション</t>
  </si>
  <si>
    <t>ゴウドウガイシャリテールシナガワクラウドソリューション</t>
  </si>
  <si>
    <t>03-6256-5664</t>
  </si>
  <si>
    <t>contact089@shinagawa-cloud.jp-market.invalid</t>
  </si>
  <si>
    <t>106号室</t>
  </si>
  <si>
    <t>JC000090</t>
  </si>
  <si>
    <t>リテール横浜ホームデザイン有限会社</t>
  </si>
  <si>
    <t>リテールヨコハマホームデザインユウゲンガイシャ</t>
  </si>
  <si>
    <t>03-6293-5717</t>
  </si>
  <si>
    <t>contact090@yokohama-home.ad-client.example</t>
  </si>
  <si>
    <t>113号室</t>
  </si>
  <si>
    <t>JC000091</t>
  </si>
  <si>
    <t>株式会社リテール千葉ヘルスケア</t>
  </si>
  <si>
    <t>カブシキガイシャリテールチバヘルスケア</t>
  </si>
  <si>
    <t>045-6330-5770</t>
  </si>
  <si>
    <t>contact091@chiba-health.client-sample.test</t>
  </si>
  <si>
    <t>JC000092</t>
  </si>
  <si>
    <t>リテール大宮教育出版合同会社</t>
  </si>
  <si>
    <t>リテールオオミヤキョウイクシュッパンゴウドウガイシャ</t>
  </si>
  <si>
    <t>045-6367-5823</t>
  </si>
  <si>
    <t>contact092@omiya-pub.brand-demo.invalid</t>
  </si>
  <si>
    <t>JC000093</t>
  </si>
  <si>
    <t>有限会社リテール立川スポーツ用品</t>
  </si>
  <si>
    <t>ユウゲンガイシャリテールタチカワスポーツヨウヒン</t>
  </si>
  <si>
    <t>043-6404-5876</t>
  </si>
  <si>
    <t>contact093@tachikawa-sports.example-customer.test</t>
  </si>
  <si>
    <t>JC000094</t>
  </si>
  <si>
    <t>リテール池袋ゲームスタジオ株式会社</t>
  </si>
  <si>
    <t>リテールイケブクロゲームスタジオカブシキガイシャ</t>
  </si>
  <si>
    <t>048-6441-5929</t>
  </si>
  <si>
    <t>contact094@ikebukuro-game.jp-market.invalid</t>
  </si>
  <si>
    <t>JC000095</t>
  </si>
  <si>
    <t>合同会社リテール恵比寿ウェルネス</t>
  </si>
  <si>
    <t>ゴウドウガイシャリテールエビスウェルネス</t>
  </si>
  <si>
    <t>042-6478-5982</t>
  </si>
  <si>
    <t>contact095@ebisu-wellness.ad-client.example</t>
  </si>
  <si>
    <t>JC000096</t>
  </si>
  <si>
    <t>リテール六本木イベント企画有限会社</t>
  </si>
  <si>
    <t>リテールロッポンギイベントキカクユウゲンガイシャ</t>
  </si>
  <si>
    <t>03-6515-6035</t>
  </si>
  <si>
    <t>contact096@roppongi-event.client-sample.test</t>
  </si>
  <si>
    <t>JC000097</t>
  </si>
  <si>
    <t>株式会社リテール中目黒カフェグループ</t>
  </si>
  <si>
    <t>カブシキガイシャリテールナカメグロカフェグループ</t>
  </si>
  <si>
    <t>03-6552-6088</t>
  </si>
  <si>
    <t>contact097@nakameguro-cafe.brand-demo.invalid</t>
  </si>
  <si>
    <t>JC000098</t>
  </si>
  <si>
    <t>リテール秋葉原ガジェット合同会社</t>
  </si>
  <si>
    <t>リテールアキハバラガジェットゴウドウガイシャ</t>
  </si>
  <si>
    <t>パテル アーリア</t>
  </si>
  <si>
    <t>03-6589-6141</t>
  </si>
  <si>
    <t>contact098@akihabara-gadget.example-customer.test</t>
  </si>
  <si>
    <t>JC000099</t>
  </si>
  <si>
    <t>有限会社リテール日本サブスクサービス</t>
  </si>
  <si>
    <t>ユウゲンガイシャリテールニホンサブスクサービス</t>
  </si>
  <si>
    <t>03-6626-6194</t>
  </si>
  <si>
    <t>contact099@subscription-jp.jp-market.invalid</t>
  </si>
  <si>
    <t>JC000100</t>
  </si>
  <si>
    <t>リテール東京ペットライフ株式会社</t>
  </si>
  <si>
    <t>リテールトウキョウペットライフカブシキガイシャ</t>
  </si>
  <si>
    <t>03-6663-6247</t>
  </si>
  <si>
    <t>contact100@tokyo-pet.ad-client.example</t>
  </si>
  <si>
    <t>sales.services</t>
  </si>
  <si>
    <t>サービスマスター（広告種別・料金定義）</t>
  </si>
  <si>
    <t>データ取り込み成功 処理件数：30件</t>
  </si>
  <si>
    <t>service_id</t>
  </si>
  <si>
    <t>service_name</t>
  </si>
  <si>
    <t>ad_type</t>
  </si>
  <si>
    <t>banner_size</t>
  </si>
  <si>
    <t>html_embed_available</t>
  </si>
  <si>
    <t>js_embed_available</t>
  </si>
  <si>
    <t>video_duration_sec</t>
  </si>
  <si>
    <t>price_weekly</t>
  </si>
  <si>
    <t>price_monthly</t>
  </si>
  <si>
    <t>currency_code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</si>
  <si>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</si>
  <si>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</si>
  <si>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</si>
  <si>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</si>
  <si>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</si>
  <si>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</si>
  <si>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</si>
  <si>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</si>
  <si>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</si>
  <si>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</si>
  <si>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Char(1)</t>
  </si>
  <si>
    <t>Int</t>
  </si>
  <si>
    <t>Decimal(15,2)</t>
  </si>
  <si>
    <t>Char(3)</t>
  </si>
  <si>
    <r>
      <rPr>
        <sz val="11"/>
        <color rgb="FF000000"/>
        <rFont val="Calibri"/>
        <family val="2"/>
      </rPr>
      <t>BNR0001</t>
    </r>
    <phoneticPr fontId="0"/>
  </si>
  <si>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</si>
  <si>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r>
      <rPr>
        <sz val="11"/>
        <color rgb="FF000000"/>
        <rFont val="Calibri"/>
        <family val="2"/>
      </rPr>
      <t>B</t>
    </r>
    <phoneticPr fontId="0"/>
  </si>
  <si>
    <r>
      <rPr>
        <sz val="11"/>
        <color rgb="FF000000"/>
        <rFont val="Calibri"/>
        <family val="2"/>
      </rPr>
      <t>468x60</t>
    </r>
    <phoneticPr fontId="0"/>
  </si>
  <si>
    <r>
      <rPr>
        <sz val="11"/>
        <color rgb="FF000000"/>
        <rFont val="Calibri"/>
        <family val="2"/>
      </rPr>
      <t>JPY</t>
    </r>
    <phoneticPr fontId="0"/>
  </si>
  <si>
    <r>
      <rPr>
        <sz val="11"/>
        <color rgb="FF000000"/>
        <rFont val="Calibri"/>
        <family val="2"/>
      </rPr>
      <t>sys_operator</t>
    </r>
    <phoneticPr fontId="0"/>
  </si>
  <si>
    <r>
      <rPr>
        <sz val="11"/>
        <color rgb="FF000000"/>
        <rFont val="Calibri"/>
        <family val="2"/>
      </rPr>
      <t>BNR0002</t>
    </r>
    <phoneticPr fontId="0"/>
  </si>
  <si>
    <r>
      <rPr>
        <sz val="11"/>
        <color rgb="FF000000"/>
        <rFont val="Calibri"/>
        <family val="2"/>
      </rPr>
      <t>S</t>
    </r>
    <phoneticPr fontId="0"/>
  </si>
  <si>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</si>
  <si>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r>
      <rPr>
        <sz val="11"/>
        <color rgb="FF000000"/>
        <rFont val="Calibri"/>
        <family val="2"/>
      </rPr>
      <t>728x90</t>
    </r>
    <phoneticPr fontId="0"/>
  </si>
  <si>
    <r>
      <rPr>
        <sz val="11"/>
        <color rgb="FF000000"/>
        <rFont val="Calibri"/>
        <family val="2"/>
      </rPr>
      <t>BNR0003</t>
    </r>
    <phoneticPr fontId="0"/>
  </si>
  <si>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</si>
  <si>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r>
      <rPr>
        <sz val="11"/>
        <color rgb="FF000000"/>
        <rFont val="Calibri"/>
        <family val="2"/>
      </rPr>
      <t>300x250</t>
    </r>
    <phoneticPr fontId="0"/>
  </si>
  <si>
    <r>
      <rPr>
        <sz val="11"/>
        <color rgb="FF000000"/>
        <rFont val="Calibri"/>
        <family val="2"/>
      </rPr>
      <t>BNR0011</t>
    </r>
    <phoneticPr fontId="0"/>
  </si>
  <si>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</si>
  <si>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r>
      <rPr>
        <sz val="11"/>
        <color rgb="FF000000"/>
        <rFont val="Calibri"/>
        <family val="2"/>
      </rPr>
      <t>BNR0012</t>
    </r>
    <phoneticPr fontId="0"/>
  </si>
  <si>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</si>
  <si>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r>
      <rPr>
        <sz val="11"/>
        <color rgb="FF000000"/>
        <rFont val="Calibri"/>
        <family val="2"/>
      </rPr>
      <t>BNR0013</t>
    </r>
    <phoneticPr fontId="0"/>
  </si>
  <si>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</si>
  <si>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r>
      <rPr>
        <sz val="11"/>
        <color rgb="FF000000"/>
        <rFont val="Calibri"/>
        <family val="2"/>
      </rPr>
      <t>SPT0001</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</si>
  <si>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</si>
  <si>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SPT0003</t>
    </r>
    <phoneticPr fontId="0"/>
  </si>
  <si>
    <r>
      <rPr>
        <sz val="11"/>
        <color rgb="FF000000"/>
        <rFont val="Calibri"/>
        <family val="2"/>
      </rPr>
      <t>SPT0002</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</si>
  <si>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</si>
  <si>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SPT0011</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</si>
  <si>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</si>
  <si>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SPT0012</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</si>
  <si>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</si>
  <si>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SPT0013</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</si>
  <si>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</si>
  <si>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DSG0001</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</si>
  <si>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</si>
  <si>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D</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</si>
  <si>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</si>
  <si>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</si>
  <si>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r>
      <rPr>
        <sz val="11"/>
        <color rgb="FF000000"/>
        <rFont val="Calibri"/>
        <family val="2"/>
      </rPr>
      <t>DSG0002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</si>
  <si>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</si>
  <si>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</si>
  <si>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</si>
  <si>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DSG0004</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</si>
  <si>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</si>
  <si>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r>
      <rPr>
        <sz val="11"/>
        <color rgb="FF000000"/>
        <rFont val="Calibri"/>
        <family val="2"/>
      </rPr>
      <t>DSG0005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</si>
  <si>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</si>
  <si>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</si>
  <si>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</si>
  <si>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DSG0011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</si>
  <si>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</si>
  <si>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</si>
  <si>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</si>
  <si>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</si>
  <si>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</si>
  <si>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DSG0014</t>
    </r>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</si>
  <si>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</si>
  <si>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r>
      <rPr>
        <sz val="11"/>
        <color rgb="FF000000"/>
        <rFont val="Calibri"/>
        <family val="2"/>
      </rPr>
      <t>DSG0015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</si>
  <si>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</si>
  <si>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</si>
  <si>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</si>
  <si>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VID0001</t>
    </r>
    <phoneticPr fontId="0"/>
  </si>
  <si>
    <r>
      <rPr>
        <sz val="11"/>
        <color rgb="FF000000"/>
        <rFont val="Calibri"/>
        <family val="2"/>
      </rPr>
      <t>V</t>
    </r>
    <phoneticPr fontId="0"/>
  </si>
  <si>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</si>
  <si>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r>
      <rPr>
        <sz val="11"/>
        <color rgb="FF000000"/>
        <rFont val="Calibri"/>
        <family val="2"/>
      </rPr>
      <t>VID0002</t>
    </r>
    <phoneticPr fontId="0"/>
  </si>
  <si>
    <r>
      <rPr>
        <sz val="11"/>
        <color rgb="FF000000"/>
        <rFont val="Calibri"/>
        <family val="2"/>
      </rPr>
      <t>VID0003</t>
    </r>
    <phoneticPr fontId="0"/>
  </si>
  <si>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</si>
  <si>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r>
      <rPr>
        <sz val="11"/>
        <color rgb="FF000000"/>
        <rFont val="Calibri"/>
        <family val="2"/>
      </rPr>
      <t>VID0011</t>
    </r>
    <phoneticPr fontId="0"/>
  </si>
  <si>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</si>
  <si>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r>
      <rPr>
        <sz val="11"/>
        <color rgb="FF000000"/>
        <rFont val="Calibri"/>
        <family val="2"/>
      </rPr>
      <t>VID0012</t>
    </r>
    <phoneticPr fontId="0"/>
  </si>
  <si>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</si>
  <si>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r>
      <rPr>
        <sz val="11"/>
        <color rgb="FF000000"/>
        <rFont val="Calibri"/>
        <family val="2"/>
      </rPr>
      <t>VID0013</t>
    </r>
    <phoneticPr fontId="0"/>
  </si>
  <si>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</si>
  <si>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t>sales.common_codes</t>
  </si>
  <si>
    <t>共通コードマスター</t>
  </si>
  <si>
    <t>category_name</t>
  </si>
  <si>
    <t>category_code</t>
  </si>
  <si>
    <t>category_code_name</t>
  </si>
  <si>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</si>
  <si>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</si>
  <si>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</si>
  <si>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</si>
  <si>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</si>
  <si>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</si>
  <si>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r>
      <rPr>
        <sz val="11"/>
        <color rgb="FF000000"/>
        <rFont val="Calibri"/>
        <family val="2"/>
      </rPr>
      <t>ad_type</t>
    </r>
    <phoneticPr fontId="0"/>
  </si>
  <si>
    <r>
      <rPr>
        <sz val="11"/>
        <color rgb="FF000000"/>
        <rFont val="Calibri"/>
        <family val="2"/>
      </rPr>
      <t>sys_admin</t>
    </r>
    <phoneticPr fontId="0"/>
  </si>
  <si>
    <r>
      <rPr>
        <sz val="11"/>
        <color rgb="FF000000"/>
        <rFont val="ＭＳ ゴシック"/>
        <family val="3"/>
      </rPr>
      <t>バナー広告</t>
    </r>
    <phoneticPr fontId="0"/>
  </si>
  <si>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</si>
  <si>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游ゴシック"/>
        <family val="2"/>
      </rPr>
      <t>スポット広告</t>
    </r>
    <rPh sb="4" eb="6">
      <t>コウコク</t>
    </rPh>
    <phoneticPr fontId="0"/>
  </si>
  <si>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</si>
  <si>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t>sys_admin</t>
  </si>
  <si>
    <r>
      <rPr>
        <sz val="11"/>
        <color rgb="FF000000"/>
        <rFont val="游ゴシック"/>
        <family val="2"/>
      </rPr>
      <t>デジタルサイネージ</t>
    </r>
    <phoneticPr fontId="0"/>
  </si>
  <si>
    <r>
      <rPr>
        <sz val="11"/>
        <color rgb="FF000000"/>
        <rFont val="ＭＳ ゴシック"/>
        <family val="2"/>
      </rPr>
      <t>デジタルサイネージ。電子掲示板などに文字が流れるように表示される広告の形式</t>
    </r>
    <phoneticPr fontId="0"/>
  </si>
  <si>
    <r>
      <rPr>
        <sz val="11"/>
        <color rgb="FF000000"/>
        <rFont val="Calibri"/>
        <family val="2"/>
      </rPr>
      <t>html_embed_available</t>
    </r>
    <phoneticPr fontId="0"/>
  </si>
  <si>
    <r>
      <rPr>
        <sz val="11"/>
        <color rgb="FF000000"/>
        <rFont val="游ゴシック"/>
        <family val="2"/>
      </rPr>
      <t>動画広告</t>
    </r>
    <phoneticPr fontId="0"/>
  </si>
  <si>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</si>
  <si>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r>
      <rPr>
        <sz val="11"/>
        <color rgb="FF000000"/>
        <rFont val="Calibri"/>
        <family val="2"/>
      </rPr>
      <t>1</t>
    </r>
    <phoneticPr fontId="0"/>
  </si>
  <si>
    <r>
      <rPr>
        <sz val="11"/>
        <color rgb="FF000000"/>
        <rFont val="Calibri"/>
        <family val="2"/>
      </rPr>
      <t>0</t>
    </r>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</si>
  <si>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</si>
  <si>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</si>
  <si>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sys_administrator</t>
    </r>
    <phoneticPr fontId="0"/>
  </si>
  <si>
    <r>
      <rPr>
        <sz val="11"/>
        <color rgb="FF000000"/>
        <rFont val="Calibri"/>
        <family val="2"/>
      </rPr>
      <t>HTML</t>
    </r>
    <r>
      <rPr>
        <sz val="11"/>
        <color rgb="FF000000"/>
        <rFont val="Noto Sans JP"/>
        <family val="2"/>
      </rPr>
      <t>埋め込み不可</t>
    </r>
    <rPh sb="8" eb="10">
      <t>フカ</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</si>
  <si>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</si>
  <si>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</si>
  <si>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</si>
  <si>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</si>
  <si>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の使用を許可しない。</t>
    </r>
    <r>
      <rPr>
        <sz val="11"/>
        <color rgb="FF000000"/>
        <rFont val="Calibri"/>
        <family val="2"/>
      </rPr>
      <t xml:space="preserve">
html_embed_available=1</t>
    </r>
    <r>
      <rPr>
        <sz val="11"/>
        <color rgb="FF000000"/>
        <rFont val="ＭＳ ゴシック"/>
        <family val="2"/>
      </rPr>
      <t>の場合にのみ評価される。</t>
    </r>
    <phoneticPr fontId="0"/>
  </si>
  <si>
    <t>1</t>
  </si>
  <si>
    <t>0</t>
  </si>
  <si>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</si>
  <si>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</si>
  <si>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当該データが無効であることを示す。</t>
    </r>
    <phoneticPr fontId="0"/>
  </si>
  <si>
    <r>
      <rPr>
        <sz val="11"/>
        <color rgb="FF000000"/>
        <rFont val="ＭＳ ゴシック"/>
        <family val="2"/>
      </rPr>
      <t>無効</t>
    </r>
    <rPh sb="0" eb="2">
      <t>ムコウ</t>
    </rPh>
    <phoneticPr fontId="0"/>
  </si>
  <si>
    <t>billing_type</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</si>
  <si>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</si>
  <si>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</si>
  <si>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r>
      <rPr>
        <sz val="11"/>
        <color rgb="FF000000"/>
        <rFont val="Calibri"/>
        <family val="2"/>
      </rPr>
      <t>2</t>
    </r>
    <phoneticPr fontId="0"/>
  </si>
  <si>
    <r>
      <rPr>
        <sz val="11"/>
        <color rgb="FF000000"/>
        <rFont val="ＭＳ ゴシック"/>
        <family val="2"/>
      </rPr>
      <t>月締め請求</t>
    </r>
    <phoneticPr fontId="0"/>
  </si>
  <si>
    <r>
      <rPr>
        <sz val="11"/>
        <color rgb="FF000000"/>
        <rFont val="Calibri"/>
        <family val="2"/>
      </rPr>
      <t>status</t>
    </r>
    <phoneticPr fontId="0"/>
  </si>
  <si>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</si>
  <si>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</si>
  <si>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</si>
  <si>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</si>
  <si>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</si>
  <si>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</si>
  <si>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ＭＳ ゴシック"/>
        <family val="2"/>
      </rPr>
      <t>見積提示済み</t>
    </r>
    <rPh sb="0" eb="2">
      <t>ミツモリ</t>
    </rPh>
    <rPh sb="2" eb="4">
      <t>テイジ</t>
    </rPh>
    <rPh sb="4" eb="5">
      <t>ズ</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</si>
  <si>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</si>
  <si>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Calibri"/>
        <family val="2"/>
      </rPr>
      <t>3</t>
    </r>
    <phoneticPr fontId="0"/>
  </si>
  <si>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</si>
  <si>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</si>
  <si>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Calibri"/>
        <family val="2"/>
      </rPr>
      <t>4</t>
    </r>
    <phoneticPr fontId="0"/>
  </si>
  <si>
    <r>
      <rPr>
        <sz val="11"/>
        <color rgb="FF000000"/>
        <rFont val="ＭＳ ゴシック"/>
        <family val="2"/>
      </rPr>
      <t>契約済み</t>
    </r>
    <rPh sb="0" eb="3">
      <t>ケイヤクズ</t>
    </rPh>
    <phoneticPr fontId="0"/>
  </si>
  <si>
    <r>
      <rPr>
        <sz val="11"/>
        <color rgb="FF000000"/>
        <rFont val="ＭＳ ゴシック"/>
        <family val="2"/>
      </rPr>
      <t>広告掲載中</t>
    </r>
    <rPh sb="0" eb="2">
      <t>コウコク</t>
    </rPh>
    <rPh sb="2" eb="5">
      <t>ケイサイチュウ</t>
    </rPh>
    <phoneticPr fontId="0"/>
  </si>
  <si>
    <r>
      <rPr>
        <sz val="11"/>
        <color rgb="FF000000"/>
        <rFont val="Calibri"/>
        <family val="2"/>
      </rPr>
      <t>5</t>
    </r>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</si>
  <si>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</si>
  <si>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r>
      <rPr>
        <sz val="11"/>
        <color rgb="FF000000"/>
        <rFont val="ＭＳ ゴシック"/>
        <family val="2"/>
      </rPr>
      <t>広告掲載が終了した。</t>
    </r>
    <rPh sb="0" eb="4">
      <t>コウコクケイサイ</t>
    </rPh>
    <rPh sb="5" eb="7">
      <t>シュウリョウ</t>
    </rPh>
    <phoneticPr fontId="0"/>
  </si>
  <si>
    <r>
      <rPr>
        <sz val="11"/>
        <color rgb="FF000000"/>
        <rFont val="Calibri"/>
        <family val="2"/>
      </rPr>
      <t>6</t>
    </r>
    <phoneticPr fontId="0"/>
  </si>
  <si>
    <r>
      <rPr>
        <sz val="11"/>
        <color rgb="FF000000"/>
        <rFont val="ＭＳ ゴシック"/>
        <family val="2"/>
      </rPr>
      <t>広告掲載終了</t>
    </r>
    <rPh sb="0" eb="2">
      <t>コウコク</t>
    </rPh>
    <rPh sb="2" eb="4">
      <t>ケイサイ</t>
    </rPh>
    <rPh sb="4" eb="6">
      <t>シュウリョウ</t>
    </rPh>
    <phoneticPr fontId="0"/>
  </si>
  <si>
    <r>
      <rPr>
        <sz val="11"/>
        <color rgb="FF000000"/>
        <rFont val="ＭＳ ゴシック"/>
        <family val="2"/>
      </rPr>
      <t>契約終了</t>
    </r>
    <rPh sb="0" eb="2">
      <t>ケイヤク</t>
    </rPh>
    <rPh sb="2" eb="4">
      <t>シュウリョウ</t>
    </rPh>
    <phoneticPr fontId="0"/>
  </si>
  <si>
    <r>
      <rPr>
        <sz val="11"/>
        <color rgb="FF000000"/>
        <rFont val="Calibri"/>
        <family val="2"/>
      </rPr>
      <t>7</t>
    </r>
    <phoneticPr fontId="0"/>
  </si>
  <si>
    <r>
      <rPr>
        <sz val="11"/>
        <color rgb="FF000000"/>
        <rFont val="ＭＳ ゴシック"/>
        <family val="2"/>
      </rPr>
      <t>契約が終了した。</t>
    </r>
    <phoneticPr fontId="0"/>
  </si>
  <si>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</si>
  <si>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Calibri"/>
        <family val="2"/>
      </rPr>
      <t>8</t>
    </r>
    <phoneticPr fontId="0"/>
  </si>
  <si>
    <r>
      <rPr>
        <sz val="11"/>
        <color rgb="FF000000"/>
        <rFont val="ＭＳ ゴシック"/>
        <family val="2"/>
      </rPr>
      <t>請求データ作成済み</t>
    </r>
    <rPh sb="0" eb="2">
      <t>セイキュウ</t>
    </rPh>
    <rPh sb="5" eb="7">
      <t>サクセイ</t>
    </rPh>
    <rPh sb="7" eb="8">
      <t>ズ</t>
    </rPh>
    <phoneticPr fontId="0"/>
  </si>
  <si>
    <r>
      <rPr>
        <sz val="11"/>
        <color rgb="FF000000"/>
        <rFont val="ＭＳ ゴシック"/>
        <family val="2"/>
      </rPr>
      <t>請求書発行済み</t>
    </r>
    <rPh sb="0" eb="3">
      <t>セイキュウショ</t>
    </rPh>
    <rPh sb="3" eb="6">
      <t>ハッコウズ</t>
    </rPh>
    <phoneticPr fontId="0"/>
  </si>
  <si>
    <r>
      <rPr>
        <sz val="11"/>
        <color rgb="FF000000"/>
        <rFont val="Calibri"/>
        <family val="2"/>
      </rPr>
      <t>9</t>
    </r>
    <phoneticPr fontId="0"/>
  </si>
  <si>
    <r>
      <rPr>
        <sz val="11"/>
        <color rgb="FF000000"/>
        <rFont val="ＭＳ ゴシック"/>
        <family val="2"/>
      </rPr>
      <t>請求書が発行された。</t>
    </r>
    <rPh sb="0" eb="3">
      <t>セイキュウショ</t>
    </rPh>
    <rPh sb="4" eb="6">
      <t>ハッコウ</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</si>
</sst>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8" x14ac:knownFonts="1">
    <font>
      <sz val="11"/>
      <color rgb="FF000000"/>
      <name val="Calibri"/>
      <family val="2"/>
    </font>
    <font>
      <sz val="9"/>
      <color rgb="FF000000"/>
      <name val="Tahoma"/>
      <family val="2"/>
    </font>
    <font>
      <sz val="6"/>
      <name val="ＭＳ ゴシック"/>
      <family val="3"/>
      <charset val="128"/>
    </font>
    <font>
      <sz val="11"/>
      <color rgb="FF000000"/>
      <name val="Noto Sans JP"/>
      <family val="2"/>
    </font>
    <font>
      <sz val="11"/>
      <color rgb="FF000000"/>
      <name val="ＭＳ ゴシック"/>
      <family val="2"/>
    </font>
    <font>
      <b/>
      <sz val="11"/>
      <color rgb="FF0000FF"/>
      <name val="Calibri"/>
      <family val="2"/>
    </font>
    <font>
      <sz val="11"/>
      <color rgb="FF000000"/>
      <name val="ＭＳ ゴシック"/>
      <family val="3"/>
    </font>
    <font>
      <sz val="11"/>
      <color rgb="FF000000"/>
      <name val="游ゴシック"/>
      <family val="2"/>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2">
    <border>
      <left/>
      <right/>
      <top/>
      <bottom/>
      <diagonal/>
    </border>
    <border>
      <left/>
      <right style="thin">
        <color rgb="FFD9D9D9"/>
      </right>
      <top/>
      <bottom style="thin">
        <color rgb="FFD9D9D9"/>
      </bottom>
      <diagonal/>
    </border>
  </borders>
  <cellStyleXfs count="1">
    <xf numFmtId="0" fontId="0" fillId="0" borderId="0" applyBorder="0"/>
  </cellStyleXfs>
  <cellXfs count="33">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0" fontId="5" fillId="0" borderId="0" xfId="0" applyFont="1" applyAlignment="1" applyProtection="1">
      <alignment vertical="top"/>
      <protection locked="0"/>
    </xf>
    <xf numFmtId="0" fontId="0" fillId="0" borderId="1" xfId="0" applyBorder="1" applyAlignment="1" applyProtection="1">
      <alignment vertical="top"/>
      <protection locked="0"/>
    </xf>
    <xf numFmtId="49" fontId="5" fillId="0" borderId="0" xfId="0" applyNumberFormat="1" applyFont="1" applyAlignment="1" applyProtection="1">
      <alignment vertical="top"/>
      <protection locked="0"/>
    </xf>
    <xf numFmtId="176" fontId="0" fillId="3" borderId="0" xfId="0" applyNumberFormat="1" applyFill="1" applyAlignment="1">
      <alignment vertical="top"/>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zoomScaleNormal="100" workbookViewId="0">
      <pane xSplit="2" ySplit="7" topLeftCell="C8" activePane="bottomRight" state="frozenSplit"/>
      <selection activeCell="C1" sqref="C1"/>
      <selection pane="topRight"/>
      <selection pane="bottomLeft"/>
      <selection pane="bottomRight" activeCell="F17" sqref="F17"/>
    </sheetView>
  </sheetViews>
  <sheetFormatPr defaultColWidth="9.1796875" defaultRowHeight="14.5" x14ac:dyDescent="0.35"/>
  <cols>
    <col min="1" max="1" width="18.81640625" style="1" customWidth="1"/>
    <col min="2" max="2" width="24.81640625" style="2" customWidth="1"/>
    <col min="3" max="3" width="18.81640625" style="2" customWidth="1"/>
    <col min="4" max="4" width="16.81640625" style="2" customWidth="1"/>
    <col min="5" max="5" width="22.81640625" style="3" customWidth="1"/>
    <col min="6" max="6" width="30.81640625" style="2" customWidth="1"/>
    <col min="7" max="7" width="22.81640625" style="3" customWidth="1"/>
    <col min="8" max="8" width="30.81640625" style="2" customWidth="1"/>
    <col min="9" max="9" width="10.81640625" style="1" customWidth="1"/>
    <col min="10" max="10" width="48.81640625" style="1" customWidth="1"/>
    <col min="11" max="11" width="9.1796875" style="1" customWidth="1"/>
    <col min="12" max="16384" width="9.1796875" style="1"/>
  </cols>
  <sheetData>
    <row r="1" spans="1:10" s="4" customFormat="1" x14ac:dyDescent="0.35">
      <c r="A1" s="5" t="s">
        <v>0</v>
      </c>
      <c r="B1" s="6" t="s">
        <v>1</v>
      </c>
      <c r="C1" s="7" t="s">
        <v>2</v>
      </c>
      <c r="D1" s="6" t="s">
        <v>3</v>
      </c>
      <c r="E1" s="7" t="s">
        <v>4</v>
      </c>
      <c r="F1" s="32" t="s">
        <v>5</v>
      </c>
      <c r="G1" s="8"/>
      <c r="H1" s="9"/>
    </row>
    <row r="2" spans="1:10" s="4" customFormat="1" x14ac:dyDescent="0.35">
      <c r="A2" s="5" t="s">
        <v>6</v>
      </c>
      <c r="B2" s="31"/>
      <c r="C2" s="9"/>
      <c r="D2" s="9"/>
      <c r="E2" s="8"/>
      <c r="F2" s="9"/>
      <c r="G2" s="8"/>
      <c r="H2" s="9"/>
    </row>
    <row r="3" spans="1:10" s="4" customFormat="1" x14ac:dyDescent="0.35">
      <c r="A3" s="10" t="s">
        <v>7</v>
      </c>
      <c r="B3" s="11" t="s">
        <v>8</v>
      </c>
      <c r="C3" s="12" t="s">
        <v>9</v>
      </c>
      <c r="D3" s="12" t="s">
        <v>10</v>
      </c>
      <c r="E3" s="13" t="s">
        <v>11</v>
      </c>
      <c r="F3" s="12" t="s">
        <v>12</v>
      </c>
      <c r="G3" s="13" t="s">
        <v>13</v>
      </c>
      <c r="H3" s="12" t="s">
        <v>14</v>
      </c>
      <c r="I3" s="14" t="s">
        <v>15</v>
      </c>
      <c r="J3" s="14" t="s">
        <v>16</v>
      </c>
    </row>
    <row r="4" spans="1:10" s="4" customFormat="1" x14ac:dyDescent="0.35">
      <c r="A4" s="10" t="s">
        <v>17</v>
      </c>
      <c r="B4" s="11" t="s">
        <v>18</v>
      </c>
      <c r="C4" s="12" t="s">
        <v>19</v>
      </c>
      <c r="D4" s="12" t="s">
        <v>20</v>
      </c>
      <c r="E4" s="15" t="s">
        <v>21</v>
      </c>
      <c r="F4" s="12" t="s">
        <v>22</v>
      </c>
      <c r="G4" s="15" t="s">
        <v>23</v>
      </c>
      <c r="H4" s="12" t="s">
        <v>24</v>
      </c>
      <c r="I4" s="16"/>
      <c r="J4" s="16"/>
    </row>
    <row r="5" spans="1:10" s="4" customFormat="1" x14ac:dyDescent="0.35">
      <c r="A5" s="10" t="s">
        <v>25</v>
      </c>
      <c r="B5" s="11" t="s">
        <v>26</v>
      </c>
      <c r="C5" s="12" t="s">
        <v>27</v>
      </c>
      <c r="D5" s="12" t="s">
        <v>26</v>
      </c>
      <c r="E5" s="13" t="s">
        <v>28</v>
      </c>
      <c r="F5" s="12" t="s">
        <v>29</v>
      </c>
      <c r="G5" s="13" t="s">
        <v>28</v>
      </c>
      <c r="H5" s="12" t="s">
        <v>29</v>
      </c>
      <c r="I5" s="16"/>
      <c r="J5" s="16"/>
    </row>
    <row r="6" spans="1:10" s="4" customFormat="1" x14ac:dyDescent="0.35">
      <c r="A6" s="5" t="s">
        <v>30</v>
      </c>
      <c r="B6" s="11" t="s">
        <v>31</v>
      </c>
      <c r="C6" s="12" t="s">
        <v>32</v>
      </c>
      <c r="D6" s="12" t="s">
        <v>33</v>
      </c>
      <c r="E6" s="13" t="s">
        <v>34</v>
      </c>
      <c r="F6" s="12" t="s">
        <v>32</v>
      </c>
      <c r="G6" s="13" t="s">
        <v>34</v>
      </c>
      <c r="H6" s="12" t="s">
        <v>32</v>
      </c>
      <c r="I6" s="16"/>
      <c r="J6" s="16"/>
    </row>
    <row r="7" spans="1:10" x14ac:dyDescent="0.35">
      <c r="A7" s="17" t="s">
        <v>35</v>
      </c>
      <c r="B7" s="18" t="s">
        <v>36</v>
      </c>
      <c r="C7" s="19" t="s">
        <v>36</v>
      </c>
      <c r="D7" s="19" t="s">
        <v>36</v>
      </c>
      <c r="E7" s="20" t="s">
        <v>36</v>
      </c>
      <c r="F7" s="19" t="s">
        <v>36</v>
      </c>
      <c r="G7" s="20" t="s">
        <v>36</v>
      </c>
      <c r="H7" s="19" t="s">
        <v>36</v>
      </c>
      <c r="I7" s="21"/>
      <c r="J7" s="21"/>
    </row>
    <row r="8" spans="1:10" x14ac:dyDescent="0.35">
      <c r="I8" s="29"/>
    </row>
    <row r="9" spans="1:10" x14ac:dyDescent="0.35">
      <c r="I9" s="29"/>
    </row>
    <row r="10" spans="1:10" x14ac:dyDescent="0.35">
      <c r="I10" s="29"/>
    </row>
    <row r="11" spans="1:10" x14ac:dyDescent="0.35">
      <c r="I11" s="29"/>
    </row>
    <row r="12" spans="1:10" x14ac:dyDescent="0.35">
      <c r="I12" s="29"/>
    </row>
    <row r="13" spans="1:10" x14ac:dyDescent="0.35">
      <c r="I13" s="29"/>
    </row>
    <row r="14" spans="1:10" x14ac:dyDescent="0.35">
      <c r="I14" s="29"/>
    </row>
    <row r="15" spans="1:10" x14ac:dyDescent="0.35">
      <c r="I15" s="29"/>
    </row>
    <row r="16" spans="1:10" ht="29" customHeight="1" x14ac:dyDescent="0.35">
      <c r="I16" s="29"/>
    </row>
    <row r="17" spans="9:9" x14ac:dyDescent="0.35">
      <c r="I17" s="29"/>
    </row>
    <row r="18" spans="9:9" ht="29" customHeight="1" x14ac:dyDescent="0.35">
      <c r="I18" s="29"/>
    </row>
    <row r="19" spans="9:9" x14ac:dyDescent="0.35">
      <c r="I19" s="29"/>
    </row>
    <row r="20" spans="9:9" x14ac:dyDescent="0.35">
      <c r="I20" s="29"/>
    </row>
    <row r="21" spans="9:9" x14ac:dyDescent="0.35">
      <c r="I21" s="29"/>
    </row>
    <row r="22" spans="9:9" x14ac:dyDescent="0.35">
      <c r="I22" s="29"/>
    </row>
    <row r="23" spans="9:9" x14ac:dyDescent="0.35">
      <c r="I23" s="29"/>
    </row>
    <row r="24" spans="9:9" x14ac:dyDescent="0.35">
      <c r="I24" s="29"/>
    </row>
    <row r="25" spans="9:9" x14ac:dyDescent="0.35">
      <c r="I25" s="29"/>
    </row>
    <row r="26" spans="9:9" x14ac:dyDescent="0.35">
      <c r="I26" s="29"/>
    </row>
    <row r="27" spans="9:9" x14ac:dyDescent="0.35">
      <c r="I27" s="29"/>
    </row>
    <row r="28" spans="9:9" x14ac:dyDescent="0.35">
      <c r="I28" s="29"/>
    </row>
    <row r="29" spans="9:9" x14ac:dyDescent="0.35">
      <c r="I29" s="29"/>
    </row>
    <row r="30" spans="9:9" x14ac:dyDescent="0.35">
      <c r="I30" s="29"/>
    </row>
    <row r="31" spans="9:9" x14ac:dyDescent="0.35">
      <c r="I31" s="29"/>
    </row>
    <row r="32" spans="9:9" x14ac:dyDescent="0.35">
      <c r="I32" s="29"/>
    </row>
    <row r="33" spans="9:9" x14ac:dyDescent="0.35">
      <c r="I33" s="29"/>
    </row>
    <row r="34" spans="9:9" ht="29" customHeight="1" x14ac:dyDescent="0.35">
      <c r="I34" s="29"/>
    </row>
    <row r="35" spans="9:9" x14ac:dyDescent="0.35">
      <c r="I35" s="29"/>
    </row>
    <row r="36" spans="9:9" x14ac:dyDescent="0.35">
      <c r="I36" s="29"/>
    </row>
    <row r="37" spans="9:9" x14ac:dyDescent="0.35">
      <c r="I37" s="29"/>
    </row>
    <row r="38" spans="9:9" x14ac:dyDescent="0.35">
      <c r="I38" s="29"/>
    </row>
    <row r="39" spans="9:9" x14ac:dyDescent="0.35">
      <c r="I39" s="29"/>
    </row>
    <row r="40" spans="9:9" ht="29" customHeight="1" x14ac:dyDescent="0.35">
      <c r="I40" s="29"/>
    </row>
    <row r="41" spans="9:9" x14ac:dyDescent="0.35">
      <c r="I41" s="29"/>
    </row>
    <row r="42" spans="9:9" x14ac:dyDescent="0.35">
      <c r="I42" s="29"/>
    </row>
    <row r="43" spans="9:9" x14ac:dyDescent="0.35">
      <c r="I43" s="29"/>
    </row>
    <row r="44" spans="9:9" x14ac:dyDescent="0.35">
      <c r="I44" s="29"/>
    </row>
    <row r="45" spans="9:9" x14ac:dyDescent="0.35">
      <c r="I45" s="29"/>
    </row>
    <row r="46" spans="9:9" x14ac:dyDescent="0.35">
      <c r="I46" s="29"/>
    </row>
    <row r="47" spans="9:9" x14ac:dyDescent="0.35">
      <c r="I47" s="29"/>
    </row>
    <row r="48" spans="9:9" x14ac:dyDescent="0.35">
      <c r="I48" s="29"/>
    </row>
    <row r="49" spans="9:9" x14ac:dyDescent="0.35">
      <c r="I49" s="29"/>
    </row>
    <row r="50" spans="9:9" x14ac:dyDescent="0.35">
      <c r="I50" s="29"/>
    </row>
    <row r="51" spans="9:9" x14ac:dyDescent="0.35">
      <c r="I51" s="29"/>
    </row>
    <row r="52" spans="9:9" x14ac:dyDescent="0.35">
      <c r="I52" s="29"/>
    </row>
    <row r="53" spans="9:9" x14ac:dyDescent="0.35">
      <c r="I53" s="29"/>
    </row>
    <row r="54" spans="9:9" x14ac:dyDescent="0.35">
      <c r="I54" s="29"/>
    </row>
    <row r="55" spans="9:9" x14ac:dyDescent="0.35">
      <c r="I55" s="29"/>
    </row>
    <row r="56" spans="9:9" x14ac:dyDescent="0.35">
      <c r="I56" s="29"/>
    </row>
    <row r="57" spans="9:9" x14ac:dyDescent="0.35">
      <c r="I57" s="29"/>
    </row>
    <row r="58" spans="9:9" x14ac:dyDescent="0.35">
      <c r="I58" s="29"/>
    </row>
  </sheetData>
  <phoneticPr fontId="2"/>
  <conditionalFormatting sqref="B7:H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7"/>
  <sheetViews>
    <sheetView workbookViewId="0">
      <pane xSplit="2" ySplit="7" topLeftCell="C8" activePane="bottomRight" state="frozenSplit"/>
      <selection activeCell="E17" sqref="E17"/>
      <selection pane="topRight"/>
      <selection pane="bottomLeft"/>
      <selection pane="bottomRight" activeCell="E17" sqref="E17"/>
    </sheetView>
  </sheetViews>
  <sheetFormatPr defaultColWidth="9.1796875" defaultRowHeight="14.5" x14ac:dyDescent="0.35"/>
  <cols>
    <col min="1" max="1" width="18.81640625" style="1" customWidth="1"/>
    <col min="2" max="2" width="24.81640625" style="2" customWidth="1"/>
    <col min="3" max="3" width="18.81640625" style="2" customWidth="1"/>
    <col min="4" max="4" width="34.08984375" style="2" customWidth="1"/>
    <col min="5" max="5" width="22.90625" style="2" customWidth="1"/>
    <col min="6" max="6" width="50.81640625" style="2" customWidth="1"/>
    <col min="7" max="7" width="14.81640625" style="1" customWidth="1"/>
    <col min="8" max="8" width="22.81640625" style="3" customWidth="1"/>
    <col min="9" max="9" width="30.81640625" style="2" customWidth="1"/>
    <col min="10" max="10" width="22.81640625" style="3" customWidth="1"/>
    <col min="11" max="11" width="30.81640625" style="2" customWidth="1"/>
    <col min="12" max="12" width="10.81640625" style="1" customWidth="1"/>
    <col min="13" max="13" width="48.81640625" style="1" customWidth="1"/>
    <col min="14" max="14" width="9.1796875" style="1" customWidth="1"/>
    <col min="15" max="16384" width="9.1796875" style="1"/>
  </cols>
  <sheetData>
    <row r="1" spans="1:13" s="4" customFormat="1" x14ac:dyDescent="0.35">
      <c r="A1" s="5" t="s">
        <v>0</v>
      </c>
      <c r="B1" s="6" t="s">
        <v>72</v>
      </c>
      <c r="C1" s="7" t="s">
        <v>2</v>
      </c>
      <c r="D1" s="6" t="s">
        <v>73</v>
      </c>
      <c r="E1" s="7" t="s">
        <v>4</v>
      </c>
      <c r="F1" s="32" t="s">
        <v>5</v>
      </c>
      <c r="H1" s="8"/>
      <c r="K1" s="9"/>
    </row>
    <row r="2" spans="1:13" s="4" customFormat="1" x14ac:dyDescent="0.35">
      <c r="A2" s="5" t="s">
        <v>6</v>
      </c>
      <c r="B2" s="31"/>
      <c r="C2" s="9"/>
      <c r="D2" s="9"/>
      <c r="E2" s="9"/>
      <c r="F2" s="9"/>
      <c r="H2" s="8"/>
      <c r="I2" s="9"/>
      <c r="J2" s="8"/>
      <c r="K2" s="9"/>
    </row>
    <row r="3" spans="1:13" s="4" customFormat="1" x14ac:dyDescent="0.35">
      <c r="A3" s="10" t="s">
        <v>7</v>
      </c>
      <c r="B3" s="11" t="s">
        <v>74</v>
      </c>
      <c r="C3" s="12" t="s">
        <v>8</v>
      </c>
      <c r="D3" s="12" t="s">
        <v>75</v>
      </c>
      <c r="E3" s="12" t="s">
        <v>76</v>
      </c>
      <c r="F3" s="12" t="s">
        <v>77</v>
      </c>
      <c r="G3" s="22" t="s">
        <v>78</v>
      </c>
      <c r="H3" s="13" t="s">
        <v>11</v>
      </c>
      <c r="I3" s="12" t="s">
        <v>12</v>
      </c>
      <c r="J3" s="13" t="s">
        <v>13</v>
      </c>
      <c r="K3" s="12" t="s">
        <v>14</v>
      </c>
      <c r="L3" s="14" t="s">
        <v>15</v>
      </c>
      <c r="M3" s="14" t="s">
        <v>16</v>
      </c>
    </row>
    <row r="4" spans="1:13" s="4" customFormat="1" x14ac:dyDescent="0.35">
      <c r="A4" s="10" t="s">
        <v>17</v>
      </c>
      <c r="B4" s="11" t="s">
        <v>79</v>
      </c>
      <c r="C4" s="12" t="s">
        <v>18</v>
      </c>
      <c r="D4" s="12" t="s">
        <v>80</v>
      </c>
      <c r="E4" s="12" t="s">
        <v>81</v>
      </c>
      <c r="F4" s="12" t="s">
        <v>82</v>
      </c>
      <c r="G4" s="16" t="s">
        <v>83</v>
      </c>
      <c r="H4" s="15" t="s">
        <v>21</v>
      </c>
      <c r="I4" s="12" t="s">
        <v>22</v>
      </c>
      <c r="J4" s="15" t="s">
        <v>23</v>
      </c>
      <c r="K4" s="12" t="s">
        <v>24</v>
      </c>
      <c r="L4" s="16"/>
      <c r="M4" s="16"/>
    </row>
    <row r="5" spans="1:13" s="4" customFormat="1" x14ac:dyDescent="0.35">
      <c r="A5" s="10" t="s">
        <v>25</v>
      </c>
      <c r="B5" s="11" t="s">
        <v>84</v>
      </c>
      <c r="C5" s="12" t="s">
        <v>26</v>
      </c>
      <c r="D5" s="12" t="s">
        <v>85</v>
      </c>
      <c r="E5" s="12" t="s">
        <v>85</v>
      </c>
      <c r="F5" s="12" t="s">
        <v>86</v>
      </c>
      <c r="G5" s="22" t="s">
        <v>87</v>
      </c>
      <c r="H5" s="13" t="s">
        <v>28</v>
      </c>
      <c r="I5" s="12" t="s">
        <v>29</v>
      </c>
      <c r="J5" s="13" t="s">
        <v>28</v>
      </c>
      <c r="K5" s="12" t="s">
        <v>29</v>
      </c>
      <c r="L5" s="16"/>
      <c r="M5" s="16"/>
    </row>
    <row r="6" spans="1:13" s="4" customFormat="1" x14ac:dyDescent="0.35">
      <c r="A6" s="5" t="s">
        <v>30</v>
      </c>
      <c r="B6" s="11" t="s">
        <v>31</v>
      </c>
      <c r="C6" s="12" t="s">
        <v>32</v>
      </c>
      <c r="D6" s="12" t="s">
        <v>32</v>
      </c>
      <c r="E6" s="12" t="s">
        <v>32</v>
      </c>
      <c r="F6" s="12" t="s">
        <v>33</v>
      </c>
      <c r="G6" s="22" t="s">
        <v>34</v>
      </c>
      <c r="H6" s="13" t="s">
        <v>34</v>
      </c>
      <c r="I6" s="12" t="s">
        <v>32</v>
      </c>
      <c r="J6" s="13" t="s">
        <v>34</v>
      </c>
      <c r="K6" s="12" t="s">
        <v>32</v>
      </c>
      <c r="L6" s="16"/>
      <c r="M6" s="16"/>
    </row>
    <row r="7" spans="1:13" x14ac:dyDescent="0.35">
      <c r="A7" s="17" t="s">
        <v>35</v>
      </c>
      <c r="B7" s="18" t="s">
        <v>36</v>
      </c>
      <c r="C7" s="19" t="s">
        <v>36</v>
      </c>
      <c r="D7" s="19" t="s">
        <v>36</v>
      </c>
      <c r="E7" s="19" t="s">
        <v>36</v>
      </c>
      <c r="F7" s="19" t="s">
        <v>36</v>
      </c>
      <c r="G7" s="23" t="s">
        <v>36</v>
      </c>
      <c r="H7" s="20" t="s">
        <v>36</v>
      </c>
      <c r="I7" s="19" t="s">
        <v>36</v>
      </c>
      <c r="J7" s="20" t="s">
        <v>36</v>
      </c>
      <c r="K7" s="19" t="s">
        <v>36</v>
      </c>
      <c r="L7" s="21"/>
      <c r="M7" s="21"/>
    </row>
    <row r="8" spans="1:13" x14ac:dyDescent="0.35">
      <c r="B8" s="2" t="s">
        <v>88</v>
      </c>
      <c r="C8" s="2" t="s">
        <v>43</v>
      </c>
      <c r="D8" s="2" t="s">
        <v>89</v>
      </c>
      <c r="E8" s="2" t="s">
        <v>90</v>
      </c>
      <c r="F8" s="2" t="s">
        <v>91</v>
      </c>
      <c r="G8" s="1">
        <v>1</v>
      </c>
      <c r="H8" s="3">
        <v>42402.375</v>
      </c>
      <c r="I8" s="2" t="s">
        <v>37</v>
      </c>
      <c r="J8" s="3">
        <v>44384.375</v>
      </c>
      <c r="K8" s="2" t="s">
        <v>38</v>
      </c>
      <c r="L8" s="29" t="s">
        <v>39</v>
      </c>
      <c r="M8" s="1" t="s">
        <v>32</v>
      </c>
    </row>
    <row r="9" spans="1:13" x14ac:dyDescent="0.35">
      <c r="B9" s="2" t="s">
        <v>92</v>
      </c>
      <c r="C9" s="2" t="s">
        <v>43</v>
      </c>
      <c r="D9" s="2" t="s">
        <v>93</v>
      </c>
      <c r="E9" s="2" t="s">
        <v>94</v>
      </c>
      <c r="F9" s="2" t="s">
        <v>95</v>
      </c>
      <c r="G9" s="1">
        <v>1</v>
      </c>
      <c r="H9" s="3">
        <v>42991.425694444399</v>
      </c>
      <c r="I9" s="2" t="s">
        <v>38</v>
      </c>
      <c r="J9" s="3">
        <v>44610.425694444399</v>
      </c>
      <c r="K9" s="2" t="s">
        <v>41</v>
      </c>
      <c r="L9" s="29" t="s">
        <v>39</v>
      </c>
      <c r="M9" s="1" t="s">
        <v>32</v>
      </c>
    </row>
    <row r="10" spans="1:13" x14ac:dyDescent="0.35">
      <c r="B10" s="2" t="s">
        <v>96</v>
      </c>
      <c r="C10" s="2" t="s">
        <v>43</v>
      </c>
      <c r="D10" s="2" t="s">
        <v>97</v>
      </c>
      <c r="E10" s="2" t="s">
        <v>98</v>
      </c>
      <c r="F10" s="2" t="s">
        <v>99</v>
      </c>
      <c r="G10" s="1">
        <v>1</v>
      </c>
      <c r="H10" s="3">
        <v>43214.476388888899</v>
      </c>
      <c r="I10" s="2" t="s">
        <v>41</v>
      </c>
      <c r="J10" s="3">
        <v>45174.476388888899</v>
      </c>
      <c r="K10" s="2" t="s">
        <v>40</v>
      </c>
      <c r="L10" s="29" t="s">
        <v>39</v>
      </c>
      <c r="M10" s="1" t="s">
        <v>32</v>
      </c>
    </row>
    <row r="11" spans="1:13" x14ac:dyDescent="0.35">
      <c r="B11" s="2" t="s">
        <v>100</v>
      </c>
      <c r="C11" s="2" t="s">
        <v>43</v>
      </c>
      <c r="D11" s="2" t="s">
        <v>101</v>
      </c>
      <c r="E11" s="2" t="s">
        <v>102</v>
      </c>
      <c r="F11" s="2" t="s">
        <v>103</v>
      </c>
      <c r="G11" s="1">
        <v>1</v>
      </c>
      <c r="H11" s="3">
        <v>43780.527083333298</v>
      </c>
      <c r="I11" s="2" t="s">
        <v>40</v>
      </c>
      <c r="J11" s="3">
        <v>45398.527083333298</v>
      </c>
      <c r="K11" s="2" t="s">
        <v>37</v>
      </c>
      <c r="L11" s="29" t="s">
        <v>39</v>
      </c>
      <c r="M11" s="1" t="s">
        <v>32</v>
      </c>
    </row>
    <row r="12" spans="1:13" x14ac:dyDescent="0.35">
      <c r="B12" s="2" t="s">
        <v>104</v>
      </c>
      <c r="C12" s="2" t="s">
        <v>44</v>
      </c>
      <c r="D12" s="2" t="s">
        <v>105</v>
      </c>
      <c r="E12" s="2" t="s">
        <v>106</v>
      </c>
      <c r="F12" s="2" t="s">
        <v>107</v>
      </c>
      <c r="G12" s="1">
        <v>1</v>
      </c>
      <c r="H12" s="3">
        <v>44004.577777777798</v>
      </c>
      <c r="I12" s="2" t="s">
        <v>37</v>
      </c>
      <c r="J12" s="3">
        <v>45964.577777777798</v>
      </c>
      <c r="K12" s="2" t="s">
        <v>38</v>
      </c>
      <c r="L12" s="29" t="s">
        <v>39</v>
      </c>
      <c r="M12" s="1" t="s">
        <v>32</v>
      </c>
    </row>
    <row r="13" spans="1:13" x14ac:dyDescent="0.35">
      <c r="B13" s="2" t="s">
        <v>108</v>
      </c>
      <c r="C13" s="2" t="s">
        <v>44</v>
      </c>
      <c r="D13" s="2" t="s">
        <v>109</v>
      </c>
      <c r="E13" s="2" t="s">
        <v>110</v>
      </c>
      <c r="F13" s="2" t="s">
        <v>111</v>
      </c>
      <c r="G13" s="1">
        <v>1</v>
      </c>
      <c r="H13" s="3">
        <v>44205.586805555598</v>
      </c>
      <c r="I13" s="2" t="s">
        <v>38</v>
      </c>
      <c r="J13" s="3">
        <v>46187.586805555598</v>
      </c>
      <c r="K13" s="2" t="s">
        <v>41</v>
      </c>
      <c r="L13" s="29" t="s">
        <v>39</v>
      </c>
      <c r="M13" s="1" t="s">
        <v>32</v>
      </c>
    </row>
    <row r="14" spans="1:13" x14ac:dyDescent="0.35">
      <c r="B14" s="2" t="s">
        <v>112</v>
      </c>
      <c r="C14" s="2" t="s">
        <v>44</v>
      </c>
      <c r="D14" s="2" t="s">
        <v>113</v>
      </c>
      <c r="E14" s="2" t="s">
        <v>114</v>
      </c>
      <c r="F14" s="2" t="s">
        <v>115</v>
      </c>
      <c r="G14" s="1">
        <v>1</v>
      </c>
      <c r="H14" s="3">
        <v>44793.637499999997</v>
      </c>
      <c r="I14" s="2" t="s">
        <v>41</v>
      </c>
      <c r="J14" s="3">
        <v>44973.637499999997</v>
      </c>
      <c r="K14" s="2" t="s">
        <v>40</v>
      </c>
      <c r="L14" s="29" t="s">
        <v>39</v>
      </c>
      <c r="M14" s="1" t="s">
        <v>32</v>
      </c>
    </row>
    <row r="15" spans="1:13" x14ac:dyDescent="0.35">
      <c r="B15" s="2" t="s">
        <v>116</v>
      </c>
      <c r="C15" s="2" t="s">
        <v>44</v>
      </c>
      <c r="D15" s="2" t="s">
        <v>117</v>
      </c>
      <c r="E15" s="2" t="s">
        <v>118</v>
      </c>
      <c r="F15" s="2" t="s">
        <v>119</v>
      </c>
      <c r="G15" s="1">
        <v>1</v>
      </c>
      <c r="H15" s="3">
        <v>44992.688194444403</v>
      </c>
      <c r="I15" s="2" t="s">
        <v>40</v>
      </c>
      <c r="J15" s="3">
        <v>45150.688194444403</v>
      </c>
      <c r="K15" s="2" t="s">
        <v>37</v>
      </c>
      <c r="L15" s="29" t="s">
        <v>39</v>
      </c>
      <c r="M15" s="1" t="s">
        <v>32</v>
      </c>
    </row>
    <row r="16" spans="1:13" x14ac:dyDescent="0.35">
      <c r="B16" s="2" t="s">
        <v>120</v>
      </c>
      <c r="C16" s="2" t="s">
        <v>44</v>
      </c>
      <c r="D16" s="2" t="s">
        <v>121</v>
      </c>
      <c r="E16" s="2" t="s">
        <v>90</v>
      </c>
      <c r="F16" s="2" t="s">
        <v>122</v>
      </c>
      <c r="G16" s="1">
        <v>1</v>
      </c>
      <c r="H16" s="3">
        <v>45583.405555555597</v>
      </c>
      <c r="I16" s="2" t="s">
        <v>37</v>
      </c>
      <c r="J16" s="3">
        <v>45763.405555555597</v>
      </c>
      <c r="K16" s="2" t="s">
        <v>38</v>
      </c>
      <c r="L16" s="29" t="s">
        <v>39</v>
      </c>
      <c r="M16" s="1" t="s">
        <v>32</v>
      </c>
    </row>
    <row r="17" spans="2:13" x14ac:dyDescent="0.35">
      <c r="B17" s="2" t="s">
        <v>123</v>
      </c>
      <c r="C17" s="2" t="s">
        <v>45</v>
      </c>
      <c r="D17" s="2" t="s">
        <v>124</v>
      </c>
      <c r="E17" s="2" t="s">
        <v>125</v>
      </c>
      <c r="F17" s="2" t="s">
        <v>126</v>
      </c>
      <c r="G17" s="1">
        <v>0</v>
      </c>
      <c r="H17" s="3">
        <v>45782.456250000003</v>
      </c>
      <c r="I17" s="2" t="s">
        <v>38</v>
      </c>
      <c r="J17" s="3">
        <v>45940.456250000003</v>
      </c>
      <c r="K17" s="2" t="s">
        <v>41</v>
      </c>
      <c r="L17" s="29" t="s">
        <v>39</v>
      </c>
      <c r="M17" s="1" t="s">
        <v>32</v>
      </c>
    </row>
    <row r="18" spans="2:13" x14ac:dyDescent="0.35">
      <c r="B18" s="2" t="s">
        <v>127</v>
      </c>
      <c r="C18" s="2" t="s">
        <v>45</v>
      </c>
      <c r="D18" s="2" t="s">
        <v>128</v>
      </c>
      <c r="E18" s="2" t="s">
        <v>98</v>
      </c>
      <c r="F18" s="2" t="s">
        <v>129</v>
      </c>
      <c r="G18" s="1">
        <v>1</v>
      </c>
      <c r="H18" s="3">
        <v>46372.465277777803</v>
      </c>
      <c r="I18" s="2" t="s">
        <v>41</v>
      </c>
      <c r="J18" s="3">
        <v>46552.465277777803</v>
      </c>
      <c r="K18" s="2" t="s">
        <v>40</v>
      </c>
      <c r="L18" s="29" t="s">
        <v>39</v>
      </c>
      <c r="M18" s="1" t="s">
        <v>32</v>
      </c>
    </row>
    <row r="19" spans="2:13" x14ac:dyDescent="0.35">
      <c r="B19" s="2" t="s">
        <v>130</v>
      </c>
      <c r="C19" s="2" t="s">
        <v>45</v>
      </c>
      <c r="D19" s="2" t="s">
        <v>131</v>
      </c>
      <c r="E19" s="2" t="s">
        <v>102</v>
      </c>
      <c r="F19" s="2" t="s">
        <v>132</v>
      </c>
      <c r="G19" s="1">
        <v>1</v>
      </c>
      <c r="H19" s="3">
        <v>42554.515972222202</v>
      </c>
      <c r="I19" s="2" t="s">
        <v>40</v>
      </c>
      <c r="J19" s="3">
        <v>46364.515972222202</v>
      </c>
      <c r="K19" s="2" t="s">
        <v>37</v>
      </c>
      <c r="L19" s="29" t="s">
        <v>39</v>
      </c>
      <c r="M19" s="1" t="s">
        <v>32</v>
      </c>
    </row>
    <row r="20" spans="2:13" x14ac:dyDescent="0.35">
      <c r="B20" s="2" t="s">
        <v>133</v>
      </c>
      <c r="C20" s="2" t="s">
        <v>45</v>
      </c>
      <c r="D20" s="2" t="s">
        <v>134</v>
      </c>
      <c r="E20" s="2" t="s">
        <v>135</v>
      </c>
      <c r="F20" s="2" t="s">
        <v>136</v>
      </c>
      <c r="G20" s="1">
        <v>1</v>
      </c>
      <c r="H20" s="3">
        <v>42780.566666666702</v>
      </c>
      <c r="I20" s="2" t="s">
        <v>37</v>
      </c>
      <c r="J20" s="3">
        <v>44396.566666666702</v>
      </c>
      <c r="K20" s="2" t="s">
        <v>38</v>
      </c>
      <c r="L20" s="29" t="s">
        <v>39</v>
      </c>
      <c r="M20" s="1" t="s">
        <v>32</v>
      </c>
    </row>
    <row r="21" spans="2:13" x14ac:dyDescent="0.35">
      <c r="B21" s="2" t="s">
        <v>137</v>
      </c>
      <c r="C21" s="2" t="s">
        <v>45</v>
      </c>
      <c r="D21" s="2" t="s">
        <v>138</v>
      </c>
      <c r="E21" s="2" t="s">
        <v>110</v>
      </c>
      <c r="F21" s="2" t="s">
        <v>139</v>
      </c>
      <c r="G21" s="1">
        <v>1</v>
      </c>
      <c r="H21" s="3">
        <v>43344.617361111101</v>
      </c>
      <c r="I21" s="2" t="s">
        <v>38</v>
      </c>
      <c r="J21" s="3">
        <v>44598.617361111101</v>
      </c>
      <c r="K21" s="2" t="s">
        <v>41</v>
      </c>
      <c r="L21" s="29" t="s">
        <v>39</v>
      </c>
      <c r="M21" s="1" t="s">
        <v>32</v>
      </c>
    </row>
    <row r="22" spans="2:13" x14ac:dyDescent="0.35">
      <c r="B22" s="2" t="s">
        <v>140</v>
      </c>
      <c r="C22" s="2" t="s">
        <v>45</v>
      </c>
      <c r="D22" s="2" t="s">
        <v>141</v>
      </c>
      <c r="E22" s="2" t="s">
        <v>142</v>
      </c>
      <c r="F22" s="2" t="s">
        <v>143</v>
      </c>
      <c r="G22" s="1">
        <v>1</v>
      </c>
      <c r="H22" s="3">
        <v>43567.626388888901</v>
      </c>
      <c r="I22" s="2" t="s">
        <v>41</v>
      </c>
      <c r="J22" s="3">
        <v>45186.626388888901</v>
      </c>
      <c r="K22" s="2" t="s">
        <v>40</v>
      </c>
      <c r="L22" s="29" t="s">
        <v>39</v>
      </c>
      <c r="M22" s="1" t="s">
        <v>32</v>
      </c>
    </row>
    <row r="23" spans="2:13" x14ac:dyDescent="0.35">
      <c r="B23" s="2" t="s">
        <v>144</v>
      </c>
      <c r="C23" s="2" t="s">
        <v>45</v>
      </c>
      <c r="D23" s="2" t="s">
        <v>145</v>
      </c>
      <c r="E23" s="2" t="s">
        <v>118</v>
      </c>
      <c r="F23" s="2" t="s">
        <v>146</v>
      </c>
      <c r="G23" s="1">
        <v>1</v>
      </c>
      <c r="H23" s="3">
        <v>44158.677083333299</v>
      </c>
      <c r="I23" s="2" t="s">
        <v>40</v>
      </c>
      <c r="J23" s="3">
        <v>45386.677083333299</v>
      </c>
      <c r="K23" s="2" t="s">
        <v>37</v>
      </c>
      <c r="L23" s="29" t="s">
        <v>39</v>
      </c>
      <c r="M23" s="1" t="s">
        <v>32</v>
      </c>
    </row>
    <row r="24" spans="2:13" x14ac:dyDescent="0.35">
      <c r="B24" s="2" t="s">
        <v>147</v>
      </c>
      <c r="C24" s="2" t="s">
        <v>45</v>
      </c>
      <c r="D24" s="2" t="s">
        <v>148</v>
      </c>
      <c r="E24" s="2" t="s">
        <v>90</v>
      </c>
      <c r="F24" s="2" t="s">
        <v>149</v>
      </c>
      <c r="G24" s="1">
        <v>1</v>
      </c>
      <c r="H24" s="3">
        <v>44357.394444444399</v>
      </c>
      <c r="I24" s="2" t="s">
        <v>37</v>
      </c>
      <c r="J24" s="3">
        <v>45976.394444444399</v>
      </c>
      <c r="K24" s="2" t="s">
        <v>38</v>
      </c>
      <c r="L24" s="29" t="s">
        <v>39</v>
      </c>
      <c r="M24" s="1" t="s">
        <v>32</v>
      </c>
    </row>
    <row r="25" spans="2:13" x14ac:dyDescent="0.35">
      <c r="B25" s="2" t="s">
        <v>150</v>
      </c>
      <c r="C25" s="2" t="s">
        <v>45</v>
      </c>
      <c r="D25" s="2" t="s">
        <v>151</v>
      </c>
      <c r="E25" s="2" t="s">
        <v>94</v>
      </c>
      <c r="F25" s="2" t="s">
        <v>152</v>
      </c>
      <c r="G25" s="1">
        <v>1</v>
      </c>
      <c r="H25" s="3">
        <v>44582.445138888899</v>
      </c>
      <c r="I25" s="2" t="s">
        <v>38</v>
      </c>
      <c r="J25" s="3">
        <v>46175.445138888899</v>
      </c>
      <c r="K25" s="2" t="s">
        <v>41</v>
      </c>
      <c r="L25" s="29" t="s">
        <v>39</v>
      </c>
      <c r="M25" s="1" t="s">
        <v>32</v>
      </c>
    </row>
    <row r="26" spans="2:13" x14ac:dyDescent="0.35">
      <c r="B26" s="2" t="s">
        <v>153</v>
      </c>
      <c r="C26" s="2" t="s">
        <v>45</v>
      </c>
      <c r="D26" s="2" t="s">
        <v>154</v>
      </c>
      <c r="E26" s="2" t="s">
        <v>98</v>
      </c>
      <c r="F26" s="2" t="s">
        <v>155</v>
      </c>
      <c r="G26" s="1">
        <v>1</v>
      </c>
      <c r="H26" s="3">
        <v>45146.495833333298</v>
      </c>
      <c r="I26" s="2" t="s">
        <v>41</v>
      </c>
      <c r="J26" s="3">
        <v>45326.495833333298</v>
      </c>
      <c r="K26" s="2" t="s">
        <v>40</v>
      </c>
      <c r="L26" s="29" t="s">
        <v>39</v>
      </c>
      <c r="M26" s="1" t="s">
        <v>32</v>
      </c>
    </row>
    <row r="27" spans="2:13" x14ac:dyDescent="0.35">
      <c r="B27" s="2" t="s">
        <v>156</v>
      </c>
      <c r="C27" s="2" t="s">
        <v>45</v>
      </c>
      <c r="D27" s="2" t="s">
        <v>157</v>
      </c>
      <c r="E27" s="2" t="s">
        <v>158</v>
      </c>
      <c r="F27" s="2" t="s">
        <v>159</v>
      </c>
      <c r="G27" s="1">
        <v>0</v>
      </c>
      <c r="H27" s="3">
        <v>45370.504861111098</v>
      </c>
      <c r="I27" s="2" t="s">
        <v>40</v>
      </c>
      <c r="J27" s="3">
        <v>45528.504861111098</v>
      </c>
      <c r="K27" s="2" t="s">
        <v>37</v>
      </c>
      <c r="L27" s="29" t="s">
        <v>39</v>
      </c>
      <c r="M27" s="1" t="s">
        <v>32</v>
      </c>
    </row>
    <row r="28" spans="2:13" x14ac:dyDescent="0.35">
      <c r="B28" s="2" t="s">
        <v>160</v>
      </c>
      <c r="C28" s="2" t="s">
        <v>45</v>
      </c>
      <c r="D28" s="2" t="s">
        <v>161</v>
      </c>
      <c r="E28" s="2" t="s">
        <v>135</v>
      </c>
      <c r="F28" s="2" t="s">
        <v>162</v>
      </c>
      <c r="G28" s="1">
        <v>1</v>
      </c>
      <c r="H28" s="3">
        <v>45936.555555555598</v>
      </c>
      <c r="I28" s="2" t="s">
        <v>37</v>
      </c>
      <c r="J28" s="3">
        <v>46116.555555555598</v>
      </c>
      <c r="K28" s="2" t="s">
        <v>38</v>
      </c>
      <c r="L28" s="29" t="s">
        <v>39</v>
      </c>
      <c r="M28" s="1" t="s">
        <v>32</v>
      </c>
    </row>
    <row r="29" spans="2:13" x14ac:dyDescent="0.35">
      <c r="B29" s="2" t="s">
        <v>163</v>
      </c>
      <c r="C29" s="2" t="s">
        <v>45</v>
      </c>
      <c r="D29" s="2" t="s">
        <v>164</v>
      </c>
      <c r="E29" s="2" t="s">
        <v>110</v>
      </c>
      <c r="F29" s="2" t="s">
        <v>165</v>
      </c>
      <c r="G29" s="1">
        <v>1</v>
      </c>
      <c r="H29" s="3">
        <v>46159.606249999997</v>
      </c>
      <c r="I29" s="2" t="s">
        <v>38</v>
      </c>
      <c r="J29" s="3">
        <v>46317.606249999997</v>
      </c>
      <c r="K29" s="2" t="s">
        <v>41</v>
      </c>
      <c r="L29" s="29" t="s">
        <v>39</v>
      </c>
      <c r="M29" s="1" t="s">
        <v>32</v>
      </c>
    </row>
    <row r="30" spans="2:13" x14ac:dyDescent="0.35">
      <c r="B30" s="2" t="s">
        <v>166</v>
      </c>
      <c r="C30" s="2" t="s">
        <v>45</v>
      </c>
      <c r="D30" s="2" t="s">
        <v>167</v>
      </c>
      <c r="E30" s="2" t="s">
        <v>114</v>
      </c>
      <c r="F30" s="2" t="s">
        <v>168</v>
      </c>
      <c r="G30" s="1">
        <v>1</v>
      </c>
      <c r="H30" s="3">
        <v>42708.656944444403</v>
      </c>
      <c r="I30" s="2" t="s">
        <v>41</v>
      </c>
      <c r="J30" s="3">
        <v>45786.656944444403</v>
      </c>
      <c r="K30" s="2" t="s">
        <v>40</v>
      </c>
      <c r="L30" s="29" t="s">
        <v>39</v>
      </c>
      <c r="M30" s="1" t="s">
        <v>32</v>
      </c>
    </row>
    <row r="31" spans="2:13" x14ac:dyDescent="0.35">
      <c r="B31" s="2" t="s">
        <v>169</v>
      </c>
      <c r="C31" s="2" t="s">
        <v>45</v>
      </c>
      <c r="D31" s="2" t="s">
        <v>170</v>
      </c>
      <c r="E31" s="2" t="s">
        <v>118</v>
      </c>
      <c r="F31" s="2" t="s">
        <v>171</v>
      </c>
      <c r="G31" s="1">
        <v>1</v>
      </c>
      <c r="H31" s="3">
        <v>42931.707638888904</v>
      </c>
      <c r="I31" s="2" t="s">
        <v>40</v>
      </c>
      <c r="J31" s="3">
        <v>46376.707638888904</v>
      </c>
      <c r="K31" s="2" t="s">
        <v>37</v>
      </c>
      <c r="L31" s="29" t="s">
        <v>39</v>
      </c>
      <c r="M31" s="1" t="s">
        <v>32</v>
      </c>
    </row>
    <row r="32" spans="2:13" x14ac:dyDescent="0.35">
      <c r="B32" s="2" t="s">
        <v>172</v>
      </c>
      <c r="C32" s="2" t="s">
        <v>45</v>
      </c>
      <c r="D32" s="2" t="s">
        <v>173</v>
      </c>
      <c r="E32" s="2" t="s">
        <v>174</v>
      </c>
      <c r="F32" s="2" t="s">
        <v>175</v>
      </c>
      <c r="G32" s="1">
        <v>1</v>
      </c>
      <c r="H32" s="3">
        <v>43133.383333333302</v>
      </c>
      <c r="I32" s="2" t="s">
        <v>37</v>
      </c>
      <c r="J32" s="3">
        <v>44384.383333333302</v>
      </c>
      <c r="K32" s="2" t="s">
        <v>38</v>
      </c>
      <c r="L32" s="29" t="s">
        <v>39</v>
      </c>
      <c r="M32" s="1" t="s">
        <v>32</v>
      </c>
    </row>
    <row r="33" spans="2:13" x14ac:dyDescent="0.35">
      <c r="B33" s="2" t="s">
        <v>176</v>
      </c>
      <c r="C33" s="2" t="s">
        <v>46</v>
      </c>
      <c r="D33" s="2" t="s">
        <v>177</v>
      </c>
      <c r="E33" s="2" t="s">
        <v>94</v>
      </c>
      <c r="F33" s="2" t="s">
        <v>178</v>
      </c>
      <c r="G33" s="1">
        <v>1</v>
      </c>
      <c r="H33" s="3">
        <v>43721.434027777803</v>
      </c>
      <c r="I33" s="2" t="s">
        <v>38</v>
      </c>
      <c r="J33" s="3">
        <v>44610.434027777803</v>
      </c>
      <c r="K33" s="2" t="s">
        <v>41</v>
      </c>
      <c r="L33" s="29" t="s">
        <v>39</v>
      </c>
      <c r="M33" s="1" t="s">
        <v>32</v>
      </c>
    </row>
    <row r="34" spans="2:13" x14ac:dyDescent="0.35">
      <c r="B34" s="2" t="s">
        <v>179</v>
      </c>
      <c r="C34" s="2" t="s">
        <v>46</v>
      </c>
      <c r="D34" s="2" t="s">
        <v>180</v>
      </c>
      <c r="E34" s="2" t="s">
        <v>98</v>
      </c>
      <c r="F34" s="2" t="s">
        <v>181</v>
      </c>
      <c r="G34" s="1">
        <v>1</v>
      </c>
      <c r="H34" s="3">
        <v>43945.484722222202</v>
      </c>
      <c r="I34" s="2" t="s">
        <v>41</v>
      </c>
      <c r="J34" s="3">
        <v>45174.484722222202</v>
      </c>
      <c r="K34" s="2" t="s">
        <v>40</v>
      </c>
      <c r="L34" s="29" t="s">
        <v>39</v>
      </c>
      <c r="M34" s="1" t="s">
        <v>32</v>
      </c>
    </row>
    <row r="35" spans="2:13" x14ac:dyDescent="0.35">
      <c r="B35" s="2" t="s">
        <v>182</v>
      </c>
      <c r="C35" s="2" t="s">
        <v>46</v>
      </c>
      <c r="D35" s="2" t="s">
        <v>183</v>
      </c>
      <c r="E35" s="2" t="s">
        <v>102</v>
      </c>
      <c r="F35" s="2" t="s">
        <v>184</v>
      </c>
      <c r="G35" s="1">
        <v>1</v>
      </c>
      <c r="H35" s="3">
        <v>44511.535416666702</v>
      </c>
      <c r="I35" s="2" t="s">
        <v>40</v>
      </c>
      <c r="J35" s="3">
        <v>45398.535416666702</v>
      </c>
      <c r="K35" s="2" t="s">
        <v>37</v>
      </c>
      <c r="L35" s="29" t="s">
        <v>39</v>
      </c>
      <c r="M35" s="1" t="s">
        <v>32</v>
      </c>
    </row>
    <row r="36" spans="2:13" x14ac:dyDescent="0.35">
      <c r="B36" s="2" t="s">
        <v>185</v>
      </c>
      <c r="C36" s="2" t="s">
        <v>46</v>
      </c>
      <c r="D36" s="2" t="s">
        <v>186</v>
      </c>
      <c r="E36" s="2" t="s">
        <v>135</v>
      </c>
      <c r="F36" s="2" t="s">
        <v>187</v>
      </c>
      <c r="G36" s="1">
        <v>1</v>
      </c>
      <c r="H36" s="3">
        <v>44734.5444444444</v>
      </c>
      <c r="I36" s="2" t="s">
        <v>37</v>
      </c>
      <c r="J36" s="3">
        <v>45964.5444444444</v>
      </c>
      <c r="K36" s="2" t="s">
        <v>38</v>
      </c>
      <c r="L36" s="29" t="s">
        <v>39</v>
      </c>
      <c r="M36" s="1" t="s">
        <v>32</v>
      </c>
    </row>
    <row r="37" spans="2:13" x14ac:dyDescent="0.35">
      <c r="B37" s="2" t="s">
        <v>188</v>
      </c>
      <c r="C37" s="2" t="s">
        <v>46</v>
      </c>
      <c r="D37" s="2" t="s">
        <v>189</v>
      </c>
      <c r="E37" s="2" t="s">
        <v>190</v>
      </c>
      <c r="F37" s="2" t="s">
        <v>191</v>
      </c>
      <c r="G37" s="1">
        <v>0</v>
      </c>
      <c r="H37" s="3">
        <v>44935.595138888901</v>
      </c>
      <c r="I37" s="2" t="s">
        <v>38</v>
      </c>
      <c r="J37" s="3">
        <v>46187.595138888901</v>
      </c>
      <c r="K37" s="2" t="s">
        <v>41</v>
      </c>
      <c r="L37" s="29" t="s">
        <v>39</v>
      </c>
      <c r="M37" s="1" t="s">
        <v>32</v>
      </c>
    </row>
    <row r="38" spans="2:13" x14ac:dyDescent="0.35">
      <c r="B38" s="2" t="s">
        <v>192</v>
      </c>
      <c r="C38" s="2" t="s">
        <v>46</v>
      </c>
      <c r="D38" s="2" t="s">
        <v>193</v>
      </c>
      <c r="E38" s="2" t="s">
        <v>114</v>
      </c>
      <c r="F38" s="2" t="s">
        <v>194</v>
      </c>
      <c r="G38" s="1">
        <v>1</v>
      </c>
      <c r="H38" s="3">
        <v>45524.645833333299</v>
      </c>
      <c r="I38" s="2" t="s">
        <v>41</v>
      </c>
      <c r="J38" s="3">
        <v>45704.645833333299</v>
      </c>
      <c r="K38" s="2" t="s">
        <v>40</v>
      </c>
      <c r="L38" s="29" t="s">
        <v>39</v>
      </c>
      <c r="M38" s="1" t="s">
        <v>32</v>
      </c>
    </row>
    <row r="39" spans="2:13" x14ac:dyDescent="0.35">
      <c r="B39" s="2" t="s">
        <v>195</v>
      </c>
      <c r="C39" s="2" t="s">
        <v>46</v>
      </c>
      <c r="D39" s="2" t="s">
        <v>196</v>
      </c>
      <c r="E39" s="2" t="s">
        <v>118</v>
      </c>
      <c r="F39" s="2" t="s">
        <v>197</v>
      </c>
      <c r="G39" s="1">
        <v>1</v>
      </c>
      <c r="H39" s="3">
        <v>45723.6965277778</v>
      </c>
      <c r="I39" s="2" t="s">
        <v>40</v>
      </c>
      <c r="J39" s="3">
        <v>45881.6965277778</v>
      </c>
      <c r="K39" s="2" t="s">
        <v>37</v>
      </c>
      <c r="L39" s="29" t="s">
        <v>39</v>
      </c>
      <c r="M39" s="1" t="s">
        <v>32</v>
      </c>
    </row>
    <row r="40" spans="2:13" x14ac:dyDescent="0.35">
      <c r="B40" s="2" t="s">
        <v>198</v>
      </c>
      <c r="C40" s="2" t="s">
        <v>46</v>
      </c>
      <c r="D40" s="2" t="s">
        <v>199</v>
      </c>
      <c r="E40" s="2" t="s">
        <v>90</v>
      </c>
      <c r="F40" s="2" t="s">
        <v>200</v>
      </c>
      <c r="G40" s="1">
        <v>1</v>
      </c>
      <c r="H40" s="3">
        <v>46313.413888888899</v>
      </c>
      <c r="I40" s="2" t="s">
        <v>37</v>
      </c>
      <c r="J40" s="3">
        <v>46493.413888888899</v>
      </c>
      <c r="K40" s="2" t="s">
        <v>38</v>
      </c>
      <c r="L40" s="29" t="s">
        <v>39</v>
      </c>
      <c r="M40" s="1" t="s">
        <v>32</v>
      </c>
    </row>
    <row r="41" spans="2:13" x14ac:dyDescent="0.35">
      <c r="B41" s="2" t="s">
        <v>201</v>
      </c>
      <c r="C41" s="2" t="s">
        <v>46</v>
      </c>
      <c r="D41" s="2" t="s">
        <v>202</v>
      </c>
      <c r="E41" s="2" t="s">
        <v>94</v>
      </c>
      <c r="F41" s="2" t="s">
        <v>203</v>
      </c>
      <c r="G41" s="1">
        <v>1</v>
      </c>
      <c r="H41" s="3">
        <v>42495.422916666699</v>
      </c>
      <c r="I41" s="2" t="s">
        <v>38</v>
      </c>
      <c r="J41" s="3">
        <v>45575.422916666699</v>
      </c>
      <c r="K41" s="2" t="s">
        <v>41</v>
      </c>
      <c r="L41" s="29" t="s">
        <v>39</v>
      </c>
      <c r="M41" s="1" t="s">
        <v>32</v>
      </c>
    </row>
    <row r="42" spans="2:13" x14ac:dyDescent="0.35">
      <c r="B42" s="2" t="s">
        <v>204</v>
      </c>
      <c r="C42" s="2" t="s">
        <v>46</v>
      </c>
      <c r="D42" s="2" t="s">
        <v>205</v>
      </c>
      <c r="E42" s="2" t="s">
        <v>206</v>
      </c>
      <c r="F42" s="2" t="s">
        <v>207</v>
      </c>
      <c r="G42" s="1">
        <v>1</v>
      </c>
      <c r="H42" s="3">
        <v>43085.473611111098</v>
      </c>
      <c r="I42" s="2" t="s">
        <v>41</v>
      </c>
      <c r="J42" s="3">
        <v>45798.473611111098</v>
      </c>
      <c r="K42" s="2" t="s">
        <v>40</v>
      </c>
      <c r="L42" s="29" t="s">
        <v>39</v>
      </c>
      <c r="M42" s="1" t="s">
        <v>32</v>
      </c>
    </row>
    <row r="43" spans="2:13" x14ac:dyDescent="0.35">
      <c r="B43" s="2" t="s">
        <v>208</v>
      </c>
      <c r="C43" s="2" t="s">
        <v>46</v>
      </c>
      <c r="D43" s="2" t="s">
        <v>209</v>
      </c>
      <c r="E43" s="2" t="s">
        <v>102</v>
      </c>
      <c r="F43" s="2" t="s">
        <v>210</v>
      </c>
      <c r="G43" s="1">
        <v>1</v>
      </c>
      <c r="H43" s="3">
        <v>43284.524305555598</v>
      </c>
      <c r="I43" s="2" t="s">
        <v>40</v>
      </c>
      <c r="J43" s="3">
        <v>46364.524305555598</v>
      </c>
      <c r="K43" s="2" t="s">
        <v>37</v>
      </c>
      <c r="L43" s="29" t="s">
        <v>39</v>
      </c>
      <c r="M43" s="1" t="s">
        <v>32</v>
      </c>
    </row>
    <row r="44" spans="2:13" x14ac:dyDescent="0.35">
      <c r="B44" s="2" t="s">
        <v>211</v>
      </c>
      <c r="C44" s="2" t="s">
        <v>46</v>
      </c>
      <c r="D44" s="2" t="s">
        <v>212</v>
      </c>
      <c r="E44" s="2" t="s">
        <v>135</v>
      </c>
      <c r="F44" s="2" t="s">
        <v>213</v>
      </c>
      <c r="G44" s="1">
        <v>1</v>
      </c>
      <c r="H44" s="3">
        <v>43510.574999999997</v>
      </c>
      <c r="I44" s="2" t="s">
        <v>37</v>
      </c>
      <c r="J44" s="3">
        <v>44396.574999999997</v>
      </c>
      <c r="K44" s="2" t="s">
        <v>38</v>
      </c>
      <c r="L44" s="29" t="s">
        <v>39</v>
      </c>
      <c r="M44" s="1" t="s">
        <v>32</v>
      </c>
    </row>
    <row r="45" spans="2:13" x14ac:dyDescent="0.35">
      <c r="B45" s="2" t="s">
        <v>214</v>
      </c>
      <c r="C45" s="2" t="s">
        <v>46</v>
      </c>
      <c r="D45" s="2" t="s">
        <v>215</v>
      </c>
      <c r="E45" s="2" t="s">
        <v>110</v>
      </c>
      <c r="F45" s="2" t="s">
        <v>216</v>
      </c>
      <c r="G45" s="1">
        <v>1</v>
      </c>
      <c r="H45" s="3">
        <v>44075.584027777797</v>
      </c>
      <c r="I45" s="2" t="s">
        <v>38</v>
      </c>
      <c r="J45" s="3">
        <v>44598.584027777797</v>
      </c>
      <c r="K45" s="2" t="s">
        <v>41</v>
      </c>
      <c r="L45" s="29" t="s">
        <v>39</v>
      </c>
      <c r="M45" s="1" t="s">
        <v>32</v>
      </c>
    </row>
    <row r="46" spans="2:13" x14ac:dyDescent="0.35">
      <c r="B46" s="2" t="s">
        <v>217</v>
      </c>
      <c r="C46" s="2" t="s">
        <v>46</v>
      </c>
      <c r="D46" s="2" t="s">
        <v>218</v>
      </c>
      <c r="E46" s="2" t="s">
        <v>114</v>
      </c>
      <c r="F46" s="2" t="s">
        <v>219</v>
      </c>
      <c r="G46" s="1">
        <v>1</v>
      </c>
      <c r="H46" s="3">
        <v>44298.634722222203</v>
      </c>
      <c r="I46" s="2" t="s">
        <v>41</v>
      </c>
      <c r="J46" s="3">
        <v>45186.634722222203</v>
      </c>
      <c r="K46" s="2" t="s">
        <v>40</v>
      </c>
      <c r="L46" s="29" t="s">
        <v>39</v>
      </c>
      <c r="M46" s="1" t="s">
        <v>32</v>
      </c>
    </row>
    <row r="47" spans="2:13" x14ac:dyDescent="0.35">
      <c r="B47" s="2" t="s">
        <v>220</v>
      </c>
      <c r="C47" s="2" t="s">
        <v>47</v>
      </c>
      <c r="D47" s="2" t="s">
        <v>221</v>
      </c>
      <c r="E47" s="2" t="s">
        <v>222</v>
      </c>
      <c r="F47" s="2" t="s">
        <v>223</v>
      </c>
      <c r="G47" s="1">
        <v>0</v>
      </c>
      <c r="H47" s="3">
        <v>44888.685416666704</v>
      </c>
      <c r="I47" s="2" t="s">
        <v>40</v>
      </c>
      <c r="J47" s="3">
        <v>45386.685416666704</v>
      </c>
      <c r="K47" s="2" t="s">
        <v>37</v>
      </c>
      <c r="L47" s="29" t="s">
        <v>39</v>
      </c>
      <c r="M47" s="1" t="s">
        <v>32</v>
      </c>
    </row>
    <row r="48" spans="2:13" x14ac:dyDescent="0.35">
      <c r="B48" s="2" t="s">
        <v>224</v>
      </c>
      <c r="C48" s="2" t="s">
        <v>47</v>
      </c>
      <c r="D48" s="2" t="s">
        <v>225</v>
      </c>
      <c r="E48" s="2" t="s">
        <v>90</v>
      </c>
      <c r="F48" s="2" t="s">
        <v>226</v>
      </c>
      <c r="G48" s="1">
        <v>1</v>
      </c>
      <c r="H48" s="3">
        <v>45087.402777777803</v>
      </c>
      <c r="I48" s="2" t="s">
        <v>37</v>
      </c>
      <c r="J48" s="3">
        <v>45976.402777777803</v>
      </c>
      <c r="K48" s="2" t="s">
        <v>38</v>
      </c>
      <c r="L48" s="29" t="s">
        <v>39</v>
      </c>
      <c r="M48" s="1" t="s">
        <v>32</v>
      </c>
    </row>
    <row r="49" spans="2:13" x14ac:dyDescent="0.35">
      <c r="B49" s="2" t="s">
        <v>227</v>
      </c>
      <c r="C49" s="2" t="s">
        <v>47</v>
      </c>
      <c r="D49" s="2" t="s">
        <v>228</v>
      </c>
      <c r="E49" s="2" t="s">
        <v>94</v>
      </c>
      <c r="F49" s="2" t="s">
        <v>229</v>
      </c>
      <c r="G49" s="1">
        <v>1</v>
      </c>
      <c r="H49" s="3">
        <v>45312.453472222202</v>
      </c>
      <c r="I49" s="2" t="s">
        <v>38</v>
      </c>
      <c r="J49" s="3">
        <v>46175.453472222202</v>
      </c>
      <c r="K49" s="2" t="s">
        <v>41</v>
      </c>
      <c r="L49" s="29" t="s">
        <v>39</v>
      </c>
      <c r="M49" s="1" t="s">
        <v>32</v>
      </c>
    </row>
    <row r="50" spans="2:13" x14ac:dyDescent="0.35">
      <c r="B50" s="2" t="s">
        <v>230</v>
      </c>
      <c r="C50" s="2" t="s">
        <v>47</v>
      </c>
      <c r="D50" s="2" t="s">
        <v>231</v>
      </c>
      <c r="E50" s="2" t="s">
        <v>98</v>
      </c>
      <c r="F50" s="2" t="s">
        <v>232</v>
      </c>
      <c r="G50" s="1">
        <v>1</v>
      </c>
      <c r="H50" s="3">
        <v>45877.462500000001</v>
      </c>
      <c r="I50" s="2" t="s">
        <v>41</v>
      </c>
      <c r="J50" s="3">
        <v>46057.462500000001</v>
      </c>
      <c r="K50" s="2" t="s">
        <v>40</v>
      </c>
      <c r="L50" s="29" t="s">
        <v>39</v>
      </c>
      <c r="M50" s="1" t="s">
        <v>32</v>
      </c>
    </row>
    <row r="51" spans="2:13" x14ac:dyDescent="0.35">
      <c r="B51" s="2" t="s">
        <v>233</v>
      </c>
      <c r="C51" s="2" t="s">
        <v>47</v>
      </c>
      <c r="D51" s="2" t="s">
        <v>234</v>
      </c>
      <c r="E51" s="2" t="s">
        <v>102</v>
      </c>
      <c r="F51" s="2" t="s">
        <v>235</v>
      </c>
      <c r="G51" s="1">
        <v>1</v>
      </c>
      <c r="H51" s="3">
        <v>46100.5131944444</v>
      </c>
      <c r="I51" s="2" t="s">
        <v>40</v>
      </c>
      <c r="J51" s="3">
        <v>46258.5131944444</v>
      </c>
      <c r="K51" s="2" t="s">
        <v>37</v>
      </c>
      <c r="L51" s="29" t="s">
        <v>39</v>
      </c>
      <c r="M51" s="1" t="s">
        <v>32</v>
      </c>
    </row>
    <row r="52" spans="2:13" x14ac:dyDescent="0.35">
      <c r="B52" s="2" t="s">
        <v>236</v>
      </c>
      <c r="C52" s="2" t="s">
        <v>47</v>
      </c>
      <c r="D52" s="2" t="s">
        <v>237</v>
      </c>
      <c r="E52" s="2" t="s">
        <v>238</v>
      </c>
      <c r="F52" s="2" t="s">
        <v>239</v>
      </c>
      <c r="G52" s="1">
        <v>1</v>
      </c>
      <c r="H52" s="3">
        <v>42649.563888888901</v>
      </c>
      <c r="I52" s="2" t="s">
        <v>37</v>
      </c>
      <c r="J52" s="3">
        <v>44996.563888888901</v>
      </c>
      <c r="K52" s="2" t="s">
        <v>38</v>
      </c>
      <c r="L52" s="29" t="s">
        <v>39</v>
      </c>
      <c r="M52" s="1" t="s">
        <v>32</v>
      </c>
    </row>
    <row r="53" spans="2:13" x14ac:dyDescent="0.35">
      <c r="B53" s="2" t="s">
        <v>240</v>
      </c>
      <c r="C53" s="2" t="s">
        <v>47</v>
      </c>
      <c r="D53" s="2" t="s">
        <v>241</v>
      </c>
      <c r="E53" s="2" t="s">
        <v>110</v>
      </c>
      <c r="F53" s="2" t="s">
        <v>242</v>
      </c>
      <c r="G53" s="1">
        <v>1</v>
      </c>
      <c r="H53" s="3">
        <v>42872.614583333299</v>
      </c>
      <c r="I53" s="2" t="s">
        <v>38</v>
      </c>
      <c r="J53" s="3">
        <v>45587.614583333299</v>
      </c>
      <c r="K53" s="2" t="s">
        <v>41</v>
      </c>
      <c r="L53" s="29" t="s">
        <v>39</v>
      </c>
      <c r="M53" s="1" t="s">
        <v>32</v>
      </c>
    </row>
    <row r="54" spans="2:13" x14ac:dyDescent="0.35">
      <c r="B54" s="2" t="s">
        <v>243</v>
      </c>
      <c r="C54" s="2" t="s">
        <v>47</v>
      </c>
      <c r="D54" s="2" t="s">
        <v>244</v>
      </c>
      <c r="E54" s="2" t="s">
        <v>114</v>
      </c>
      <c r="F54" s="2" t="s">
        <v>245</v>
      </c>
      <c r="G54" s="1">
        <v>1</v>
      </c>
      <c r="H54" s="3">
        <v>43438.6652777778</v>
      </c>
      <c r="I54" s="2" t="s">
        <v>41</v>
      </c>
      <c r="J54" s="3">
        <v>45786.6652777778</v>
      </c>
      <c r="K54" s="2" t="s">
        <v>40</v>
      </c>
      <c r="L54" s="29" t="s">
        <v>39</v>
      </c>
      <c r="M54" s="1" t="s">
        <v>32</v>
      </c>
    </row>
    <row r="55" spans="2:13" x14ac:dyDescent="0.35">
      <c r="B55" s="2" t="s">
        <v>246</v>
      </c>
      <c r="C55" s="2" t="s">
        <v>47</v>
      </c>
      <c r="D55" s="2" t="s">
        <v>247</v>
      </c>
      <c r="E55" s="2" t="s">
        <v>118</v>
      </c>
      <c r="F55" s="2" t="s">
        <v>248</v>
      </c>
      <c r="G55" s="1">
        <v>1</v>
      </c>
      <c r="H55" s="3">
        <v>43661.6743055556</v>
      </c>
      <c r="I55" s="2" t="s">
        <v>40</v>
      </c>
      <c r="J55" s="3">
        <v>46376.6743055556</v>
      </c>
      <c r="K55" s="2" t="s">
        <v>37</v>
      </c>
      <c r="L55" s="29" t="s">
        <v>39</v>
      </c>
      <c r="M55" s="1" t="s">
        <v>32</v>
      </c>
    </row>
    <row r="56" spans="2:13" x14ac:dyDescent="0.35">
      <c r="B56" s="2" t="s">
        <v>249</v>
      </c>
      <c r="C56" s="2" t="s">
        <v>47</v>
      </c>
      <c r="D56" s="2" t="s">
        <v>250</v>
      </c>
      <c r="E56" s="2" t="s">
        <v>90</v>
      </c>
      <c r="F56" s="2" t="s">
        <v>251</v>
      </c>
      <c r="G56" s="1">
        <v>1</v>
      </c>
      <c r="H56" s="3">
        <v>43863.391666666699</v>
      </c>
      <c r="I56" s="2" t="s">
        <v>37</v>
      </c>
      <c r="J56" s="3">
        <v>44384.391666666699</v>
      </c>
      <c r="K56" s="2" t="s">
        <v>38</v>
      </c>
      <c r="L56" s="29" t="s">
        <v>39</v>
      </c>
      <c r="M56" s="1" t="s">
        <v>32</v>
      </c>
    </row>
    <row r="57" spans="2:13" x14ac:dyDescent="0.35">
      <c r="B57" s="2" t="s">
        <v>252</v>
      </c>
      <c r="C57" s="2" t="s">
        <v>48</v>
      </c>
      <c r="D57" s="2" t="s">
        <v>253</v>
      </c>
      <c r="E57" s="2" t="s">
        <v>254</v>
      </c>
      <c r="F57" s="2" t="s">
        <v>255</v>
      </c>
      <c r="G57" s="1">
        <v>0</v>
      </c>
      <c r="H57" s="3">
        <v>44452.442361111098</v>
      </c>
      <c r="I57" s="2" t="s">
        <v>38</v>
      </c>
      <c r="J57" s="3">
        <v>44610.442361111098</v>
      </c>
      <c r="K57" s="2" t="s">
        <v>41</v>
      </c>
      <c r="L57" s="29" t="s">
        <v>39</v>
      </c>
      <c r="M57" s="1" t="s">
        <v>32</v>
      </c>
    </row>
    <row r="58" spans="2:13" x14ac:dyDescent="0.35">
      <c r="B58" s="2" t="s">
        <v>256</v>
      </c>
      <c r="C58" s="2" t="s">
        <v>48</v>
      </c>
      <c r="D58" s="2" t="s">
        <v>89</v>
      </c>
      <c r="E58" s="2" t="s">
        <v>98</v>
      </c>
      <c r="F58" s="2" t="s">
        <v>257</v>
      </c>
      <c r="G58" s="1">
        <v>1</v>
      </c>
      <c r="H58" s="3">
        <v>44675.493055555598</v>
      </c>
      <c r="I58" s="2" t="s">
        <v>41</v>
      </c>
      <c r="J58" s="3">
        <v>45174.493055555598</v>
      </c>
      <c r="K58" s="2" t="s">
        <v>40</v>
      </c>
      <c r="L58" s="29" t="s">
        <v>39</v>
      </c>
      <c r="M58" s="1" t="s">
        <v>32</v>
      </c>
    </row>
    <row r="59" spans="2:13" x14ac:dyDescent="0.35">
      <c r="B59" s="2" t="s">
        <v>258</v>
      </c>
      <c r="C59" s="2" t="s">
        <v>48</v>
      </c>
      <c r="D59" s="2" t="s">
        <v>93</v>
      </c>
      <c r="E59" s="2" t="s">
        <v>102</v>
      </c>
      <c r="F59" s="2" t="s">
        <v>259</v>
      </c>
      <c r="G59" s="1">
        <v>1</v>
      </c>
      <c r="H59" s="3">
        <v>45241.502083333296</v>
      </c>
      <c r="I59" s="2" t="s">
        <v>40</v>
      </c>
      <c r="J59" s="3">
        <v>45398.502083333296</v>
      </c>
      <c r="K59" s="2" t="s">
        <v>37</v>
      </c>
      <c r="L59" s="29" t="s">
        <v>39</v>
      </c>
      <c r="M59" s="1" t="s">
        <v>32</v>
      </c>
    </row>
    <row r="60" spans="2:13" x14ac:dyDescent="0.35">
      <c r="B60" s="2" t="s">
        <v>260</v>
      </c>
      <c r="C60" s="2" t="s">
        <v>48</v>
      </c>
      <c r="D60" s="2" t="s">
        <v>97</v>
      </c>
      <c r="E60" s="2" t="s">
        <v>135</v>
      </c>
      <c r="F60" s="2" t="s">
        <v>261</v>
      </c>
      <c r="G60" s="1">
        <v>1</v>
      </c>
      <c r="H60" s="3">
        <v>45465.552777777797</v>
      </c>
      <c r="I60" s="2" t="s">
        <v>37</v>
      </c>
      <c r="J60" s="3">
        <v>45964.552777777797</v>
      </c>
      <c r="K60" s="2" t="s">
        <v>38</v>
      </c>
      <c r="L60" s="29" t="s">
        <v>39</v>
      </c>
      <c r="M60" s="1" t="s">
        <v>32</v>
      </c>
    </row>
    <row r="61" spans="2:13" x14ac:dyDescent="0.35">
      <c r="B61" s="2" t="s">
        <v>262</v>
      </c>
      <c r="C61" s="2" t="s">
        <v>48</v>
      </c>
      <c r="D61" s="2" t="s">
        <v>101</v>
      </c>
      <c r="E61" s="2" t="s">
        <v>110</v>
      </c>
      <c r="F61" s="2" t="s">
        <v>263</v>
      </c>
      <c r="G61" s="1">
        <v>1</v>
      </c>
      <c r="H61" s="3">
        <v>45666.603472222203</v>
      </c>
      <c r="I61" s="2" t="s">
        <v>38</v>
      </c>
      <c r="J61" s="3">
        <v>46187.603472222203</v>
      </c>
      <c r="K61" s="2" t="s">
        <v>41</v>
      </c>
      <c r="L61" s="29" t="s">
        <v>39</v>
      </c>
      <c r="M61" s="1" t="s">
        <v>32</v>
      </c>
    </row>
    <row r="62" spans="2:13" x14ac:dyDescent="0.35">
      <c r="B62" s="2" t="s">
        <v>264</v>
      </c>
      <c r="C62" s="2" t="s">
        <v>48</v>
      </c>
      <c r="D62" s="2" t="s">
        <v>265</v>
      </c>
      <c r="E62" s="2" t="s">
        <v>266</v>
      </c>
      <c r="F62" s="2" t="s">
        <v>267</v>
      </c>
      <c r="G62" s="1">
        <v>1</v>
      </c>
      <c r="H62" s="3">
        <v>46254.654166666704</v>
      </c>
      <c r="I62" s="2" t="s">
        <v>41</v>
      </c>
      <c r="J62" s="3">
        <v>46434.654166666704</v>
      </c>
      <c r="K62" s="2" t="s">
        <v>40</v>
      </c>
      <c r="L62" s="29" t="s">
        <v>39</v>
      </c>
      <c r="M62" s="1" t="s">
        <v>32</v>
      </c>
    </row>
    <row r="63" spans="2:13" x14ac:dyDescent="0.35">
      <c r="B63" s="2" t="s">
        <v>268</v>
      </c>
      <c r="C63" s="2" t="s">
        <v>48</v>
      </c>
      <c r="D63" s="2" t="s">
        <v>109</v>
      </c>
      <c r="E63" s="2" t="s">
        <v>118</v>
      </c>
      <c r="F63" s="2" t="s">
        <v>269</v>
      </c>
      <c r="G63" s="1">
        <v>1</v>
      </c>
      <c r="H63" s="3">
        <v>42436.704861111102</v>
      </c>
      <c r="I63" s="2" t="s">
        <v>40</v>
      </c>
      <c r="J63" s="3">
        <v>44785.704861111102</v>
      </c>
      <c r="K63" s="2" t="s">
        <v>37</v>
      </c>
      <c r="L63" s="29" t="s">
        <v>39</v>
      </c>
      <c r="M63" s="1" t="s">
        <v>32</v>
      </c>
    </row>
    <row r="64" spans="2:13" x14ac:dyDescent="0.35">
      <c r="B64" s="2" t="s">
        <v>270</v>
      </c>
      <c r="C64" s="2" t="s">
        <v>48</v>
      </c>
      <c r="D64" s="2" t="s">
        <v>113</v>
      </c>
      <c r="E64" s="2" t="s">
        <v>90</v>
      </c>
      <c r="F64" s="2" t="s">
        <v>271</v>
      </c>
      <c r="G64" s="1">
        <v>1</v>
      </c>
      <c r="H64" s="3">
        <v>43026.380555555603</v>
      </c>
      <c r="I64" s="2" t="s">
        <v>37</v>
      </c>
      <c r="J64" s="3">
        <v>45008.380555555603</v>
      </c>
      <c r="K64" s="2" t="s">
        <v>38</v>
      </c>
      <c r="L64" s="29" t="s">
        <v>39</v>
      </c>
      <c r="M64" s="1" t="s">
        <v>32</v>
      </c>
    </row>
    <row r="65" spans="2:13" x14ac:dyDescent="0.35">
      <c r="B65" s="2" t="s">
        <v>272</v>
      </c>
      <c r="C65" s="2" t="s">
        <v>49</v>
      </c>
      <c r="D65" s="2" t="s">
        <v>117</v>
      </c>
      <c r="E65" s="2" t="s">
        <v>94</v>
      </c>
      <c r="F65" s="2" t="s">
        <v>273</v>
      </c>
      <c r="G65" s="1">
        <v>1</v>
      </c>
      <c r="H65" s="3">
        <v>43225.431250000001</v>
      </c>
      <c r="I65" s="2" t="s">
        <v>38</v>
      </c>
      <c r="J65" s="3">
        <v>45575.431250000001</v>
      </c>
      <c r="K65" s="2" t="s">
        <v>41</v>
      </c>
      <c r="L65" s="29" t="s">
        <v>39</v>
      </c>
      <c r="M65" s="1" t="s">
        <v>32</v>
      </c>
    </row>
    <row r="66" spans="2:13" x14ac:dyDescent="0.35">
      <c r="B66" s="2" t="s">
        <v>274</v>
      </c>
      <c r="C66" s="2" t="s">
        <v>49</v>
      </c>
      <c r="D66" s="2" t="s">
        <v>121</v>
      </c>
      <c r="E66" s="2" t="s">
        <v>98</v>
      </c>
      <c r="F66" s="2" t="s">
        <v>275</v>
      </c>
      <c r="G66" s="1">
        <v>1</v>
      </c>
      <c r="H66" s="3">
        <v>43815.4819444444</v>
      </c>
      <c r="I66" s="2" t="s">
        <v>41</v>
      </c>
      <c r="J66" s="3">
        <v>45798.4819444444</v>
      </c>
      <c r="K66" s="2" t="s">
        <v>40</v>
      </c>
      <c r="L66" s="29" t="s">
        <v>39</v>
      </c>
      <c r="M66" s="1" t="s">
        <v>32</v>
      </c>
    </row>
    <row r="67" spans="2:13" x14ac:dyDescent="0.35">
      <c r="B67" s="2" t="s">
        <v>276</v>
      </c>
      <c r="C67" s="2" t="s">
        <v>49</v>
      </c>
      <c r="D67" s="2" t="s">
        <v>277</v>
      </c>
      <c r="E67" s="2" t="s">
        <v>278</v>
      </c>
      <c r="F67" s="2" t="s">
        <v>279</v>
      </c>
      <c r="G67" s="1">
        <v>0</v>
      </c>
      <c r="H67" s="3">
        <v>44015.532638888901</v>
      </c>
      <c r="I67" s="2" t="s">
        <v>40</v>
      </c>
      <c r="J67" s="3">
        <v>46364.532638888901</v>
      </c>
      <c r="K67" s="2" t="s">
        <v>37</v>
      </c>
      <c r="L67" s="29" t="s">
        <v>39</v>
      </c>
      <c r="M67" s="1" t="s">
        <v>32</v>
      </c>
    </row>
    <row r="68" spans="2:13" x14ac:dyDescent="0.35">
      <c r="B68" s="2" t="s">
        <v>280</v>
      </c>
      <c r="C68" s="2" t="s">
        <v>49</v>
      </c>
      <c r="D68" s="2" t="s">
        <v>128</v>
      </c>
      <c r="E68" s="2" t="s">
        <v>135</v>
      </c>
      <c r="F68" s="2" t="s">
        <v>281</v>
      </c>
      <c r="G68" s="1">
        <v>1</v>
      </c>
      <c r="H68" s="3">
        <v>44241.541666666701</v>
      </c>
      <c r="I68" s="2" t="s">
        <v>37</v>
      </c>
      <c r="J68" s="3">
        <v>44396.541666666701</v>
      </c>
      <c r="K68" s="2" t="s">
        <v>38</v>
      </c>
      <c r="L68" s="29" t="s">
        <v>39</v>
      </c>
      <c r="M68" s="1" t="s">
        <v>32</v>
      </c>
    </row>
    <row r="69" spans="2:13" x14ac:dyDescent="0.35">
      <c r="B69" s="2" t="s">
        <v>282</v>
      </c>
      <c r="C69" s="2" t="s">
        <v>49</v>
      </c>
      <c r="D69" s="2" t="s">
        <v>131</v>
      </c>
      <c r="E69" s="2" t="s">
        <v>110</v>
      </c>
      <c r="F69" s="2" t="s">
        <v>283</v>
      </c>
      <c r="G69" s="1">
        <v>1</v>
      </c>
      <c r="H69" s="3">
        <v>44805.592361111099</v>
      </c>
      <c r="I69" s="2" t="s">
        <v>38</v>
      </c>
      <c r="J69" s="3">
        <v>44985.592361111099</v>
      </c>
      <c r="K69" s="2" t="s">
        <v>41</v>
      </c>
      <c r="L69" s="29" t="s">
        <v>39</v>
      </c>
      <c r="M69" s="1" t="s">
        <v>32</v>
      </c>
    </row>
    <row r="70" spans="2:13" x14ac:dyDescent="0.35">
      <c r="B70" s="2" t="s">
        <v>284</v>
      </c>
      <c r="C70" s="2" t="s">
        <v>49</v>
      </c>
      <c r="D70" s="2" t="s">
        <v>134</v>
      </c>
      <c r="E70" s="2" t="s">
        <v>114</v>
      </c>
      <c r="F70" s="2" t="s">
        <v>285</v>
      </c>
      <c r="G70" s="1">
        <v>1</v>
      </c>
      <c r="H70" s="3">
        <v>45028.6430555556</v>
      </c>
      <c r="I70" s="2" t="s">
        <v>41</v>
      </c>
      <c r="J70" s="3">
        <v>45186.6430555556</v>
      </c>
      <c r="K70" s="2" t="s">
        <v>40</v>
      </c>
      <c r="L70" s="29" t="s">
        <v>39</v>
      </c>
      <c r="M70" s="1" t="s">
        <v>32</v>
      </c>
    </row>
    <row r="71" spans="2:13" x14ac:dyDescent="0.35">
      <c r="B71" s="2" t="s">
        <v>286</v>
      </c>
      <c r="C71" s="2" t="s">
        <v>49</v>
      </c>
      <c r="D71" s="2" t="s">
        <v>138</v>
      </c>
      <c r="E71" s="2" t="s">
        <v>118</v>
      </c>
      <c r="F71" s="2" t="s">
        <v>287</v>
      </c>
      <c r="G71" s="1">
        <v>1</v>
      </c>
      <c r="H71" s="3">
        <v>45619.693749999999</v>
      </c>
      <c r="I71" s="2" t="s">
        <v>40</v>
      </c>
      <c r="J71" s="3">
        <v>45799.693749999999</v>
      </c>
      <c r="K71" s="2" t="s">
        <v>37</v>
      </c>
      <c r="L71" s="29" t="s">
        <v>39</v>
      </c>
      <c r="M71" s="1" t="s">
        <v>32</v>
      </c>
    </row>
    <row r="72" spans="2:13" x14ac:dyDescent="0.35">
      <c r="B72" s="2" t="s">
        <v>288</v>
      </c>
      <c r="C72" s="2" t="s">
        <v>49</v>
      </c>
      <c r="D72" s="2" t="s">
        <v>289</v>
      </c>
      <c r="E72" s="2" t="s">
        <v>290</v>
      </c>
      <c r="F72" s="2" t="s">
        <v>291</v>
      </c>
      <c r="G72" s="1">
        <v>1</v>
      </c>
      <c r="H72" s="3">
        <v>45818.411111111098</v>
      </c>
      <c r="I72" s="2" t="s">
        <v>37</v>
      </c>
      <c r="J72" s="3">
        <v>45976.411111111098</v>
      </c>
      <c r="K72" s="2" t="s">
        <v>38</v>
      </c>
      <c r="L72" s="29" t="s">
        <v>39</v>
      </c>
      <c r="M72" s="1" t="s">
        <v>32</v>
      </c>
    </row>
    <row r="73" spans="2:13" x14ac:dyDescent="0.35">
      <c r="B73" s="2" t="s">
        <v>292</v>
      </c>
      <c r="C73" s="2" t="s">
        <v>50</v>
      </c>
      <c r="D73" s="2" t="s">
        <v>145</v>
      </c>
      <c r="E73" s="2" t="s">
        <v>94</v>
      </c>
      <c r="F73" s="2" t="s">
        <v>293</v>
      </c>
      <c r="G73" s="1">
        <v>1</v>
      </c>
      <c r="H73" s="3">
        <v>46043.420138888898</v>
      </c>
      <c r="I73" s="2" t="s">
        <v>38</v>
      </c>
      <c r="J73" s="3">
        <v>46175.420138888898</v>
      </c>
      <c r="K73" s="2" t="s">
        <v>41</v>
      </c>
      <c r="L73" s="29" t="s">
        <v>39</v>
      </c>
      <c r="M73" s="1" t="s">
        <v>32</v>
      </c>
    </row>
    <row r="74" spans="2:13" x14ac:dyDescent="0.35">
      <c r="B74" s="2" t="s">
        <v>294</v>
      </c>
      <c r="C74" s="2" t="s">
        <v>50</v>
      </c>
      <c r="D74" s="2" t="s">
        <v>148</v>
      </c>
      <c r="E74" s="2" t="s">
        <v>98</v>
      </c>
      <c r="F74" s="2" t="s">
        <v>295</v>
      </c>
      <c r="G74" s="1">
        <v>1</v>
      </c>
      <c r="H74" s="3">
        <v>42590.470833333296</v>
      </c>
      <c r="I74" s="2" t="s">
        <v>41</v>
      </c>
      <c r="J74" s="3">
        <v>44209.470833333296</v>
      </c>
      <c r="K74" s="2" t="s">
        <v>40</v>
      </c>
      <c r="L74" s="29" t="s">
        <v>39</v>
      </c>
      <c r="M74" s="1" t="s">
        <v>32</v>
      </c>
    </row>
    <row r="75" spans="2:13" x14ac:dyDescent="0.35">
      <c r="B75" s="2" t="s">
        <v>296</v>
      </c>
      <c r="C75" s="2" t="s">
        <v>50</v>
      </c>
      <c r="D75" s="2" t="s">
        <v>151</v>
      </c>
      <c r="E75" s="2" t="s">
        <v>102</v>
      </c>
      <c r="F75" s="2" t="s">
        <v>297</v>
      </c>
      <c r="G75" s="1">
        <v>1</v>
      </c>
      <c r="H75" s="3">
        <v>42813.521527777797</v>
      </c>
      <c r="I75" s="2" t="s">
        <v>40</v>
      </c>
      <c r="J75" s="3">
        <v>44797.521527777797</v>
      </c>
      <c r="K75" s="2" t="s">
        <v>37</v>
      </c>
      <c r="L75" s="29" t="s">
        <v>39</v>
      </c>
      <c r="M75" s="1" t="s">
        <v>32</v>
      </c>
    </row>
    <row r="76" spans="2:13" x14ac:dyDescent="0.35">
      <c r="B76" s="2" t="s">
        <v>298</v>
      </c>
      <c r="C76" s="2" t="s">
        <v>50</v>
      </c>
      <c r="D76" s="2" t="s">
        <v>154</v>
      </c>
      <c r="E76" s="2" t="s">
        <v>135</v>
      </c>
      <c r="F76" s="2" t="s">
        <v>299</v>
      </c>
      <c r="G76" s="1">
        <v>1</v>
      </c>
      <c r="H76" s="3">
        <v>43379.572222222203</v>
      </c>
      <c r="I76" s="2" t="s">
        <v>37</v>
      </c>
      <c r="J76" s="3">
        <v>44996.572222222203</v>
      </c>
      <c r="K76" s="2" t="s">
        <v>38</v>
      </c>
      <c r="L76" s="29" t="s">
        <v>39</v>
      </c>
      <c r="M76" s="1" t="s">
        <v>32</v>
      </c>
    </row>
    <row r="77" spans="2:13" x14ac:dyDescent="0.35">
      <c r="B77" s="2" t="s">
        <v>300</v>
      </c>
      <c r="C77" s="2" t="s">
        <v>50</v>
      </c>
      <c r="D77" s="2" t="s">
        <v>301</v>
      </c>
      <c r="E77" s="2" t="s">
        <v>302</v>
      </c>
      <c r="F77" s="2" t="s">
        <v>303</v>
      </c>
      <c r="G77" s="1">
        <v>0</v>
      </c>
      <c r="H77" s="3">
        <v>43602.622916666704</v>
      </c>
      <c r="I77" s="2" t="s">
        <v>38</v>
      </c>
      <c r="J77" s="3">
        <v>45587.622916666704</v>
      </c>
      <c r="K77" s="2" t="s">
        <v>41</v>
      </c>
      <c r="L77" s="29" t="s">
        <v>39</v>
      </c>
      <c r="M77" s="1" t="s">
        <v>32</v>
      </c>
    </row>
    <row r="78" spans="2:13" x14ac:dyDescent="0.35">
      <c r="B78" s="2" t="s">
        <v>304</v>
      </c>
      <c r="C78" s="2" t="s">
        <v>50</v>
      </c>
      <c r="D78" s="2" t="s">
        <v>161</v>
      </c>
      <c r="E78" s="2" t="s">
        <v>114</v>
      </c>
      <c r="F78" s="2" t="s">
        <v>305</v>
      </c>
      <c r="G78" s="1">
        <v>1</v>
      </c>
      <c r="H78" s="3">
        <v>44169.631944444402</v>
      </c>
      <c r="I78" s="2" t="s">
        <v>41</v>
      </c>
      <c r="J78" s="3">
        <v>45786.631944444402</v>
      </c>
      <c r="K78" s="2" t="s">
        <v>40</v>
      </c>
      <c r="L78" s="29" t="s">
        <v>39</v>
      </c>
      <c r="M78" s="1" t="s">
        <v>32</v>
      </c>
    </row>
    <row r="79" spans="2:13" x14ac:dyDescent="0.35">
      <c r="B79" s="2" t="s">
        <v>306</v>
      </c>
      <c r="C79" s="2" t="s">
        <v>51</v>
      </c>
      <c r="D79" s="2" t="s">
        <v>164</v>
      </c>
      <c r="E79" s="2" t="s">
        <v>118</v>
      </c>
      <c r="F79" s="2" t="s">
        <v>307</v>
      </c>
      <c r="G79" s="1">
        <v>1</v>
      </c>
      <c r="H79" s="3">
        <v>44392.682638888902</v>
      </c>
      <c r="I79" s="2" t="s">
        <v>40</v>
      </c>
      <c r="J79" s="3">
        <v>46376.682638888902</v>
      </c>
      <c r="K79" s="2" t="s">
        <v>37</v>
      </c>
      <c r="L79" s="29" t="s">
        <v>39</v>
      </c>
      <c r="M79" s="1" t="s">
        <v>32</v>
      </c>
    </row>
    <row r="80" spans="2:13" x14ac:dyDescent="0.35">
      <c r="B80" s="2" t="s">
        <v>308</v>
      </c>
      <c r="C80" s="2" t="s">
        <v>51</v>
      </c>
      <c r="D80" s="2" t="s">
        <v>167</v>
      </c>
      <c r="E80" s="2" t="s">
        <v>90</v>
      </c>
      <c r="F80" s="2" t="s">
        <v>309</v>
      </c>
      <c r="G80" s="1">
        <v>1</v>
      </c>
      <c r="H80" s="3">
        <v>44594.400000000001</v>
      </c>
      <c r="I80" s="2" t="s">
        <v>37</v>
      </c>
      <c r="J80" s="3">
        <v>44749.4</v>
      </c>
      <c r="K80" s="2" t="s">
        <v>38</v>
      </c>
      <c r="L80" s="29" t="s">
        <v>39</v>
      </c>
      <c r="M80" s="1" t="s">
        <v>32</v>
      </c>
    </row>
    <row r="81" spans="2:13" x14ac:dyDescent="0.35">
      <c r="B81" s="2" t="s">
        <v>310</v>
      </c>
      <c r="C81" s="2" t="s">
        <v>51</v>
      </c>
      <c r="D81" s="2" t="s">
        <v>170</v>
      </c>
      <c r="E81" s="2" t="s">
        <v>94</v>
      </c>
      <c r="F81" s="2" t="s">
        <v>311</v>
      </c>
      <c r="G81" s="1">
        <v>1</v>
      </c>
      <c r="H81" s="3">
        <v>45182.4506944444</v>
      </c>
      <c r="I81" s="2" t="s">
        <v>38</v>
      </c>
      <c r="J81" s="3">
        <v>45362.4506944444</v>
      </c>
      <c r="K81" s="2" t="s">
        <v>41</v>
      </c>
      <c r="L81" s="29" t="s">
        <v>39</v>
      </c>
      <c r="M81" s="1" t="s">
        <v>32</v>
      </c>
    </row>
    <row r="82" spans="2:13" x14ac:dyDescent="0.35">
      <c r="B82" s="2" t="s">
        <v>312</v>
      </c>
      <c r="C82" s="2" t="s">
        <v>51</v>
      </c>
      <c r="D82" s="2" t="s">
        <v>313</v>
      </c>
      <c r="E82" s="2" t="s">
        <v>314</v>
      </c>
      <c r="F82" s="2" t="s">
        <v>315</v>
      </c>
      <c r="G82" s="1">
        <v>1</v>
      </c>
      <c r="H82" s="3">
        <v>45406.4597222222</v>
      </c>
      <c r="I82" s="2" t="s">
        <v>41</v>
      </c>
      <c r="J82" s="3">
        <v>45540.4597222222</v>
      </c>
      <c r="K82" s="2" t="s">
        <v>40</v>
      </c>
      <c r="L82" s="29" t="s">
        <v>39</v>
      </c>
      <c r="M82" s="1" t="s">
        <v>32</v>
      </c>
    </row>
    <row r="83" spans="2:13" x14ac:dyDescent="0.35">
      <c r="B83" s="2" t="s">
        <v>316</v>
      </c>
      <c r="C83" s="2" t="s">
        <v>51</v>
      </c>
      <c r="D83" s="2" t="s">
        <v>177</v>
      </c>
      <c r="E83" s="2" t="s">
        <v>102</v>
      </c>
      <c r="F83" s="2" t="s">
        <v>317</v>
      </c>
      <c r="G83" s="1">
        <v>1</v>
      </c>
      <c r="H83" s="3">
        <v>45972.510416666701</v>
      </c>
      <c r="I83" s="2" t="s">
        <v>40</v>
      </c>
      <c r="J83" s="3">
        <v>46152.510416666701</v>
      </c>
      <c r="K83" s="2" t="s">
        <v>37</v>
      </c>
      <c r="L83" s="29" t="s">
        <v>39</v>
      </c>
      <c r="M83" s="1" t="s">
        <v>32</v>
      </c>
    </row>
    <row r="84" spans="2:13" x14ac:dyDescent="0.35">
      <c r="B84" s="2" t="s">
        <v>318</v>
      </c>
      <c r="C84" s="2" t="s">
        <v>51</v>
      </c>
      <c r="D84" s="2" t="s">
        <v>180</v>
      </c>
      <c r="E84" s="2" t="s">
        <v>135</v>
      </c>
      <c r="F84" s="2" t="s">
        <v>319</v>
      </c>
      <c r="G84" s="1">
        <v>1</v>
      </c>
      <c r="H84" s="3">
        <v>46195.561111111099</v>
      </c>
      <c r="I84" s="2" t="s">
        <v>37</v>
      </c>
      <c r="J84" s="3">
        <v>46329.561111111099</v>
      </c>
      <c r="K84" s="2" t="s">
        <v>38</v>
      </c>
      <c r="L84" s="29" t="s">
        <v>39</v>
      </c>
      <c r="M84" s="1" t="s">
        <v>32</v>
      </c>
    </row>
    <row r="85" spans="2:13" x14ac:dyDescent="0.35">
      <c r="B85" s="2" t="s">
        <v>320</v>
      </c>
      <c r="C85" s="2" t="s">
        <v>51</v>
      </c>
      <c r="D85" s="2" t="s">
        <v>183</v>
      </c>
      <c r="E85" s="2" t="s">
        <v>110</v>
      </c>
      <c r="F85" s="2" t="s">
        <v>321</v>
      </c>
      <c r="G85" s="1">
        <v>1</v>
      </c>
      <c r="H85" s="3">
        <v>42378.6118055556</v>
      </c>
      <c r="I85" s="2" t="s">
        <v>38</v>
      </c>
      <c r="J85" s="3">
        <v>46187.6118055556</v>
      </c>
      <c r="K85" s="2" t="s">
        <v>41</v>
      </c>
      <c r="L85" s="29" t="s">
        <v>39</v>
      </c>
      <c r="M85" s="1" t="s">
        <v>32</v>
      </c>
    </row>
    <row r="86" spans="2:13" x14ac:dyDescent="0.35">
      <c r="B86" s="2" t="s">
        <v>322</v>
      </c>
      <c r="C86" s="2" t="s">
        <v>51</v>
      </c>
      <c r="D86" s="2" t="s">
        <v>186</v>
      </c>
      <c r="E86" s="2" t="s">
        <v>114</v>
      </c>
      <c r="F86" s="2" t="s">
        <v>323</v>
      </c>
      <c r="G86" s="1">
        <v>1</v>
      </c>
      <c r="H86" s="3">
        <v>42967.662499999999</v>
      </c>
      <c r="I86" s="2" t="s">
        <v>41</v>
      </c>
      <c r="J86" s="3">
        <v>44197.662499999999</v>
      </c>
      <c r="K86" s="2" t="s">
        <v>40</v>
      </c>
      <c r="L86" s="29" t="s">
        <v>39</v>
      </c>
      <c r="M86" s="1" t="s">
        <v>32</v>
      </c>
    </row>
    <row r="87" spans="2:13" x14ac:dyDescent="0.35">
      <c r="B87" s="2" t="s">
        <v>324</v>
      </c>
      <c r="C87" s="2" t="s">
        <v>52</v>
      </c>
      <c r="D87" s="2" t="s">
        <v>325</v>
      </c>
      <c r="E87" s="2" t="s">
        <v>326</v>
      </c>
      <c r="F87" s="2" t="s">
        <v>327</v>
      </c>
      <c r="G87" s="1">
        <v>0</v>
      </c>
      <c r="H87" s="3">
        <v>43166.671527777798</v>
      </c>
      <c r="I87" s="2" t="s">
        <v>40</v>
      </c>
      <c r="J87" s="3">
        <v>44785.671527777798</v>
      </c>
      <c r="K87" s="2" t="s">
        <v>37</v>
      </c>
      <c r="L87" s="29" t="s">
        <v>39</v>
      </c>
      <c r="M87" s="1" t="s">
        <v>32</v>
      </c>
    </row>
    <row r="88" spans="2:13" x14ac:dyDescent="0.35">
      <c r="B88" s="2" t="s">
        <v>328</v>
      </c>
      <c r="C88" s="2" t="s">
        <v>52</v>
      </c>
      <c r="D88" s="2" t="s">
        <v>193</v>
      </c>
      <c r="E88" s="2" t="s">
        <v>90</v>
      </c>
      <c r="F88" s="2" t="s">
        <v>329</v>
      </c>
      <c r="G88" s="1">
        <v>1</v>
      </c>
      <c r="H88" s="3">
        <v>43756.388888888898</v>
      </c>
      <c r="I88" s="2" t="s">
        <v>37</v>
      </c>
      <c r="J88" s="3">
        <v>45008.388888888898</v>
      </c>
      <c r="K88" s="2" t="s">
        <v>38</v>
      </c>
      <c r="L88" s="29" t="s">
        <v>39</v>
      </c>
      <c r="M88" s="1" t="s">
        <v>32</v>
      </c>
    </row>
    <row r="89" spans="2:13" x14ac:dyDescent="0.35">
      <c r="B89" s="2" t="s">
        <v>330</v>
      </c>
      <c r="C89" s="2" t="s">
        <v>52</v>
      </c>
      <c r="D89" s="2" t="s">
        <v>196</v>
      </c>
      <c r="E89" s="2" t="s">
        <v>94</v>
      </c>
      <c r="F89" s="2" t="s">
        <v>331</v>
      </c>
      <c r="G89" s="1">
        <v>1</v>
      </c>
      <c r="H89" s="3">
        <v>43956.439583333296</v>
      </c>
      <c r="I89" s="2" t="s">
        <v>38</v>
      </c>
      <c r="J89" s="3">
        <v>45575.439583333296</v>
      </c>
      <c r="K89" s="2" t="s">
        <v>41</v>
      </c>
      <c r="L89" s="29" t="s">
        <v>39</v>
      </c>
      <c r="M89" s="1" t="s">
        <v>32</v>
      </c>
    </row>
    <row r="90" spans="2:13" x14ac:dyDescent="0.35">
      <c r="B90" s="2" t="s">
        <v>332</v>
      </c>
      <c r="C90" s="2" t="s">
        <v>52</v>
      </c>
      <c r="D90" s="2" t="s">
        <v>199</v>
      </c>
      <c r="E90" s="2" t="s">
        <v>98</v>
      </c>
      <c r="F90" s="2" t="s">
        <v>333</v>
      </c>
      <c r="G90" s="1">
        <v>1</v>
      </c>
      <c r="H90" s="3">
        <v>44546.490277777797</v>
      </c>
      <c r="I90" s="2" t="s">
        <v>41</v>
      </c>
      <c r="J90" s="3">
        <v>45798.490277777797</v>
      </c>
      <c r="K90" s="2" t="s">
        <v>40</v>
      </c>
      <c r="L90" s="29" t="s">
        <v>39</v>
      </c>
      <c r="M90" s="1" t="s">
        <v>32</v>
      </c>
    </row>
    <row r="91" spans="2:13" x14ac:dyDescent="0.35">
      <c r="B91" s="2" t="s">
        <v>334</v>
      </c>
      <c r="C91" s="2" t="s">
        <v>52</v>
      </c>
      <c r="D91" s="2" t="s">
        <v>202</v>
      </c>
      <c r="E91" s="2" t="s">
        <v>102</v>
      </c>
      <c r="F91" s="2" t="s">
        <v>335</v>
      </c>
      <c r="G91" s="1">
        <v>1</v>
      </c>
      <c r="H91" s="3">
        <v>44745.540972222203</v>
      </c>
      <c r="I91" s="2" t="s">
        <v>40</v>
      </c>
      <c r="J91" s="3">
        <v>46364.540972222203</v>
      </c>
      <c r="K91" s="2" t="s">
        <v>37</v>
      </c>
      <c r="L91" s="29" t="s">
        <v>39</v>
      </c>
      <c r="M91" s="1" t="s">
        <v>32</v>
      </c>
    </row>
    <row r="92" spans="2:13" x14ac:dyDescent="0.35">
      <c r="B92" s="2" t="s">
        <v>336</v>
      </c>
      <c r="C92" s="2" t="s">
        <v>53</v>
      </c>
      <c r="D92" s="2" t="s">
        <v>337</v>
      </c>
      <c r="E92" s="2" t="s">
        <v>338</v>
      </c>
      <c r="F92" s="2" t="s">
        <v>339</v>
      </c>
      <c r="G92" s="1">
        <v>1</v>
      </c>
      <c r="H92" s="3">
        <v>44971.55</v>
      </c>
      <c r="I92" s="2" t="s">
        <v>37</v>
      </c>
      <c r="J92" s="3">
        <v>45126.55</v>
      </c>
      <c r="K92" s="2" t="s">
        <v>38</v>
      </c>
      <c r="L92" s="29" t="s">
        <v>39</v>
      </c>
      <c r="M92" s="1" t="s">
        <v>32</v>
      </c>
    </row>
    <row r="93" spans="2:13" x14ac:dyDescent="0.35">
      <c r="B93" s="2" t="s">
        <v>340</v>
      </c>
      <c r="C93" s="2" t="s">
        <v>53</v>
      </c>
      <c r="D93" s="2" t="s">
        <v>209</v>
      </c>
      <c r="E93" s="2" t="s">
        <v>110</v>
      </c>
      <c r="F93" s="2" t="s">
        <v>341</v>
      </c>
      <c r="G93" s="1">
        <v>1</v>
      </c>
      <c r="H93" s="3">
        <v>45536.600694444402</v>
      </c>
      <c r="I93" s="2" t="s">
        <v>38</v>
      </c>
      <c r="J93" s="3">
        <v>45716.600694444402</v>
      </c>
      <c r="K93" s="2" t="s">
        <v>41</v>
      </c>
      <c r="L93" s="29" t="s">
        <v>39</v>
      </c>
      <c r="M93" s="1" t="s">
        <v>32</v>
      </c>
    </row>
    <row r="94" spans="2:13" x14ac:dyDescent="0.35">
      <c r="B94" s="2" t="s">
        <v>342</v>
      </c>
      <c r="C94" s="2" t="s">
        <v>53</v>
      </c>
      <c r="D94" s="2" t="s">
        <v>212</v>
      </c>
      <c r="E94" s="2" t="s">
        <v>114</v>
      </c>
      <c r="F94" s="2" t="s">
        <v>343</v>
      </c>
      <c r="G94" s="1">
        <v>1</v>
      </c>
      <c r="H94" s="3">
        <v>45759.651388888902</v>
      </c>
      <c r="I94" s="2" t="s">
        <v>41</v>
      </c>
      <c r="J94" s="3">
        <v>45917.651388888902</v>
      </c>
      <c r="K94" s="2" t="s">
        <v>40</v>
      </c>
      <c r="L94" s="29" t="s">
        <v>39</v>
      </c>
      <c r="M94" s="1" t="s">
        <v>32</v>
      </c>
    </row>
    <row r="95" spans="2:13" x14ac:dyDescent="0.35">
      <c r="B95" s="2" t="s">
        <v>344</v>
      </c>
      <c r="C95" s="2" t="s">
        <v>53</v>
      </c>
      <c r="D95" s="2" t="s">
        <v>215</v>
      </c>
      <c r="E95" s="2" t="s">
        <v>118</v>
      </c>
      <c r="F95" s="2" t="s">
        <v>345</v>
      </c>
      <c r="G95" s="1">
        <v>1</v>
      </c>
      <c r="H95" s="3">
        <v>46349.702083333301</v>
      </c>
      <c r="I95" s="2" t="s">
        <v>40</v>
      </c>
      <c r="J95" s="3">
        <v>46529.702083333301</v>
      </c>
      <c r="K95" s="2" t="s">
        <v>37</v>
      </c>
      <c r="L95" s="29" t="s">
        <v>39</v>
      </c>
      <c r="M95" s="1" t="s">
        <v>32</v>
      </c>
    </row>
    <row r="96" spans="2:13" x14ac:dyDescent="0.35">
      <c r="B96" s="2" t="s">
        <v>346</v>
      </c>
      <c r="C96" s="2" t="s">
        <v>53</v>
      </c>
      <c r="D96" s="2" t="s">
        <v>218</v>
      </c>
      <c r="E96" s="2" t="s">
        <v>90</v>
      </c>
      <c r="F96" s="2" t="s">
        <v>347</v>
      </c>
      <c r="G96" s="1">
        <v>1</v>
      </c>
      <c r="H96" s="3">
        <v>42531.377777777801</v>
      </c>
      <c r="I96" s="2" t="s">
        <v>37</v>
      </c>
      <c r="J96" s="3">
        <v>45976.377777777801</v>
      </c>
      <c r="K96" s="2" t="s">
        <v>38</v>
      </c>
      <c r="L96" s="29" t="s">
        <v>39</v>
      </c>
      <c r="M96" s="1" t="s">
        <v>32</v>
      </c>
    </row>
    <row r="97" spans="2:13" x14ac:dyDescent="0.35">
      <c r="B97" s="2" t="s">
        <v>348</v>
      </c>
      <c r="C97" s="2" t="s">
        <v>54</v>
      </c>
      <c r="D97" s="2" t="s">
        <v>349</v>
      </c>
      <c r="E97" s="2" t="s">
        <v>350</v>
      </c>
      <c r="F97" s="2" t="s">
        <v>351</v>
      </c>
      <c r="G97" s="1">
        <v>0</v>
      </c>
      <c r="H97" s="3">
        <v>42756.4284722222</v>
      </c>
      <c r="I97" s="2" t="s">
        <v>38</v>
      </c>
      <c r="J97" s="3">
        <v>46175.4284722222</v>
      </c>
      <c r="K97" s="2" t="s">
        <v>41</v>
      </c>
      <c r="L97" s="29" t="s">
        <v>39</v>
      </c>
      <c r="M97" s="1" t="s">
        <v>32</v>
      </c>
    </row>
    <row r="98" spans="2:13" x14ac:dyDescent="0.35">
      <c r="B98" s="2" t="s">
        <v>352</v>
      </c>
      <c r="C98" s="2" t="s">
        <v>54</v>
      </c>
      <c r="D98" s="2" t="s">
        <v>225</v>
      </c>
      <c r="E98" s="2" t="s">
        <v>98</v>
      </c>
      <c r="F98" s="2" t="s">
        <v>353</v>
      </c>
      <c r="G98" s="1">
        <v>1</v>
      </c>
      <c r="H98" s="3">
        <v>43320.479166666701</v>
      </c>
      <c r="I98" s="2" t="s">
        <v>41</v>
      </c>
      <c r="J98" s="3">
        <v>44209.479166666701</v>
      </c>
      <c r="K98" s="2" t="s">
        <v>40</v>
      </c>
      <c r="L98" s="29" t="s">
        <v>39</v>
      </c>
      <c r="M98" s="1" t="s">
        <v>32</v>
      </c>
    </row>
    <row r="99" spans="2:13" x14ac:dyDescent="0.35">
      <c r="B99" s="2" t="s">
        <v>354</v>
      </c>
      <c r="C99" s="2" t="s">
        <v>54</v>
      </c>
      <c r="D99" s="2" t="s">
        <v>228</v>
      </c>
      <c r="E99" s="2" t="s">
        <v>102</v>
      </c>
      <c r="F99" s="2" t="s">
        <v>355</v>
      </c>
      <c r="G99" s="1">
        <v>1</v>
      </c>
      <c r="H99" s="3">
        <v>43543.529861111099</v>
      </c>
      <c r="I99" s="2" t="s">
        <v>40</v>
      </c>
      <c r="J99" s="3">
        <v>44797.529861111099</v>
      </c>
      <c r="K99" s="2" t="s">
        <v>37</v>
      </c>
      <c r="L99" s="29" t="s">
        <v>39</v>
      </c>
      <c r="M99" s="1" t="s">
        <v>32</v>
      </c>
    </row>
    <row r="100" spans="2:13" x14ac:dyDescent="0.35">
      <c r="B100" s="2" t="s">
        <v>356</v>
      </c>
      <c r="C100" s="2" t="s">
        <v>54</v>
      </c>
      <c r="D100" s="2" t="s">
        <v>231</v>
      </c>
      <c r="E100" s="2" t="s">
        <v>135</v>
      </c>
      <c r="F100" s="2" t="s">
        <v>357</v>
      </c>
      <c r="G100" s="1">
        <v>1</v>
      </c>
      <c r="H100" s="3">
        <v>44110.5805555556</v>
      </c>
      <c r="I100" s="2" t="s">
        <v>37</v>
      </c>
      <c r="J100" s="3">
        <v>44996.5805555556</v>
      </c>
      <c r="K100" s="2" t="s">
        <v>38</v>
      </c>
      <c r="L100" s="29" t="s">
        <v>39</v>
      </c>
      <c r="M100" s="1" t="s">
        <v>32</v>
      </c>
    </row>
    <row r="101" spans="2:13" x14ac:dyDescent="0.35">
      <c r="B101" s="2" t="s">
        <v>358</v>
      </c>
      <c r="C101" s="2" t="s">
        <v>54</v>
      </c>
      <c r="D101" s="2" t="s">
        <v>234</v>
      </c>
      <c r="E101" s="2" t="s">
        <v>110</v>
      </c>
      <c r="F101" s="2" t="s">
        <v>359</v>
      </c>
      <c r="G101" s="1">
        <v>1</v>
      </c>
      <c r="H101" s="3">
        <v>44333.589583333298</v>
      </c>
      <c r="I101" s="2" t="s">
        <v>38</v>
      </c>
      <c r="J101" s="3">
        <v>45587.589583333298</v>
      </c>
      <c r="K101" s="2" t="s">
        <v>41</v>
      </c>
      <c r="L101" s="29" t="s">
        <v>39</v>
      </c>
      <c r="M101" s="1" t="s">
        <v>32</v>
      </c>
    </row>
    <row r="102" spans="2:13" x14ac:dyDescent="0.35">
      <c r="B102" s="2" t="s">
        <v>360</v>
      </c>
      <c r="C102" s="2" t="s">
        <v>54</v>
      </c>
      <c r="D102" s="2" t="s">
        <v>361</v>
      </c>
      <c r="E102" s="2" t="s">
        <v>362</v>
      </c>
      <c r="F102" s="2" t="s">
        <v>363</v>
      </c>
      <c r="G102" s="1">
        <v>1</v>
      </c>
      <c r="H102" s="3">
        <v>44899.640277777798</v>
      </c>
      <c r="I102" s="2" t="s">
        <v>41</v>
      </c>
      <c r="J102" s="3">
        <v>45786.640277777798</v>
      </c>
      <c r="K102" s="2" t="s">
        <v>40</v>
      </c>
      <c r="L102" s="29" t="s">
        <v>39</v>
      </c>
      <c r="M102" s="1" t="s">
        <v>32</v>
      </c>
    </row>
    <row r="103" spans="2:13" x14ac:dyDescent="0.35">
      <c r="B103" s="2" t="s">
        <v>364</v>
      </c>
      <c r="C103" s="2" t="s">
        <v>54</v>
      </c>
      <c r="D103" s="2" t="s">
        <v>241</v>
      </c>
      <c r="E103" s="2" t="s">
        <v>118</v>
      </c>
      <c r="F103" s="2" t="s">
        <v>365</v>
      </c>
      <c r="G103" s="1">
        <v>1</v>
      </c>
      <c r="H103" s="3">
        <v>45122.690972222197</v>
      </c>
      <c r="I103" s="2" t="s">
        <v>40</v>
      </c>
      <c r="J103" s="3">
        <v>46376.690972222197</v>
      </c>
      <c r="K103" s="2" t="s">
        <v>37</v>
      </c>
      <c r="L103" s="29" t="s">
        <v>39</v>
      </c>
      <c r="M103" s="1" t="s">
        <v>32</v>
      </c>
    </row>
    <row r="104" spans="2:13" x14ac:dyDescent="0.35">
      <c r="B104" s="2" t="s">
        <v>366</v>
      </c>
      <c r="C104" s="2" t="s">
        <v>54</v>
      </c>
      <c r="D104" s="2" t="s">
        <v>244</v>
      </c>
      <c r="E104" s="2" t="s">
        <v>90</v>
      </c>
      <c r="F104" s="2" t="s">
        <v>367</v>
      </c>
      <c r="G104" s="1">
        <v>1</v>
      </c>
      <c r="H104" s="3">
        <v>45324.408333333296</v>
      </c>
      <c r="I104" s="2" t="s">
        <v>37</v>
      </c>
      <c r="J104" s="3">
        <v>45480.408333333296</v>
      </c>
      <c r="K104" s="2" t="s">
        <v>38</v>
      </c>
      <c r="L104" s="29" t="s">
        <v>39</v>
      </c>
      <c r="M104" s="1" t="s">
        <v>32</v>
      </c>
    </row>
    <row r="105" spans="2:13" x14ac:dyDescent="0.35">
      <c r="B105" s="2" t="s">
        <v>368</v>
      </c>
      <c r="C105" s="2" t="s">
        <v>54</v>
      </c>
      <c r="D105" s="2" t="s">
        <v>247</v>
      </c>
      <c r="E105" s="2" t="s">
        <v>94</v>
      </c>
      <c r="F105" s="2" t="s">
        <v>369</v>
      </c>
      <c r="G105" s="1">
        <v>1</v>
      </c>
      <c r="H105" s="3">
        <v>45913.417361111096</v>
      </c>
      <c r="I105" s="2" t="s">
        <v>38</v>
      </c>
      <c r="J105" s="3">
        <v>46093.417361111096</v>
      </c>
      <c r="K105" s="2" t="s">
        <v>41</v>
      </c>
      <c r="L105" s="29" t="s">
        <v>39</v>
      </c>
      <c r="M105" s="1" t="s">
        <v>32</v>
      </c>
    </row>
    <row r="106" spans="2:13" x14ac:dyDescent="0.35">
      <c r="B106" s="2" t="s">
        <v>370</v>
      </c>
      <c r="C106" s="2" t="s">
        <v>54</v>
      </c>
      <c r="D106" s="2" t="s">
        <v>250</v>
      </c>
      <c r="E106" s="2" t="s">
        <v>98</v>
      </c>
      <c r="F106" s="2" t="s">
        <v>371</v>
      </c>
      <c r="G106" s="1">
        <v>1</v>
      </c>
      <c r="H106" s="3">
        <v>46136.468055555597</v>
      </c>
      <c r="I106" s="2" t="s">
        <v>41</v>
      </c>
      <c r="J106" s="3">
        <v>46270.468055555597</v>
      </c>
      <c r="K106" s="2" t="s">
        <v>40</v>
      </c>
      <c r="L106" s="29" t="s">
        <v>39</v>
      </c>
      <c r="M106" s="1" t="s">
        <v>32</v>
      </c>
    </row>
    <row r="107" spans="2:13" x14ac:dyDescent="0.35">
      <c r="B107" s="2" t="s">
        <v>372</v>
      </c>
      <c r="C107" s="2" t="s">
        <v>54</v>
      </c>
      <c r="D107" s="2" t="s">
        <v>373</v>
      </c>
      <c r="E107" s="2" t="s">
        <v>374</v>
      </c>
      <c r="F107" s="2" t="s">
        <v>375</v>
      </c>
      <c r="G107" s="1">
        <v>0</v>
      </c>
      <c r="H107" s="3">
        <v>42685.518750000003</v>
      </c>
      <c r="I107" s="2" t="s">
        <v>40</v>
      </c>
      <c r="J107" s="3">
        <v>45398.518750000003</v>
      </c>
      <c r="K107" s="2" t="s">
        <v>37</v>
      </c>
      <c r="L107" s="29" t="s">
        <v>39</v>
      </c>
      <c r="M107" s="1" t="s">
        <v>32</v>
      </c>
    </row>
    <row r="108" spans="2:13" x14ac:dyDescent="0.35">
      <c r="B108" s="2" t="s">
        <v>376</v>
      </c>
      <c r="C108" s="2" t="s">
        <v>54</v>
      </c>
      <c r="D108" s="2" t="s">
        <v>89</v>
      </c>
      <c r="E108" s="2" t="s">
        <v>135</v>
      </c>
      <c r="F108" s="2" t="s">
        <v>377</v>
      </c>
      <c r="G108" s="1">
        <v>1</v>
      </c>
      <c r="H108" s="3">
        <v>42908.569444444402</v>
      </c>
      <c r="I108" s="2" t="s">
        <v>37</v>
      </c>
      <c r="J108" s="3">
        <v>45964.569444444402</v>
      </c>
      <c r="K108" s="2" t="s">
        <v>38</v>
      </c>
      <c r="L108" s="29" t="s">
        <v>39</v>
      </c>
      <c r="M108" s="1" t="s">
        <v>32</v>
      </c>
    </row>
    <row r="109" spans="2:13" x14ac:dyDescent="0.35">
      <c r="B109" s="2" t="s">
        <v>378</v>
      </c>
      <c r="C109" s="2" t="s">
        <v>54</v>
      </c>
      <c r="D109" s="2" t="s">
        <v>93</v>
      </c>
      <c r="E109" s="2" t="s">
        <v>110</v>
      </c>
      <c r="F109" s="2" t="s">
        <v>379</v>
      </c>
      <c r="G109" s="1">
        <v>1</v>
      </c>
      <c r="H109" s="3">
        <v>43109.620138888902</v>
      </c>
      <c r="I109" s="2" t="s">
        <v>38</v>
      </c>
      <c r="J109" s="3">
        <v>46187.620138888902</v>
      </c>
      <c r="K109" s="2" t="s">
        <v>41</v>
      </c>
      <c r="L109" s="29" t="s">
        <v>39</v>
      </c>
      <c r="M109" s="1" t="s">
        <v>32</v>
      </c>
    </row>
    <row r="110" spans="2:13" x14ac:dyDescent="0.35">
      <c r="B110" s="2" t="s">
        <v>380</v>
      </c>
      <c r="C110" s="2" t="s">
        <v>54</v>
      </c>
      <c r="D110" s="2" t="s">
        <v>97</v>
      </c>
      <c r="E110" s="2" t="s">
        <v>114</v>
      </c>
      <c r="F110" s="2" t="s">
        <v>381</v>
      </c>
      <c r="G110" s="1">
        <v>1</v>
      </c>
      <c r="H110" s="3">
        <v>43697.629166666702</v>
      </c>
      <c r="I110" s="2" t="s">
        <v>41</v>
      </c>
      <c r="J110" s="3">
        <v>44197.629166666702</v>
      </c>
      <c r="K110" s="2" t="s">
        <v>40</v>
      </c>
      <c r="L110" s="29" t="s">
        <v>39</v>
      </c>
      <c r="M110" s="1" t="s">
        <v>32</v>
      </c>
    </row>
    <row r="111" spans="2:13" x14ac:dyDescent="0.35">
      <c r="B111" s="2" t="s">
        <v>382</v>
      </c>
      <c r="C111" s="2" t="s">
        <v>55</v>
      </c>
      <c r="D111" s="2" t="s">
        <v>101</v>
      </c>
      <c r="E111" s="2" t="s">
        <v>118</v>
      </c>
      <c r="F111" s="2" t="s">
        <v>383</v>
      </c>
      <c r="G111" s="1">
        <v>1</v>
      </c>
      <c r="H111" s="3">
        <v>43897.679861111101</v>
      </c>
      <c r="I111" s="2" t="s">
        <v>40</v>
      </c>
      <c r="J111" s="3">
        <v>44785.679861111101</v>
      </c>
      <c r="K111" s="2" t="s">
        <v>37</v>
      </c>
      <c r="L111" s="29" t="s">
        <v>39</v>
      </c>
      <c r="M111" s="1" t="s">
        <v>32</v>
      </c>
    </row>
    <row r="112" spans="2:13" x14ac:dyDescent="0.35">
      <c r="B112" s="2" t="s">
        <v>384</v>
      </c>
      <c r="C112" s="2" t="s">
        <v>55</v>
      </c>
      <c r="D112" s="2" t="s">
        <v>385</v>
      </c>
      <c r="E112" s="2" t="s">
        <v>386</v>
      </c>
      <c r="F112" s="2" t="s">
        <v>387</v>
      </c>
      <c r="G112" s="1">
        <v>1</v>
      </c>
      <c r="H112" s="3">
        <v>44487.3972222222</v>
      </c>
      <c r="I112" s="2" t="s">
        <v>37</v>
      </c>
      <c r="J112" s="3">
        <v>45008.3972222222</v>
      </c>
      <c r="K112" s="2" t="s">
        <v>38</v>
      </c>
      <c r="L112" s="29" t="s">
        <v>39</v>
      </c>
      <c r="M112" s="1" t="s">
        <v>32</v>
      </c>
    </row>
    <row r="113" spans="2:13" x14ac:dyDescent="0.35">
      <c r="B113" s="2" t="s">
        <v>388</v>
      </c>
      <c r="C113" s="2" t="s">
        <v>55</v>
      </c>
      <c r="D113" s="2" t="s">
        <v>109</v>
      </c>
      <c r="E113" s="2" t="s">
        <v>94</v>
      </c>
      <c r="F113" s="2" t="s">
        <v>389</v>
      </c>
      <c r="G113" s="1">
        <v>1</v>
      </c>
      <c r="H113" s="3">
        <v>44686.447916666701</v>
      </c>
      <c r="I113" s="2" t="s">
        <v>38</v>
      </c>
      <c r="J113" s="3">
        <v>45575.447916666701</v>
      </c>
      <c r="K113" s="2" t="s">
        <v>41</v>
      </c>
      <c r="L113" s="29" t="s">
        <v>39</v>
      </c>
      <c r="M113" s="1" t="s">
        <v>32</v>
      </c>
    </row>
    <row r="114" spans="2:13" x14ac:dyDescent="0.35">
      <c r="B114" s="2" t="s">
        <v>390</v>
      </c>
      <c r="C114" s="2" t="s">
        <v>55</v>
      </c>
      <c r="D114" s="2" t="s">
        <v>113</v>
      </c>
      <c r="E114" s="2" t="s">
        <v>98</v>
      </c>
      <c r="F114" s="2" t="s">
        <v>391</v>
      </c>
      <c r="G114" s="1">
        <v>1</v>
      </c>
      <c r="H114" s="3">
        <v>45276.498611111099</v>
      </c>
      <c r="I114" s="2" t="s">
        <v>41</v>
      </c>
      <c r="J114" s="3">
        <v>45798.498611111099</v>
      </c>
      <c r="K114" s="2" t="s">
        <v>40</v>
      </c>
      <c r="L114" s="29" t="s">
        <v>39</v>
      </c>
      <c r="M114" s="1" t="s">
        <v>32</v>
      </c>
    </row>
    <row r="115" spans="2:13" x14ac:dyDescent="0.35">
      <c r="B115" s="2" t="s">
        <v>392</v>
      </c>
      <c r="C115" s="2" t="s">
        <v>55</v>
      </c>
      <c r="D115" s="2" t="s">
        <v>117</v>
      </c>
      <c r="E115" s="2" t="s">
        <v>102</v>
      </c>
      <c r="F115" s="2" t="s">
        <v>393</v>
      </c>
      <c r="G115" s="1">
        <v>1</v>
      </c>
      <c r="H115" s="3">
        <v>45476.507638888899</v>
      </c>
      <c r="I115" s="2" t="s">
        <v>40</v>
      </c>
      <c r="J115" s="3">
        <v>46364.507638888899</v>
      </c>
      <c r="K115" s="2" t="s">
        <v>37</v>
      </c>
      <c r="L115" s="29" t="s">
        <v>39</v>
      </c>
      <c r="M115" s="1" t="s">
        <v>32</v>
      </c>
    </row>
    <row r="116" spans="2:13" x14ac:dyDescent="0.35">
      <c r="B116" s="2" t="s">
        <v>394</v>
      </c>
      <c r="C116" s="2" t="s">
        <v>55</v>
      </c>
      <c r="D116" s="2" t="s">
        <v>121</v>
      </c>
      <c r="E116" s="2" t="s">
        <v>135</v>
      </c>
      <c r="F116" s="2" t="s">
        <v>395</v>
      </c>
      <c r="G116" s="1">
        <v>1</v>
      </c>
      <c r="H116" s="3">
        <v>45702.558333333298</v>
      </c>
      <c r="I116" s="2" t="s">
        <v>37</v>
      </c>
      <c r="J116" s="3">
        <v>45857.558333333298</v>
      </c>
      <c r="K116" s="2" t="s">
        <v>38</v>
      </c>
      <c r="L116" s="29" t="s">
        <v>39</v>
      </c>
      <c r="M116" s="1" t="s">
        <v>32</v>
      </c>
    </row>
    <row r="117" spans="2:13" x14ac:dyDescent="0.35">
      <c r="B117" s="2" t="s">
        <v>396</v>
      </c>
      <c r="C117" s="2" t="s">
        <v>55</v>
      </c>
      <c r="D117" s="2" t="s">
        <v>397</v>
      </c>
      <c r="E117" s="2" t="s">
        <v>398</v>
      </c>
      <c r="F117" s="2" t="s">
        <v>399</v>
      </c>
      <c r="G117" s="1">
        <v>0</v>
      </c>
      <c r="H117" s="3">
        <v>46266.609027777798</v>
      </c>
      <c r="I117" s="2" t="s">
        <v>38</v>
      </c>
      <c r="J117" s="3">
        <v>46446.609027777798</v>
      </c>
      <c r="K117" s="2" t="s">
        <v>41</v>
      </c>
      <c r="L117" s="29" t="s">
        <v>39</v>
      </c>
      <c r="M117" s="1" t="s">
        <v>32</v>
      </c>
    </row>
    <row r="118" spans="2:13" x14ac:dyDescent="0.35">
      <c r="B118" s="2" t="s">
        <v>400</v>
      </c>
      <c r="C118" s="2" t="s">
        <v>55</v>
      </c>
      <c r="D118" s="2" t="s">
        <v>128</v>
      </c>
      <c r="E118" s="2" t="s">
        <v>114</v>
      </c>
      <c r="F118" s="2" t="s">
        <v>401</v>
      </c>
      <c r="G118" s="1">
        <v>1</v>
      </c>
      <c r="H118" s="3">
        <v>42472.659722222197</v>
      </c>
      <c r="I118" s="2" t="s">
        <v>41</v>
      </c>
      <c r="J118" s="3">
        <v>45186.659722222197</v>
      </c>
      <c r="K118" s="2" t="s">
        <v>40</v>
      </c>
      <c r="L118" s="29" t="s">
        <v>39</v>
      </c>
      <c r="M118" s="1" t="s">
        <v>32</v>
      </c>
    </row>
    <row r="119" spans="2:13" x14ac:dyDescent="0.35">
      <c r="B119" s="2" t="s">
        <v>402</v>
      </c>
      <c r="C119" s="2" t="s">
        <v>55</v>
      </c>
      <c r="D119" s="2" t="s">
        <v>131</v>
      </c>
      <c r="E119" s="2" t="s">
        <v>118</v>
      </c>
      <c r="F119" s="2" t="s">
        <v>403</v>
      </c>
      <c r="G119" s="1">
        <v>1</v>
      </c>
      <c r="H119" s="3">
        <v>43062.668749999997</v>
      </c>
      <c r="I119" s="2" t="s">
        <v>40</v>
      </c>
      <c r="J119" s="3">
        <v>45386.668749999997</v>
      </c>
      <c r="K119" s="2" t="s">
        <v>37</v>
      </c>
      <c r="L119" s="29" t="s">
        <v>39</v>
      </c>
      <c r="M119" s="1" t="s">
        <v>32</v>
      </c>
    </row>
    <row r="120" spans="2:13" x14ac:dyDescent="0.35">
      <c r="B120" s="2" t="s">
        <v>404</v>
      </c>
      <c r="C120" s="2" t="s">
        <v>55</v>
      </c>
      <c r="D120" s="2" t="s">
        <v>134</v>
      </c>
      <c r="E120" s="2" t="s">
        <v>90</v>
      </c>
      <c r="F120" s="2" t="s">
        <v>405</v>
      </c>
      <c r="G120" s="1">
        <v>1</v>
      </c>
      <c r="H120" s="3">
        <v>43261.386111111096</v>
      </c>
      <c r="I120" s="2" t="s">
        <v>37</v>
      </c>
      <c r="J120" s="3">
        <v>45976.386111111096</v>
      </c>
      <c r="K120" s="2" t="s">
        <v>38</v>
      </c>
      <c r="L120" s="29" t="s">
        <v>39</v>
      </c>
      <c r="M120" s="1" t="s">
        <v>32</v>
      </c>
    </row>
    <row r="121" spans="2:13" x14ac:dyDescent="0.35">
      <c r="B121" s="2" t="s">
        <v>406</v>
      </c>
      <c r="C121" s="2" t="s">
        <v>56</v>
      </c>
      <c r="D121" s="2" t="s">
        <v>138</v>
      </c>
      <c r="E121" s="2" t="s">
        <v>94</v>
      </c>
      <c r="F121" s="2" t="s">
        <v>407</v>
      </c>
      <c r="G121" s="1">
        <v>1</v>
      </c>
      <c r="H121" s="3">
        <v>43486.436805555597</v>
      </c>
      <c r="I121" s="2" t="s">
        <v>38</v>
      </c>
      <c r="J121" s="3">
        <v>46175.436805555597</v>
      </c>
      <c r="K121" s="2" t="s">
        <v>41</v>
      </c>
      <c r="L121" s="29" t="s">
        <v>39</v>
      </c>
      <c r="M121" s="1" t="s">
        <v>32</v>
      </c>
    </row>
    <row r="122" spans="2:13" x14ac:dyDescent="0.35">
      <c r="B122" s="2" t="s">
        <v>408</v>
      </c>
      <c r="C122" s="2" t="s">
        <v>56</v>
      </c>
      <c r="D122" s="2" t="s">
        <v>409</v>
      </c>
      <c r="E122" s="2" t="s">
        <v>410</v>
      </c>
      <c r="F122" s="2" t="s">
        <v>411</v>
      </c>
      <c r="G122" s="1">
        <v>1</v>
      </c>
      <c r="H122" s="3">
        <v>44051.487500000003</v>
      </c>
      <c r="I122" s="2" t="s">
        <v>41</v>
      </c>
      <c r="J122" s="3">
        <v>44209.487500000003</v>
      </c>
      <c r="K122" s="2" t="s">
        <v>40</v>
      </c>
      <c r="L122" s="29" t="s">
        <v>39</v>
      </c>
      <c r="M122" s="1" t="s">
        <v>32</v>
      </c>
    </row>
    <row r="123" spans="2:13" x14ac:dyDescent="0.35">
      <c r="B123" s="2" t="s">
        <v>412</v>
      </c>
      <c r="C123" s="2" t="s">
        <v>56</v>
      </c>
      <c r="D123" s="2" t="s">
        <v>145</v>
      </c>
      <c r="E123" s="2" t="s">
        <v>102</v>
      </c>
      <c r="F123" s="2" t="s">
        <v>413</v>
      </c>
      <c r="G123" s="1">
        <v>1</v>
      </c>
      <c r="H123" s="3">
        <v>44274.538194444402</v>
      </c>
      <c r="I123" s="2" t="s">
        <v>40</v>
      </c>
      <c r="J123" s="3">
        <v>44797.538194444402</v>
      </c>
      <c r="K123" s="2" t="s">
        <v>37</v>
      </c>
      <c r="L123" s="29" t="s">
        <v>39</v>
      </c>
      <c r="M123" s="1" t="s">
        <v>32</v>
      </c>
    </row>
    <row r="124" spans="2:13" x14ac:dyDescent="0.35">
      <c r="B124" s="2" t="s">
        <v>414</v>
      </c>
      <c r="C124" s="2" t="s">
        <v>56</v>
      </c>
      <c r="D124" s="2" t="s">
        <v>148</v>
      </c>
      <c r="E124" s="2" t="s">
        <v>135</v>
      </c>
      <c r="F124" s="2" t="s">
        <v>415</v>
      </c>
      <c r="G124" s="1">
        <v>1</v>
      </c>
      <c r="H124" s="3">
        <v>44840.547222222202</v>
      </c>
      <c r="I124" s="2" t="s">
        <v>37</v>
      </c>
      <c r="J124" s="3">
        <v>44996.547222222202</v>
      </c>
      <c r="K124" s="2" t="s">
        <v>38</v>
      </c>
      <c r="L124" s="29" t="s">
        <v>39</v>
      </c>
      <c r="M124" s="1" t="s">
        <v>32</v>
      </c>
    </row>
    <row r="125" spans="2:13" x14ac:dyDescent="0.35">
      <c r="B125" s="2" t="s">
        <v>416</v>
      </c>
      <c r="C125" s="2" t="s">
        <v>56</v>
      </c>
      <c r="D125" s="2" t="s">
        <v>151</v>
      </c>
      <c r="E125" s="2" t="s">
        <v>110</v>
      </c>
      <c r="F125" s="2" t="s">
        <v>417</v>
      </c>
      <c r="G125" s="1">
        <v>1</v>
      </c>
      <c r="H125" s="3">
        <v>45063.597916666702</v>
      </c>
      <c r="I125" s="2" t="s">
        <v>38</v>
      </c>
      <c r="J125" s="3">
        <v>45587.597916666702</v>
      </c>
      <c r="K125" s="2" t="s">
        <v>41</v>
      </c>
      <c r="L125" s="29" t="s">
        <v>39</v>
      </c>
      <c r="M125" s="1" t="s">
        <v>32</v>
      </c>
    </row>
    <row r="126" spans="2:13" x14ac:dyDescent="0.35">
      <c r="B126" s="2" t="s">
        <v>418</v>
      </c>
      <c r="C126" s="2" t="s">
        <v>56</v>
      </c>
      <c r="D126" s="2" t="s">
        <v>154</v>
      </c>
      <c r="E126" s="2" t="s">
        <v>114</v>
      </c>
      <c r="F126" s="2" t="s">
        <v>419</v>
      </c>
      <c r="G126" s="1">
        <v>1</v>
      </c>
      <c r="H126" s="3">
        <v>45630.648611111101</v>
      </c>
      <c r="I126" s="2" t="s">
        <v>41</v>
      </c>
      <c r="J126" s="3">
        <v>45786.648611111101</v>
      </c>
      <c r="K126" s="2" t="s">
        <v>40</v>
      </c>
      <c r="L126" s="29" t="s">
        <v>39</v>
      </c>
      <c r="M126" s="1" t="s">
        <v>32</v>
      </c>
    </row>
    <row r="127" spans="2:13" x14ac:dyDescent="0.35">
      <c r="B127" s="2" t="s">
        <v>420</v>
      </c>
      <c r="C127" s="2" t="s">
        <v>56</v>
      </c>
      <c r="D127" s="2" t="s">
        <v>421</v>
      </c>
      <c r="E127" s="2" t="s">
        <v>422</v>
      </c>
      <c r="F127" s="2" t="s">
        <v>423</v>
      </c>
      <c r="G127" s="1">
        <v>0</v>
      </c>
      <c r="H127" s="3">
        <v>45853.699305555601</v>
      </c>
      <c r="I127" s="2" t="s">
        <v>40</v>
      </c>
      <c r="J127" s="3">
        <v>46376.699305555601</v>
      </c>
      <c r="K127" s="2" t="s">
        <v>37</v>
      </c>
      <c r="L127" s="29" t="s">
        <v>39</v>
      </c>
      <c r="M127" s="1" t="s">
        <v>32</v>
      </c>
    </row>
    <row r="128" spans="2:13" x14ac:dyDescent="0.35">
      <c r="B128" s="2" t="s">
        <v>424</v>
      </c>
      <c r="C128" s="2" t="s">
        <v>57</v>
      </c>
      <c r="D128" s="2" t="s">
        <v>161</v>
      </c>
      <c r="E128" s="2" t="s">
        <v>90</v>
      </c>
      <c r="F128" s="2" t="s">
        <v>425</v>
      </c>
      <c r="G128" s="1">
        <v>1</v>
      </c>
      <c r="H128" s="3">
        <v>46055.375</v>
      </c>
      <c r="I128" s="2" t="s">
        <v>37</v>
      </c>
      <c r="J128" s="3">
        <v>46210.375</v>
      </c>
      <c r="K128" s="2" t="s">
        <v>38</v>
      </c>
      <c r="L128" s="29" t="s">
        <v>39</v>
      </c>
      <c r="M128" s="1" t="s">
        <v>32</v>
      </c>
    </row>
    <row r="129" spans="2:13" x14ac:dyDescent="0.35">
      <c r="B129" s="2" t="s">
        <v>426</v>
      </c>
      <c r="C129" s="2" t="s">
        <v>57</v>
      </c>
      <c r="D129" s="2" t="s">
        <v>164</v>
      </c>
      <c r="E129" s="2" t="s">
        <v>94</v>
      </c>
      <c r="F129" s="2" t="s">
        <v>427</v>
      </c>
      <c r="G129" s="1">
        <v>1</v>
      </c>
      <c r="H129" s="3">
        <v>42626.425694444399</v>
      </c>
      <c r="I129" s="2" t="s">
        <v>38</v>
      </c>
      <c r="J129" s="3">
        <v>44610.425694444399</v>
      </c>
      <c r="K129" s="2" t="s">
        <v>41</v>
      </c>
      <c r="L129" s="29" t="s">
        <v>39</v>
      </c>
      <c r="M129" s="1" t="s">
        <v>32</v>
      </c>
    </row>
    <row r="130" spans="2:13" x14ac:dyDescent="0.35">
      <c r="B130" s="2" t="s">
        <v>428</v>
      </c>
      <c r="C130" s="2" t="s">
        <v>57</v>
      </c>
      <c r="D130" s="2" t="s">
        <v>167</v>
      </c>
      <c r="E130" s="2" t="s">
        <v>98</v>
      </c>
      <c r="F130" s="2" t="s">
        <v>429</v>
      </c>
      <c r="G130" s="1">
        <v>1</v>
      </c>
      <c r="H130" s="3">
        <v>42849.476388888899</v>
      </c>
      <c r="I130" s="2" t="s">
        <v>41</v>
      </c>
      <c r="J130" s="3">
        <v>45174.476388888899</v>
      </c>
      <c r="K130" s="2" t="s">
        <v>40</v>
      </c>
      <c r="L130" s="29" t="s">
        <v>39</v>
      </c>
      <c r="M130" s="1" t="s">
        <v>32</v>
      </c>
    </row>
    <row r="131" spans="2:13" x14ac:dyDescent="0.35">
      <c r="B131" s="2" t="s">
        <v>430</v>
      </c>
      <c r="C131" s="2" t="s">
        <v>57</v>
      </c>
      <c r="D131" s="2" t="s">
        <v>170</v>
      </c>
      <c r="E131" s="2" t="s">
        <v>102</v>
      </c>
      <c r="F131" s="2" t="s">
        <v>431</v>
      </c>
      <c r="G131" s="1">
        <v>1</v>
      </c>
      <c r="H131" s="3">
        <v>43415.527083333298</v>
      </c>
      <c r="I131" s="2" t="s">
        <v>40</v>
      </c>
      <c r="J131" s="3">
        <v>45398.527083333298</v>
      </c>
      <c r="K131" s="2" t="s">
        <v>37</v>
      </c>
      <c r="L131" s="29" t="s">
        <v>39</v>
      </c>
      <c r="M131" s="1" t="s">
        <v>32</v>
      </c>
    </row>
    <row r="132" spans="2:13" x14ac:dyDescent="0.35">
      <c r="B132" s="2" t="s">
        <v>432</v>
      </c>
      <c r="C132" s="2" t="s">
        <v>57</v>
      </c>
      <c r="D132" s="2" t="s">
        <v>433</v>
      </c>
      <c r="E132" s="2" t="s">
        <v>434</v>
      </c>
      <c r="F132" s="2" t="s">
        <v>435</v>
      </c>
      <c r="G132" s="1">
        <v>1</v>
      </c>
      <c r="H132" s="3">
        <v>43638.577777777798</v>
      </c>
      <c r="I132" s="2" t="s">
        <v>37</v>
      </c>
      <c r="J132" s="3">
        <v>45964.577777777798</v>
      </c>
      <c r="K132" s="2" t="s">
        <v>38</v>
      </c>
      <c r="L132" s="29" t="s">
        <v>39</v>
      </c>
      <c r="M132" s="1" t="s">
        <v>32</v>
      </c>
    </row>
    <row r="133" spans="2:13" x14ac:dyDescent="0.35">
      <c r="B133" s="2" t="s">
        <v>436</v>
      </c>
      <c r="C133" s="2" t="s">
        <v>57</v>
      </c>
      <c r="D133" s="2" t="s">
        <v>177</v>
      </c>
      <c r="E133" s="2" t="s">
        <v>110</v>
      </c>
      <c r="F133" s="2" t="s">
        <v>437</v>
      </c>
      <c r="G133" s="1">
        <v>1</v>
      </c>
      <c r="H133" s="3">
        <v>43839.586805555598</v>
      </c>
      <c r="I133" s="2" t="s">
        <v>38</v>
      </c>
      <c r="J133" s="3">
        <v>46187.586805555598</v>
      </c>
      <c r="K133" s="2" t="s">
        <v>41</v>
      </c>
      <c r="L133" s="29" t="s">
        <v>39</v>
      </c>
      <c r="M133" s="1" t="s">
        <v>32</v>
      </c>
    </row>
    <row r="134" spans="2:13" x14ac:dyDescent="0.35">
      <c r="B134" s="2" t="s">
        <v>438</v>
      </c>
      <c r="C134" s="2" t="s">
        <v>58</v>
      </c>
      <c r="D134" s="2" t="s">
        <v>180</v>
      </c>
      <c r="E134" s="2" t="s">
        <v>114</v>
      </c>
      <c r="F134" s="2" t="s">
        <v>439</v>
      </c>
      <c r="G134" s="1">
        <v>1</v>
      </c>
      <c r="H134" s="3">
        <v>44428.637499999997</v>
      </c>
      <c r="I134" s="2" t="s">
        <v>41</v>
      </c>
      <c r="J134" s="3">
        <v>44608.637499999997</v>
      </c>
      <c r="K134" s="2" t="s">
        <v>40</v>
      </c>
      <c r="L134" s="29" t="s">
        <v>39</v>
      </c>
      <c r="M134" s="1" t="s">
        <v>32</v>
      </c>
    </row>
    <row r="135" spans="2:13" x14ac:dyDescent="0.35">
      <c r="B135" s="2" t="s">
        <v>440</v>
      </c>
      <c r="C135" s="2" t="s">
        <v>58</v>
      </c>
      <c r="D135" s="2" t="s">
        <v>183</v>
      </c>
      <c r="E135" s="2" t="s">
        <v>118</v>
      </c>
      <c r="F135" s="2" t="s">
        <v>441</v>
      </c>
      <c r="G135" s="1">
        <v>1</v>
      </c>
      <c r="H135" s="3">
        <v>44627.688194444403</v>
      </c>
      <c r="I135" s="2" t="s">
        <v>40</v>
      </c>
      <c r="J135" s="3">
        <v>44785.688194444403</v>
      </c>
      <c r="K135" s="2" t="s">
        <v>37</v>
      </c>
      <c r="L135" s="29" t="s">
        <v>39</v>
      </c>
      <c r="M135" s="1" t="s">
        <v>32</v>
      </c>
    </row>
    <row r="136" spans="2:13" x14ac:dyDescent="0.35">
      <c r="B136" s="2" t="s">
        <v>442</v>
      </c>
      <c r="C136" s="2" t="s">
        <v>58</v>
      </c>
      <c r="D136" s="2" t="s">
        <v>186</v>
      </c>
      <c r="E136" s="2" t="s">
        <v>90</v>
      </c>
      <c r="F136" s="2" t="s">
        <v>443</v>
      </c>
      <c r="G136" s="1">
        <v>1</v>
      </c>
      <c r="H136" s="3">
        <v>45217.405555555597</v>
      </c>
      <c r="I136" s="2" t="s">
        <v>37</v>
      </c>
      <c r="J136" s="3">
        <v>45397.405555555597</v>
      </c>
      <c r="K136" s="2" t="s">
        <v>38</v>
      </c>
      <c r="L136" s="29" t="s">
        <v>39</v>
      </c>
      <c r="M136" s="1" t="s">
        <v>32</v>
      </c>
    </row>
    <row r="137" spans="2:13" x14ac:dyDescent="0.35">
      <c r="B137" s="2" t="s">
        <v>444</v>
      </c>
      <c r="C137" s="2" t="s">
        <v>58</v>
      </c>
      <c r="D137" s="2" t="s">
        <v>445</v>
      </c>
      <c r="E137" s="2" t="s">
        <v>446</v>
      </c>
      <c r="F137" s="2" t="s">
        <v>447</v>
      </c>
      <c r="G137" s="1">
        <v>0</v>
      </c>
      <c r="H137" s="3">
        <v>45417.456250000003</v>
      </c>
      <c r="I137" s="2" t="s">
        <v>38</v>
      </c>
      <c r="J137" s="3">
        <v>45575.456250000003</v>
      </c>
      <c r="K137" s="2" t="s">
        <v>41</v>
      </c>
      <c r="L137" s="29" t="s">
        <v>39</v>
      </c>
      <c r="M137" s="1" t="s">
        <v>32</v>
      </c>
    </row>
    <row r="138" spans="2:13" x14ac:dyDescent="0.35">
      <c r="B138" s="2" t="s">
        <v>448</v>
      </c>
      <c r="C138" s="2" t="s">
        <v>58</v>
      </c>
      <c r="D138" s="2" t="s">
        <v>193</v>
      </c>
      <c r="E138" s="2" t="s">
        <v>98</v>
      </c>
      <c r="F138" s="2" t="s">
        <v>449</v>
      </c>
      <c r="G138" s="1">
        <v>1</v>
      </c>
      <c r="H138" s="3">
        <v>46007.465277777803</v>
      </c>
      <c r="I138" s="2" t="s">
        <v>41</v>
      </c>
      <c r="J138" s="3">
        <v>46187.465277777803</v>
      </c>
      <c r="K138" s="2" t="s">
        <v>40</v>
      </c>
      <c r="L138" s="29" t="s">
        <v>39</v>
      </c>
      <c r="M138" s="1" t="s">
        <v>32</v>
      </c>
    </row>
    <row r="139" spans="2:13" x14ac:dyDescent="0.35">
      <c r="B139" s="2" t="s">
        <v>450</v>
      </c>
      <c r="C139" s="2" t="s">
        <v>58</v>
      </c>
      <c r="D139" s="2" t="s">
        <v>196</v>
      </c>
      <c r="E139" s="2" t="s">
        <v>102</v>
      </c>
      <c r="F139" s="2" t="s">
        <v>451</v>
      </c>
      <c r="G139" s="1">
        <v>1</v>
      </c>
      <c r="H139" s="3">
        <v>46206.515972222202</v>
      </c>
      <c r="I139" s="2" t="s">
        <v>40</v>
      </c>
      <c r="J139" s="3">
        <v>46364.515972222202</v>
      </c>
      <c r="K139" s="2" t="s">
        <v>37</v>
      </c>
      <c r="L139" s="29" t="s">
        <v>39</v>
      </c>
      <c r="M139" s="1" t="s">
        <v>32</v>
      </c>
    </row>
    <row r="140" spans="2:13" x14ac:dyDescent="0.35">
      <c r="B140" s="2" t="s">
        <v>452</v>
      </c>
      <c r="C140" s="2" t="s">
        <v>59</v>
      </c>
      <c r="D140" s="2" t="s">
        <v>199</v>
      </c>
      <c r="E140" s="2" t="s">
        <v>135</v>
      </c>
      <c r="F140" s="2" t="s">
        <v>453</v>
      </c>
      <c r="G140" s="1">
        <v>1</v>
      </c>
      <c r="H140" s="3">
        <v>42414.566666666702</v>
      </c>
      <c r="I140" s="2" t="s">
        <v>37</v>
      </c>
      <c r="J140" s="3">
        <v>44396.566666666702</v>
      </c>
      <c r="K140" s="2" t="s">
        <v>38</v>
      </c>
      <c r="L140" s="29" t="s">
        <v>39</v>
      </c>
      <c r="M140" s="1" t="s">
        <v>32</v>
      </c>
    </row>
    <row r="141" spans="2:13" x14ac:dyDescent="0.35">
      <c r="B141" s="2" t="s">
        <v>454</v>
      </c>
      <c r="C141" s="2" t="s">
        <v>59</v>
      </c>
      <c r="D141" s="2" t="s">
        <v>202</v>
      </c>
      <c r="E141" s="2" t="s">
        <v>110</v>
      </c>
      <c r="F141" s="2" t="s">
        <v>455</v>
      </c>
      <c r="G141" s="1">
        <v>1</v>
      </c>
      <c r="H141" s="3">
        <v>42979.617361111101</v>
      </c>
      <c r="I141" s="2" t="s">
        <v>38</v>
      </c>
      <c r="J141" s="3">
        <v>44598.617361111101</v>
      </c>
      <c r="K141" s="2" t="s">
        <v>41</v>
      </c>
      <c r="L141" s="29" t="s">
        <v>39</v>
      </c>
      <c r="M141" s="1" t="s">
        <v>32</v>
      </c>
    </row>
    <row r="142" spans="2:13" x14ac:dyDescent="0.35">
      <c r="B142" s="2" t="s">
        <v>456</v>
      </c>
      <c r="C142" s="2" t="s">
        <v>59</v>
      </c>
      <c r="D142" s="2" t="s">
        <v>457</v>
      </c>
      <c r="E142" s="2" t="s">
        <v>458</v>
      </c>
      <c r="F142" s="2" t="s">
        <v>459</v>
      </c>
      <c r="G142" s="1">
        <v>1</v>
      </c>
      <c r="H142" s="3">
        <v>43202.626388888901</v>
      </c>
      <c r="I142" s="2" t="s">
        <v>41</v>
      </c>
      <c r="J142" s="3">
        <v>45186.626388888901</v>
      </c>
      <c r="K142" s="2" t="s">
        <v>40</v>
      </c>
      <c r="L142" s="29" t="s">
        <v>39</v>
      </c>
      <c r="M142" s="1" t="s">
        <v>32</v>
      </c>
    </row>
    <row r="143" spans="2:13" x14ac:dyDescent="0.35">
      <c r="B143" s="2" t="s">
        <v>460</v>
      </c>
      <c r="C143" s="2" t="s">
        <v>59</v>
      </c>
      <c r="D143" s="2" t="s">
        <v>209</v>
      </c>
      <c r="E143" s="2" t="s">
        <v>118</v>
      </c>
      <c r="F143" s="2" t="s">
        <v>461</v>
      </c>
      <c r="G143" s="1">
        <v>1</v>
      </c>
      <c r="H143" s="3">
        <v>43792.677083333299</v>
      </c>
      <c r="I143" s="2" t="s">
        <v>40</v>
      </c>
      <c r="J143" s="3">
        <v>45386.677083333299</v>
      </c>
      <c r="K143" s="2" t="s">
        <v>37</v>
      </c>
      <c r="L143" s="29" t="s">
        <v>39</v>
      </c>
      <c r="M143" s="1" t="s">
        <v>32</v>
      </c>
    </row>
    <row r="144" spans="2:13" x14ac:dyDescent="0.35">
      <c r="B144" s="2" t="s">
        <v>462</v>
      </c>
      <c r="C144" s="2" t="s">
        <v>59</v>
      </c>
      <c r="D144" s="2" t="s">
        <v>212</v>
      </c>
      <c r="E144" s="2" t="s">
        <v>90</v>
      </c>
      <c r="F144" s="2" t="s">
        <v>463</v>
      </c>
      <c r="G144" s="1">
        <v>1</v>
      </c>
      <c r="H144" s="3">
        <v>43992.394444444399</v>
      </c>
      <c r="I144" s="2" t="s">
        <v>37</v>
      </c>
      <c r="J144" s="3">
        <v>45976.394444444399</v>
      </c>
      <c r="K144" s="2" t="s">
        <v>38</v>
      </c>
      <c r="L144" s="29" t="s">
        <v>39</v>
      </c>
      <c r="M144" s="1" t="s">
        <v>32</v>
      </c>
    </row>
    <row r="145" spans="2:13" x14ac:dyDescent="0.35">
      <c r="B145" s="2" t="s">
        <v>464</v>
      </c>
      <c r="C145" s="2" t="s">
        <v>59</v>
      </c>
      <c r="D145" s="2" t="s">
        <v>215</v>
      </c>
      <c r="E145" s="2" t="s">
        <v>94</v>
      </c>
      <c r="F145" s="2" t="s">
        <v>465</v>
      </c>
      <c r="G145" s="1">
        <v>1</v>
      </c>
      <c r="H145" s="3">
        <v>44217.445138888899</v>
      </c>
      <c r="I145" s="2" t="s">
        <v>38</v>
      </c>
      <c r="J145" s="3">
        <v>46175.445138888899</v>
      </c>
      <c r="K145" s="2" t="s">
        <v>41</v>
      </c>
      <c r="L145" s="29" t="s">
        <v>39</v>
      </c>
      <c r="M145" s="1" t="s">
        <v>32</v>
      </c>
    </row>
    <row r="146" spans="2:13" x14ac:dyDescent="0.35">
      <c r="B146" s="2" t="s">
        <v>466</v>
      </c>
      <c r="C146" s="2" t="s">
        <v>59</v>
      </c>
      <c r="D146" s="2" t="s">
        <v>218</v>
      </c>
      <c r="E146" s="2" t="s">
        <v>98</v>
      </c>
      <c r="F146" s="2" t="s">
        <v>467</v>
      </c>
      <c r="G146" s="1">
        <v>1</v>
      </c>
      <c r="H146" s="3">
        <v>44781.495833333298</v>
      </c>
      <c r="I146" s="2" t="s">
        <v>41</v>
      </c>
      <c r="J146" s="3">
        <v>44961.495833333298</v>
      </c>
      <c r="K146" s="2" t="s">
        <v>40</v>
      </c>
      <c r="L146" s="29" t="s">
        <v>39</v>
      </c>
      <c r="M146" s="1" t="s">
        <v>32</v>
      </c>
    </row>
    <row r="147" spans="2:13" x14ac:dyDescent="0.35">
      <c r="B147" s="2" t="s">
        <v>468</v>
      </c>
      <c r="C147" s="2" t="s">
        <v>60</v>
      </c>
      <c r="D147" s="2" t="s">
        <v>469</v>
      </c>
      <c r="E147" s="2" t="s">
        <v>470</v>
      </c>
      <c r="F147" s="2" t="s">
        <v>471</v>
      </c>
      <c r="G147" s="1">
        <v>0</v>
      </c>
      <c r="H147" s="3">
        <v>45004.504861111098</v>
      </c>
      <c r="I147" s="2" t="s">
        <v>40</v>
      </c>
      <c r="J147" s="3">
        <v>45162.504861111098</v>
      </c>
      <c r="K147" s="2" t="s">
        <v>37</v>
      </c>
      <c r="L147" s="29" t="s">
        <v>39</v>
      </c>
      <c r="M147" s="1" t="s">
        <v>32</v>
      </c>
    </row>
    <row r="148" spans="2:13" x14ac:dyDescent="0.35">
      <c r="B148" s="2" t="s">
        <v>472</v>
      </c>
      <c r="C148" s="2" t="s">
        <v>60</v>
      </c>
      <c r="D148" s="2" t="s">
        <v>225</v>
      </c>
      <c r="E148" s="2" t="s">
        <v>135</v>
      </c>
      <c r="F148" s="2" t="s">
        <v>473</v>
      </c>
      <c r="G148" s="1">
        <v>1</v>
      </c>
      <c r="H148" s="3">
        <v>45571.555555555598</v>
      </c>
      <c r="I148" s="2" t="s">
        <v>37</v>
      </c>
      <c r="J148" s="3">
        <v>45751.555555555598</v>
      </c>
      <c r="K148" s="2" t="s">
        <v>38</v>
      </c>
      <c r="L148" s="29" t="s">
        <v>39</v>
      </c>
      <c r="M148" s="1" t="s">
        <v>32</v>
      </c>
    </row>
    <row r="149" spans="2:13" x14ac:dyDescent="0.35">
      <c r="B149" s="2" t="s">
        <v>474</v>
      </c>
      <c r="C149" s="2" t="s">
        <v>60</v>
      </c>
      <c r="D149" s="2" t="s">
        <v>228</v>
      </c>
      <c r="E149" s="2" t="s">
        <v>110</v>
      </c>
      <c r="F149" s="2" t="s">
        <v>475</v>
      </c>
      <c r="G149" s="1">
        <v>1</v>
      </c>
      <c r="H149" s="3">
        <v>45794.606249999997</v>
      </c>
      <c r="I149" s="2" t="s">
        <v>38</v>
      </c>
      <c r="J149" s="3">
        <v>45952.606249999997</v>
      </c>
      <c r="K149" s="2" t="s">
        <v>41</v>
      </c>
      <c r="L149" s="29" t="s">
        <v>39</v>
      </c>
      <c r="M149" s="1" t="s">
        <v>32</v>
      </c>
    </row>
    <row r="150" spans="2:13" x14ac:dyDescent="0.35">
      <c r="B150" s="2" t="s">
        <v>476</v>
      </c>
      <c r="C150" s="2" t="s">
        <v>60</v>
      </c>
      <c r="D150" s="2" t="s">
        <v>231</v>
      </c>
      <c r="E150" s="2" t="s">
        <v>114</v>
      </c>
      <c r="F150" s="2" t="s">
        <v>477</v>
      </c>
      <c r="G150" s="1">
        <v>1</v>
      </c>
      <c r="H150" s="3">
        <v>46360.656944444403</v>
      </c>
      <c r="I150" s="2" t="s">
        <v>41</v>
      </c>
      <c r="J150" s="3">
        <v>46540.656944444403</v>
      </c>
      <c r="K150" s="2" t="s">
        <v>40</v>
      </c>
      <c r="L150" s="29" t="s">
        <v>39</v>
      </c>
      <c r="M150" s="1" t="s">
        <v>32</v>
      </c>
    </row>
    <row r="151" spans="2:13" x14ac:dyDescent="0.35">
      <c r="B151" s="2" t="s">
        <v>478</v>
      </c>
      <c r="C151" s="2" t="s">
        <v>60</v>
      </c>
      <c r="D151" s="2" t="s">
        <v>234</v>
      </c>
      <c r="E151" s="2" t="s">
        <v>118</v>
      </c>
      <c r="F151" s="2" t="s">
        <v>479</v>
      </c>
      <c r="G151" s="1">
        <v>1</v>
      </c>
      <c r="H151" s="3">
        <v>42566.707638888904</v>
      </c>
      <c r="I151" s="2" t="s">
        <v>40</v>
      </c>
      <c r="J151" s="3">
        <v>46376.707638888904</v>
      </c>
      <c r="K151" s="2" t="s">
        <v>37</v>
      </c>
      <c r="L151" s="29" t="s">
        <v>39</v>
      </c>
      <c r="M151" s="1" t="s">
        <v>32</v>
      </c>
    </row>
    <row r="152" spans="2:13" x14ac:dyDescent="0.35">
      <c r="B152" s="2" t="s">
        <v>480</v>
      </c>
      <c r="C152" s="2" t="s">
        <v>61</v>
      </c>
      <c r="D152" s="2" t="s">
        <v>481</v>
      </c>
      <c r="E152" s="2" t="s">
        <v>482</v>
      </c>
      <c r="F152" s="2" t="s">
        <v>483</v>
      </c>
      <c r="G152" s="1">
        <v>1</v>
      </c>
      <c r="H152" s="3">
        <v>42768.383333333302</v>
      </c>
      <c r="I152" s="2" t="s">
        <v>37</v>
      </c>
      <c r="J152" s="3">
        <v>44384.383333333302</v>
      </c>
      <c r="K152" s="2" t="s">
        <v>38</v>
      </c>
      <c r="L152" s="29" t="s">
        <v>39</v>
      </c>
      <c r="M152" s="1" t="s">
        <v>32</v>
      </c>
    </row>
    <row r="153" spans="2:13" x14ac:dyDescent="0.35">
      <c r="B153" s="2" t="s">
        <v>484</v>
      </c>
      <c r="C153" s="2" t="s">
        <v>61</v>
      </c>
      <c r="D153" s="2" t="s">
        <v>241</v>
      </c>
      <c r="E153" s="2" t="s">
        <v>94</v>
      </c>
      <c r="F153" s="2" t="s">
        <v>485</v>
      </c>
      <c r="G153" s="1">
        <v>1</v>
      </c>
      <c r="H153" s="3">
        <v>43356.434027777803</v>
      </c>
      <c r="I153" s="2" t="s">
        <v>38</v>
      </c>
      <c r="J153" s="3">
        <v>44610.434027777803</v>
      </c>
      <c r="K153" s="2" t="s">
        <v>41</v>
      </c>
      <c r="L153" s="29" t="s">
        <v>39</v>
      </c>
      <c r="M153" s="1" t="s">
        <v>32</v>
      </c>
    </row>
    <row r="154" spans="2:13" x14ac:dyDescent="0.35">
      <c r="B154" s="2" t="s">
        <v>486</v>
      </c>
      <c r="C154" s="2" t="s">
        <v>61</v>
      </c>
      <c r="D154" s="2" t="s">
        <v>244</v>
      </c>
      <c r="E154" s="2" t="s">
        <v>98</v>
      </c>
      <c r="F154" s="2" t="s">
        <v>487</v>
      </c>
      <c r="G154" s="1">
        <v>1</v>
      </c>
      <c r="H154" s="3">
        <v>43579.484722222202</v>
      </c>
      <c r="I154" s="2" t="s">
        <v>41</v>
      </c>
      <c r="J154" s="3">
        <v>45174.484722222202</v>
      </c>
      <c r="K154" s="2" t="s">
        <v>40</v>
      </c>
      <c r="L154" s="29" t="s">
        <v>39</v>
      </c>
      <c r="M154" s="1" t="s">
        <v>32</v>
      </c>
    </row>
    <row r="155" spans="2:13" x14ac:dyDescent="0.35">
      <c r="B155" s="2" t="s">
        <v>488</v>
      </c>
      <c r="C155" s="2" t="s">
        <v>61</v>
      </c>
      <c r="D155" s="2" t="s">
        <v>247</v>
      </c>
      <c r="E155" s="2" t="s">
        <v>102</v>
      </c>
      <c r="F155" s="2" t="s">
        <v>489</v>
      </c>
      <c r="G155" s="1">
        <v>1</v>
      </c>
      <c r="H155" s="3">
        <v>44146.535416666702</v>
      </c>
      <c r="I155" s="2" t="s">
        <v>40</v>
      </c>
      <c r="J155" s="3">
        <v>45398.535416666702</v>
      </c>
      <c r="K155" s="2" t="s">
        <v>37</v>
      </c>
      <c r="L155" s="29" t="s">
        <v>39</v>
      </c>
      <c r="M155" s="1" t="s">
        <v>32</v>
      </c>
    </row>
    <row r="156" spans="2:13" x14ac:dyDescent="0.35">
      <c r="B156" s="2" t="s">
        <v>490</v>
      </c>
      <c r="C156" s="2" t="s">
        <v>62</v>
      </c>
      <c r="D156" s="2" t="s">
        <v>250</v>
      </c>
      <c r="E156" s="2" t="s">
        <v>135</v>
      </c>
      <c r="F156" s="2" t="s">
        <v>491</v>
      </c>
      <c r="G156" s="1">
        <v>1</v>
      </c>
      <c r="H156" s="3">
        <v>44369.5444444444</v>
      </c>
      <c r="I156" s="2" t="s">
        <v>37</v>
      </c>
      <c r="J156" s="3">
        <v>45964.5444444444</v>
      </c>
      <c r="K156" s="2" t="s">
        <v>38</v>
      </c>
      <c r="L156" s="29" t="s">
        <v>39</v>
      </c>
      <c r="M156" s="1" t="s">
        <v>32</v>
      </c>
    </row>
    <row r="157" spans="2:13" x14ac:dyDescent="0.35">
      <c r="B157" s="2" t="s">
        <v>492</v>
      </c>
      <c r="C157" s="2" t="s">
        <v>62</v>
      </c>
      <c r="D157" s="2" t="s">
        <v>493</v>
      </c>
      <c r="E157" s="2" t="s">
        <v>494</v>
      </c>
      <c r="F157" s="2" t="s">
        <v>495</v>
      </c>
      <c r="G157" s="1">
        <v>0</v>
      </c>
      <c r="H157" s="3">
        <v>44570.595138888901</v>
      </c>
      <c r="I157" s="2" t="s">
        <v>38</v>
      </c>
      <c r="J157" s="3">
        <v>46187.595138888901</v>
      </c>
      <c r="K157" s="2" t="s">
        <v>41</v>
      </c>
      <c r="L157" s="29" t="s">
        <v>39</v>
      </c>
      <c r="M157" s="1" t="s">
        <v>32</v>
      </c>
    </row>
    <row r="158" spans="2:13" x14ac:dyDescent="0.35">
      <c r="B158" s="2" t="s">
        <v>496</v>
      </c>
      <c r="C158" s="2" t="s">
        <v>62</v>
      </c>
      <c r="D158" s="2" t="s">
        <v>89</v>
      </c>
      <c r="E158" s="2" t="s">
        <v>114</v>
      </c>
      <c r="F158" s="2" t="s">
        <v>497</v>
      </c>
      <c r="G158" s="1">
        <v>1</v>
      </c>
      <c r="H158" s="3">
        <v>45158.645833333299</v>
      </c>
      <c r="I158" s="2" t="s">
        <v>41</v>
      </c>
      <c r="J158" s="3">
        <v>45338.645833333299</v>
      </c>
      <c r="K158" s="2" t="s">
        <v>40</v>
      </c>
      <c r="L158" s="29" t="s">
        <v>39</v>
      </c>
      <c r="M158" s="1" t="s">
        <v>32</v>
      </c>
    </row>
    <row r="159" spans="2:13" x14ac:dyDescent="0.35">
      <c r="B159" s="2" t="s">
        <v>498</v>
      </c>
      <c r="C159" s="2" t="s">
        <v>62</v>
      </c>
      <c r="D159" s="2" t="s">
        <v>93</v>
      </c>
      <c r="E159" s="2" t="s">
        <v>118</v>
      </c>
      <c r="F159" s="2" t="s">
        <v>499</v>
      </c>
      <c r="G159" s="1">
        <v>1</v>
      </c>
      <c r="H159" s="3">
        <v>45358.6965277778</v>
      </c>
      <c r="I159" s="2" t="s">
        <v>40</v>
      </c>
      <c r="J159" s="3">
        <v>45516.6965277778</v>
      </c>
      <c r="K159" s="2" t="s">
        <v>37</v>
      </c>
      <c r="L159" s="29" t="s">
        <v>39</v>
      </c>
      <c r="M159" s="1" t="s">
        <v>32</v>
      </c>
    </row>
    <row r="160" spans="2:13" x14ac:dyDescent="0.35">
      <c r="B160" s="2" t="s">
        <v>500</v>
      </c>
      <c r="C160" s="2" t="s">
        <v>62</v>
      </c>
      <c r="D160" s="2" t="s">
        <v>97</v>
      </c>
      <c r="E160" s="2" t="s">
        <v>90</v>
      </c>
      <c r="F160" s="2" t="s">
        <v>501</v>
      </c>
      <c r="G160" s="1">
        <v>1</v>
      </c>
      <c r="H160" s="3">
        <v>45948.413888888899</v>
      </c>
      <c r="I160" s="2" t="s">
        <v>37</v>
      </c>
      <c r="J160" s="3">
        <v>46128.413888888899</v>
      </c>
      <c r="K160" s="2" t="s">
        <v>38</v>
      </c>
      <c r="L160" s="29" t="s">
        <v>39</v>
      </c>
      <c r="M160" s="1" t="s">
        <v>32</v>
      </c>
    </row>
    <row r="161" spans="2:13" x14ac:dyDescent="0.35">
      <c r="B161" s="2" t="s">
        <v>502</v>
      </c>
      <c r="C161" s="2" t="s">
        <v>62</v>
      </c>
      <c r="D161" s="2" t="s">
        <v>101</v>
      </c>
      <c r="E161" s="2" t="s">
        <v>94</v>
      </c>
      <c r="F161" s="2" t="s">
        <v>503</v>
      </c>
      <c r="G161" s="1">
        <v>1</v>
      </c>
      <c r="H161" s="3">
        <v>46147.422916666699</v>
      </c>
      <c r="I161" s="2" t="s">
        <v>38</v>
      </c>
      <c r="J161" s="3">
        <v>46305.422916666699</v>
      </c>
      <c r="K161" s="2" t="s">
        <v>41</v>
      </c>
      <c r="L161" s="29" t="s">
        <v>39</v>
      </c>
      <c r="M161" s="1" t="s">
        <v>32</v>
      </c>
    </row>
    <row r="162" spans="2:13" x14ac:dyDescent="0.35">
      <c r="B162" s="2" t="s">
        <v>504</v>
      </c>
      <c r="C162" s="2" t="s">
        <v>63</v>
      </c>
      <c r="D162" s="2" t="s">
        <v>505</v>
      </c>
      <c r="E162" s="2" t="s">
        <v>506</v>
      </c>
      <c r="F162" s="2" t="s">
        <v>507</v>
      </c>
      <c r="G162" s="1">
        <v>1</v>
      </c>
      <c r="H162" s="3">
        <v>42720.473611111098</v>
      </c>
      <c r="I162" s="2" t="s">
        <v>41</v>
      </c>
      <c r="J162" s="3">
        <v>45798.473611111098</v>
      </c>
      <c r="K162" s="2" t="s">
        <v>40</v>
      </c>
      <c r="L162" s="29" t="s">
        <v>39</v>
      </c>
      <c r="M162" s="1" t="s">
        <v>32</v>
      </c>
    </row>
    <row r="163" spans="2:13" x14ac:dyDescent="0.35">
      <c r="B163" s="2" t="s">
        <v>508</v>
      </c>
      <c r="C163" s="2" t="s">
        <v>63</v>
      </c>
      <c r="D163" s="2" t="s">
        <v>109</v>
      </c>
      <c r="E163" s="2" t="s">
        <v>102</v>
      </c>
      <c r="F163" s="2" t="s">
        <v>509</v>
      </c>
      <c r="G163" s="1">
        <v>1</v>
      </c>
      <c r="H163" s="3">
        <v>42919.524305555598</v>
      </c>
      <c r="I163" s="2" t="s">
        <v>40</v>
      </c>
      <c r="J163" s="3">
        <v>46364.524305555598</v>
      </c>
      <c r="K163" s="2" t="s">
        <v>37</v>
      </c>
      <c r="L163" s="29" t="s">
        <v>39</v>
      </c>
      <c r="M163" s="1" t="s">
        <v>32</v>
      </c>
    </row>
    <row r="164" spans="2:13" x14ac:dyDescent="0.35">
      <c r="B164" s="2" t="s">
        <v>510</v>
      </c>
      <c r="C164" s="2" t="s">
        <v>63</v>
      </c>
      <c r="D164" s="2" t="s">
        <v>113</v>
      </c>
      <c r="E164" s="2" t="s">
        <v>135</v>
      </c>
      <c r="F164" s="2" t="s">
        <v>511</v>
      </c>
      <c r="G164" s="1">
        <v>1</v>
      </c>
      <c r="H164" s="3">
        <v>43145.574999999997</v>
      </c>
      <c r="I164" s="2" t="s">
        <v>37</v>
      </c>
      <c r="J164" s="3">
        <v>44396.574999999997</v>
      </c>
      <c r="K164" s="2" t="s">
        <v>38</v>
      </c>
      <c r="L164" s="29" t="s">
        <v>39</v>
      </c>
      <c r="M164" s="1" t="s">
        <v>32</v>
      </c>
    </row>
    <row r="165" spans="2:13" x14ac:dyDescent="0.35">
      <c r="B165" s="2" t="s">
        <v>512</v>
      </c>
      <c r="C165" s="2" t="s">
        <v>63</v>
      </c>
      <c r="D165" s="2" t="s">
        <v>117</v>
      </c>
      <c r="E165" s="2" t="s">
        <v>110</v>
      </c>
      <c r="F165" s="2" t="s">
        <v>513</v>
      </c>
      <c r="G165" s="1">
        <v>1</v>
      </c>
      <c r="H165" s="3">
        <v>43709.584027777797</v>
      </c>
      <c r="I165" s="2" t="s">
        <v>38</v>
      </c>
      <c r="J165" s="3">
        <v>44598.584027777797</v>
      </c>
      <c r="K165" s="2" t="s">
        <v>41</v>
      </c>
      <c r="L165" s="29" t="s">
        <v>39</v>
      </c>
      <c r="M165" s="1" t="s">
        <v>32</v>
      </c>
    </row>
    <row r="166" spans="2:13" x14ac:dyDescent="0.35">
      <c r="B166" s="2" t="s">
        <v>514</v>
      </c>
      <c r="C166" s="2" t="s">
        <v>63</v>
      </c>
      <c r="D166" s="2" t="s">
        <v>121</v>
      </c>
      <c r="E166" s="2" t="s">
        <v>114</v>
      </c>
      <c r="F166" s="2" t="s">
        <v>515</v>
      </c>
      <c r="G166" s="1">
        <v>1</v>
      </c>
      <c r="H166" s="3">
        <v>43933.634722222203</v>
      </c>
      <c r="I166" s="2" t="s">
        <v>41</v>
      </c>
      <c r="J166" s="3">
        <v>45186.634722222203</v>
      </c>
      <c r="K166" s="2" t="s">
        <v>40</v>
      </c>
      <c r="L166" s="29" t="s">
        <v>39</v>
      </c>
      <c r="M166" s="1" t="s">
        <v>32</v>
      </c>
    </row>
    <row r="167" spans="2:13" x14ac:dyDescent="0.35">
      <c r="B167" s="2" t="s">
        <v>516</v>
      </c>
      <c r="C167" s="2" t="s">
        <v>64</v>
      </c>
      <c r="D167" s="2" t="s">
        <v>517</v>
      </c>
      <c r="E167" s="2" t="s">
        <v>518</v>
      </c>
      <c r="F167" s="2" t="s">
        <v>519</v>
      </c>
      <c r="G167" s="1">
        <v>0</v>
      </c>
      <c r="H167" s="3">
        <v>44523.685416666704</v>
      </c>
      <c r="I167" s="2" t="s">
        <v>40</v>
      </c>
      <c r="J167" s="3">
        <v>45386.685416666704</v>
      </c>
      <c r="K167" s="2" t="s">
        <v>37</v>
      </c>
      <c r="L167" s="29" t="s">
        <v>39</v>
      </c>
      <c r="M167" s="1" t="s">
        <v>32</v>
      </c>
    </row>
    <row r="168" spans="2:13" x14ac:dyDescent="0.35">
      <c r="B168" s="2" t="s">
        <v>520</v>
      </c>
      <c r="C168" s="2" t="s">
        <v>64</v>
      </c>
      <c r="D168" s="2" t="s">
        <v>128</v>
      </c>
      <c r="E168" s="2" t="s">
        <v>90</v>
      </c>
      <c r="F168" s="2" t="s">
        <v>521</v>
      </c>
      <c r="G168" s="1">
        <v>1</v>
      </c>
      <c r="H168" s="3">
        <v>44722.402777777803</v>
      </c>
      <c r="I168" s="2" t="s">
        <v>37</v>
      </c>
      <c r="J168" s="3">
        <v>45976.402777777803</v>
      </c>
      <c r="K168" s="2" t="s">
        <v>38</v>
      </c>
      <c r="L168" s="29" t="s">
        <v>39</v>
      </c>
      <c r="M168" s="1" t="s">
        <v>32</v>
      </c>
    </row>
    <row r="169" spans="2:13" x14ac:dyDescent="0.35">
      <c r="B169" s="2" t="s">
        <v>522</v>
      </c>
      <c r="C169" s="2" t="s">
        <v>64</v>
      </c>
      <c r="D169" s="2" t="s">
        <v>131</v>
      </c>
      <c r="E169" s="2" t="s">
        <v>94</v>
      </c>
      <c r="F169" s="2" t="s">
        <v>523</v>
      </c>
      <c r="G169" s="1">
        <v>1</v>
      </c>
      <c r="H169" s="3">
        <v>44947.453472222202</v>
      </c>
      <c r="I169" s="2" t="s">
        <v>38</v>
      </c>
      <c r="J169" s="3">
        <v>46175.453472222202</v>
      </c>
      <c r="K169" s="2" t="s">
        <v>41</v>
      </c>
      <c r="L169" s="29" t="s">
        <v>39</v>
      </c>
      <c r="M169" s="1" t="s">
        <v>32</v>
      </c>
    </row>
    <row r="170" spans="2:13" x14ac:dyDescent="0.35">
      <c r="B170" s="2" t="s">
        <v>524</v>
      </c>
      <c r="C170" s="2" t="s">
        <v>64</v>
      </c>
      <c r="D170" s="2" t="s">
        <v>134</v>
      </c>
      <c r="E170" s="2" t="s">
        <v>98</v>
      </c>
      <c r="F170" s="2" t="s">
        <v>525</v>
      </c>
      <c r="G170" s="1">
        <v>1</v>
      </c>
      <c r="H170" s="3">
        <v>45512.462500000001</v>
      </c>
      <c r="I170" s="2" t="s">
        <v>41</v>
      </c>
      <c r="J170" s="3">
        <v>45692.462500000001</v>
      </c>
      <c r="K170" s="2" t="s">
        <v>40</v>
      </c>
      <c r="L170" s="29" t="s">
        <v>39</v>
      </c>
      <c r="M170" s="1" t="s">
        <v>32</v>
      </c>
    </row>
    <row r="171" spans="2:13" x14ac:dyDescent="0.35">
      <c r="B171" s="2" t="s">
        <v>526</v>
      </c>
      <c r="C171" s="2" t="s">
        <v>64</v>
      </c>
      <c r="D171" s="2" t="s">
        <v>138</v>
      </c>
      <c r="E171" s="2" t="s">
        <v>102</v>
      </c>
      <c r="F171" s="2" t="s">
        <v>527</v>
      </c>
      <c r="G171" s="1">
        <v>1</v>
      </c>
      <c r="H171" s="3">
        <v>45735.5131944444</v>
      </c>
      <c r="I171" s="2" t="s">
        <v>40</v>
      </c>
      <c r="J171" s="3">
        <v>45893.5131944444</v>
      </c>
      <c r="K171" s="2" t="s">
        <v>37</v>
      </c>
      <c r="L171" s="29" t="s">
        <v>39</v>
      </c>
      <c r="M171" s="1" t="s">
        <v>32</v>
      </c>
    </row>
    <row r="172" spans="2:13" x14ac:dyDescent="0.35">
      <c r="B172" s="2" t="s">
        <v>528</v>
      </c>
      <c r="C172" s="2" t="s">
        <v>64</v>
      </c>
      <c r="D172" s="2" t="s">
        <v>529</v>
      </c>
      <c r="E172" s="2" t="s">
        <v>530</v>
      </c>
      <c r="F172" s="2" t="s">
        <v>531</v>
      </c>
      <c r="G172" s="1">
        <v>1</v>
      </c>
      <c r="H172" s="3">
        <v>46301.563888888901</v>
      </c>
      <c r="I172" s="2" t="s">
        <v>37</v>
      </c>
      <c r="J172" s="3">
        <v>46481.563888888901</v>
      </c>
      <c r="K172" s="2" t="s">
        <v>38</v>
      </c>
      <c r="L172" s="29" t="s">
        <v>39</v>
      </c>
      <c r="M172" s="1" t="s">
        <v>32</v>
      </c>
    </row>
    <row r="173" spans="2:13" x14ac:dyDescent="0.35">
      <c r="B173" s="2" t="s">
        <v>532</v>
      </c>
      <c r="C173" s="2" t="s">
        <v>64</v>
      </c>
      <c r="D173" s="2" t="s">
        <v>145</v>
      </c>
      <c r="E173" s="2" t="s">
        <v>110</v>
      </c>
      <c r="F173" s="2" t="s">
        <v>533</v>
      </c>
      <c r="G173" s="1">
        <v>1</v>
      </c>
      <c r="H173" s="3">
        <v>42507.614583333299</v>
      </c>
      <c r="I173" s="2" t="s">
        <v>38</v>
      </c>
      <c r="J173" s="3">
        <v>45587.614583333299</v>
      </c>
      <c r="K173" s="2" t="s">
        <v>41</v>
      </c>
      <c r="L173" s="29" t="s">
        <v>39</v>
      </c>
      <c r="M173" s="1" t="s">
        <v>32</v>
      </c>
    </row>
    <row r="174" spans="2:13" x14ac:dyDescent="0.35">
      <c r="B174" s="2" t="s">
        <v>534</v>
      </c>
      <c r="C174" s="2" t="s">
        <v>64</v>
      </c>
      <c r="D174" s="2" t="s">
        <v>148</v>
      </c>
      <c r="E174" s="2" t="s">
        <v>114</v>
      </c>
      <c r="F174" s="2" t="s">
        <v>535</v>
      </c>
      <c r="G174" s="1">
        <v>1</v>
      </c>
      <c r="H174" s="3">
        <v>43073.6652777778</v>
      </c>
      <c r="I174" s="2" t="s">
        <v>41</v>
      </c>
      <c r="J174" s="3">
        <v>45786.6652777778</v>
      </c>
      <c r="K174" s="2" t="s">
        <v>40</v>
      </c>
      <c r="L174" s="29" t="s">
        <v>39</v>
      </c>
      <c r="M174" s="1" t="s">
        <v>32</v>
      </c>
    </row>
    <row r="175" spans="2:13" x14ac:dyDescent="0.35">
      <c r="B175" s="2" t="s">
        <v>536</v>
      </c>
      <c r="C175" s="2" t="s">
        <v>65</v>
      </c>
      <c r="D175" s="2" t="s">
        <v>151</v>
      </c>
      <c r="E175" s="2" t="s">
        <v>118</v>
      </c>
      <c r="F175" s="2" t="s">
        <v>537</v>
      </c>
      <c r="G175" s="1">
        <v>1</v>
      </c>
      <c r="H175" s="3">
        <v>43296.6743055556</v>
      </c>
      <c r="I175" s="2" t="s">
        <v>40</v>
      </c>
      <c r="J175" s="3">
        <v>46376.6743055556</v>
      </c>
      <c r="K175" s="2" t="s">
        <v>37</v>
      </c>
      <c r="L175" s="29" t="s">
        <v>39</v>
      </c>
      <c r="M175" s="1" t="s">
        <v>32</v>
      </c>
    </row>
    <row r="176" spans="2:13" x14ac:dyDescent="0.35">
      <c r="B176" s="2" t="s">
        <v>538</v>
      </c>
      <c r="C176" s="2" t="s">
        <v>65</v>
      </c>
      <c r="D176" s="2" t="s">
        <v>154</v>
      </c>
      <c r="E176" s="2" t="s">
        <v>90</v>
      </c>
      <c r="F176" s="2" t="s">
        <v>539</v>
      </c>
      <c r="G176" s="1">
        <v>1</v>
      </c>
      <c r="H176" s="3">
        <v>43498.391666666699</v>
      </c>
      <c r="I176" s="2" t="s">
        <v>37</v>
      </c>
      <c r="J176" s="3">
        <v>44384.391666666699</v>
      </c>
      <c r="K176" s="2" t="s">
        <v>38</v>
      </c>
      <c r="L176" s="29" t="s">
        <v>39</v>
      </c>
      <c r="M176" s="1" t="s">
        <v>32</v>
      </c>
    </row>
    <row r="177" spans="2:13" x14ac:dyDescent="0.35">
      <c r="B177" s="2" t="s">
        <v>540</v>
      </c>
      <c r="C177" s="2" t="s">
        <v>65</v>
      </c>
      <c r="D177" s="2" t="s">
        <v>541</v>
      </c>
      <c r="E177" s="2" t="s">
        <v>542</v>
      </c>
      <c r="F177" s="2" t="s">
        <v>543</v>
      </c>
      <c r="G177" s="1">
        <v>0</v>
      </c>
      <c r="H177" s="3">
        <v>44087.442361111098</v>
      </c>
      <c r="I177" s="2" t="s">
        <v>38</v>
      </c>
      <c r="J177" s="3">
        <v>44610.442361111098</v>
      </c>
      <c r="K177" s="2" t="s">
        <v>41</v>
      </c>
      <c r="L177" s="29" t="s">
        <v>39</v>
      </c>
      <c r="M177" s="1" t="s">
        <v>32</v>
      </c>
    </row>
    <row r="178" spans="2:13" x14ac:dyDescent="0.35">
      <c r="B178" s="2" t="s">
        <v>544</v>
      </c>
      <c r="C178" s="2" t="s">
        <v>65</v>
      </c>
      <c r="D178" s="2" t="s">
        <v>161</v>
      </c>
      <c r="E178" s="2" t="s">
        <v>98</v>
      </c>
      <c r="F178" s="2" t="s">
        <v>545</v>
      </c>
      <c r="G178" s="1">
        <v>1</v>
      </c>
      <c r="H178" s="3">
        <v>44310.493055555598</v>
      </c>
      <c r="I178" s="2" t="s">
        <v>41</v>
      </c>
      <c r="J178" s="3">
        <v>45174.493055555598</v>
      </c>
      <c r="K178" s="2" t="s">
        <v>40</v>
      </c>
      <c r="L178" s="29" t="s">
        <v>39</v>
      </c>
      <c r="M178" s="1" t="s">
        <v>32</v>
      </c>
    </row>
    <row r="179" spans="2:13" x14ac:dyDescent="0.35">
      <c r="B179" s="2" t="s">
        <v>546</v>
      </c>
      <c r="C179" s="2" t="s">
        <v>65</v>
      </c>
      <c r="D179" s="2" t="s">
        <v>164</v>
      </c>
      <c r="E179" s="2" t="s">
        <v>102</v>
      </c>
      <c r="F179" s="2" t="s">
        <v>547</v>
      </c>
      <c r="G179" s="1">
        <v>1</v>
      </c>
      <c r="H179" s="3">
        <v>44876.502083333296</v>
      </c>
      <c r="I179" s="2" t="s">
        <v>40</v>
      </c>
      <c r="J179" s="3">
        <v>45398.502083333296</v>
      </c>
      <c r="K179" s="2" t="s">
        <v>37</v>
      </c>
      <c r="L179" s="29" t="s">
        <v>39</v>
      </c>
      <c r="M179" s="1" t="s">
        <v>32</v>
      </c>
    </row>
    <row r="180" spans="2:13" x14ac:dyDescent="0.35">
      <c r="B180" s="2" t="s">
        <v>548</v>
      </c>
      <c r="C180" s="2" t="s">
        <v>66</v>
      </c>
      <c r="D180" s="2" t="s">
        <v>167</v>
      </c>
      <c r="E180" s="2" t="s">
        <v>135</v>
      </c>
      <c r="F180" s="2" t="s">
        <v>549</v>
      </c>
      <c r="G180" s="1">
        <v>1</v>
      </c>
      <c r="H180" s="3">
        <v>45099.552777777797</v>
      </c>
      <c r="I180" s="2" t="s">
        <v>37</v>
      </c>
      <c r="J180" s="3">
        <v>45964.552777777797</v>
      </c>
      <c r="K180" s="2" t="s">
        <v>38</v>
      </c>
      <c r="L180" s="29" t="s">
        <v>39</v>
      </c>
      <c r="M180" s="1" t="s">
        <v>32</v>
      </c>
    </row>
    <row r="181" spans="2:13" x14ac:dyDescent="0.35">
      <c r="B181" s="2" t="s">
        <v>550</v>
      </c>
      <c r="C181" s="2" t="s">
        <v>66</v>
      </c>
      <c r="D181" s="2" t="s">
        <v>170</v>
      </c>
      <c r="E181" s="2" t="s">
        <v>110</v>
      </c>
      <c r="F181" s="2" t="s">
        <v>551</v>
      </c>
      <c r="G181" s="1">
        <v>1</v>
      </c>
      <c r="H181" s="3">
        <v>45300.603472222203</v>
      </c>
      <c r="I181" s="2" t="s">
        <v>38</v>
      </c>
      <c r="J181" s="3">
        <v>46187.603472222203</v>
      </c>
      <c r="K181" s="2" t="s">
        <v>41</v>
      </c>
      <c r="L181" s="29" t="s">
        <v>39</v>
      </c>
      <c r="M181" s="1" t="s">
        <v>32</v>
      </c>
    </row>
    <row r="182" spans="2:13" x14ac:dyDescent="0.35">
      <c r="B182" s="2" t="s">
        <v>552</v>
      </c>
      <c r="C182" s="2" t="s">
        <v>66</v>
      </c>
      <c r="D182" s="2" t="s">
        <v>553</v>
      </c>
      <c r="E182" s="2" t="s">
        <v>554</v>
      </c>
      <c r="F182" s="2" t="s">
        <v>555</v>
      </c>
      <c r="G182" s="1">
        <v>1</v>
      </c>
      <c r="H182" s="3">
        <v>45889.654166666704</v>
      </c>
      <c r="I182" s="2" t="s">
        <v>41</v>
      </c>
      <c r="J182" s="3">
        <v>46069.654166666704</v>
      </c>
      <c r="K182" s="2" t="s">
        <v>40</v>
      </c>
      <c r="L182" s="29" t="s">
        <v>39</v>
      </c>
      <c r="M182" s="1" t="s">
        <v>32</v>
      </c>
    </row>
    <row r="183" spans="2:13" x14ac:dyDescent="0.35">
      <c r="B183" s="2" t="s">
        <v>556</v>
      </c>
      <c r="C183" s="2" t="s">
        <v>67</v>
      </c>
      <c r="D183" s="2" t="s">
        <v>177</v>
      </c>
      <c r="E183" s="2" t="s">
        <v>118</v>
      </c>
      <c r="F183" s="2" t="s">
        <v>557</v>
      </c>
      <c r="G183" s="1">
        <v>1</v>
      </c>
      <c r="H183" s="3">
        <v>46088.704861111102</v>
      </c>
      <c r="I183" s="2" t="s">
        <v>40</v>
      </c>
      <c r="J183" s="3">
        <v>46246.704861111102</v>
      </c>
      <c r="K183" s="2" t="s">
        <v>37</v>
      </c>
      <c r="L183" s="29" t="s">
        <v>39</v>
      </c>
      <c r="M183" s="1" t="s">
        <v>32</v>
      </c>
    </row>
    <row r="184" spans="2:13" x14ac:dyDescent="0.35">
      <c r="B184" s="2" t="s">
        <v>558</v>
      </c>
      <c r="C184" s="2" t="s">
        <v>67</v>
      </c>
      <c r="D184" s="2" t="s">
        <v>180</v>
      </c>
      <c r="E184" s="2" t="s">
        <v>90</v>
      </c>
      <c r="F184" s="2" t="s">
        <v>559</v>
      </c>
      <c r="G184" s="1">
        <v>1</v>
      </c>
      <c r="H184" s="3">
        <v>42661.380555555603</v>
      </c>
      <c r="I184" s="2" t="s">
        <v>37</v>
      </c>
      <c r="J184" s="3">
        <v>45008.380555555603</v>
      </c>
      <c r="K184" s="2" t="s">
        <v>38</v>
      </c>
      <c r="L184" s="29" t="s">
        <v>39</v>
      </c>
      <c r="M184" s="1" t="s">
        <v>32</v>
      </c>
    </row>
    <row r="185" spans="2:13" x14ac:dyDescent="0.35">
      <c r="B185" s="2" t="s">
        <v>560</v>
      </c>
      <c r="C185" s="2" t="s">
        <v>67</v>
      </c>
      <c r="D185" s="2" t="s">
        <v>183</v>
      </c>
      <c r="E185" s="2" t="s">
        <v>94</v>
      </c>
      <c r="F185" s="2" t="s">
        <v>561</v>
      </c>
      <c r="G185" s="1">
        <v>1</v>
      </c>
      <c r="H185" s="3">
        <v>42860.431250000001</v>
      </c>
      <c r="I185" s="2" t="s">
        <v>38</v>
      </c>
      <c r="J185" s="3">
        <v>45575.431250000001</v>
      </c>
      <c r="K185" s="2" t="s">
        <v>41</v>
      </c>
      <c r="L185" s="29" t="s">
        <v>39</v>
      </c>
      <c r="M185" s="1" t="s">
        <v>32</v>
      </c>
    </row>
    <row r="186" spans="2:13" x14ac:dyDescent="0.35">
      <c r="B186" s="2" t="s">
        <v>562</v>
      </c>
      <c r="C186" s="2" t="s">
        <v>67</v>
      </c>
      <c r="D186" s="2" t="s">
        <v>186</v>
      </c>
      <c r="E186" s="2" t="s">
        <v>98</v>
      </c>
      <c r="F186" s="2" t="s">
        <v>563</v>
      </c>
      <c r="G186" s="1">
        <v>1</v>
      </c>
      <c r="H186" s="3">
        <v>43450.4819444444</v>
      </c>
      <c r="I186" s="2" t="s">
        <v>41</v>
      </c>
      <c r="J186" s="3">
        <v>45798.4819444444</v>
      </c>
      <c r="K186" s="2" t="s">
        <v>40</v>
      </c>
      <c r="L186" s="29" t="s">
        <v>39</v>
      </c>
      <c r="M186" s="1" t="s">
        <v>32</v>
      </c>
    </row>
    <row r="187" spans="2:13" x14ac:dyDescent="0.35">
      <c r="B187" s="2" t="s">
        <v>564</v>
      </c>
      <c r="C187" s="2" t="s">
        <v>67</v>
      </c>
      <c r="D187" s="2" t="s">
        <v>565</v>
      </c>
      <c r="E187" s="2" t="s">
        <v>566</v>
      </c>
      <c r="F187" s="2" t="s">
        <v>567</v>
      </c>
      <c r="G187" s="1">
        <v>0</v>
      </c>
      <c r="H187" s="3">
        <v>43649.532638888901</v>
      </c>
      <c r="I187" s="2" t="s">
        <v>40</v>
      </c>
      <c r="J187" s="3">
        <v>46364.532638888901</v>
      </c>
      <c r="K187" s="2" t="s">
        <v>37</v>
      </c>
      <c r="L187" s="29" t="s">
        <v>39</v>
      </c>
      <c r="M187" s="1" t="s">
        <v>32</v>
      </c>
    </row>
    <row r="188" spans="2:13" x14ac:dyDescent="0.35">
      <c r="B188" s="2" t="s">
        <v>568</v>
      </c>
      <c r="C188" s="2" t="s">
        <v>67</v>
      </c>
      <c r="D188" s="2" t="s">
        <v>193</v>
      </c>
      <c r="E188" s="2" t="s">
        <v>135</v>
      </c>
      <c r="F188" s="2" t="s">
        <v>569</v>
      </c>
      <c r="G188" s="1">
        <v>1</v>
      </c>
      <c r="H188" s="3">
        <v>43875.541666666701</v>
      </c>
      <c r="I188" s="2" t="s">
        <v>37</v>
      </c>
      <c r="J188" s="3">
        <v>44396.541666666701</v>
      </c>
      <c r="K188" s="2" t="s">
        <v>38</v>
      </c>
      <c r="L188" s="29" t="s">
        <v>39</v>
      </c>
      <c r="M188" s="1" t="s">
        <v>32</v>
      </c>
    </row>
    <row r="189" spans="2:13" x14ac:dyDescent="0.35">
      <c r="B189" s="2" t="s">
        <v>570</v>
      </c>
      <c r="C189" s="2" t="s">
        <v>68</v>
      </c>
      <c r="D189" s="2" t="s">
        <v>196</v>
      </c>
      <c r="E189" s="2" t="s">
        <v>110</v>
      </c>
      <c r="F189" s="2" t="s">
        <v>571</v>
      </c>
      <c r="G189" s="1">
        <v>1</v>
      </c>
      <c r="H189" s="3">
        <v>44440.592361111099</v>
      </c>
      <c r="I189" s="2" t="s">
        <v>38</v>
      </c>
      <c r="J189" s="3">
        <v>44598.592361111099</v>
      </c>
      <c r="K189" s="2" t="s">
        <v>41</v>
      </c>
      <c r="L189" s="29" t="s">
        <v>39</v>
      </c>
      <c r="M189" s="1" t="s">
        <v>32</v>
      </c>
    </row>
    <row r="190" spans="2:13" x14ac:dyDescent="0.35">
      <c r="B190" s="2" t="s">
        <v>572</v>
      </c>
      <c r="C190" s="2" t="s">
        <v>68</v>
      </c>
      <c r="D190" s="2" t="s">
        <v>199</v>
      </c>
      <c r="E190" s="2" t="s">
        <v>114</v>
      </c>
      <c r="F190" s="2" t="s">
        <v>573</v>
      </c>
      <c r="G190" s="1">
        <v>1</v>
      </c>
      <c r="H190" s="3">
        <v>44663.6430555556</v>
      </c>
      <c r="I190" s="2" t="s">
        <v>41</v>
      </c>
      <c r="J190" s="3">
        <v>45186.6430555556</v>
      </c>
      <c r="K190" s="2" t="s">
        <v>40</v>
      </c>
      <c r="L190" s="29" t="s">
        <v>39</v>
      </c>
      <c r="M190" s="1" t="s">
        <v>32</v>
      </c>
    </row>
    <row r="191" spans="2:13" x14ac:dyDescent="0.35">
      <c r="B191" s="2" t="s">
        <v>574</v>
      </c>
      <c r="C191" s="2" t="s">
        <v>68</v>
      </c>
      <c r="D191" s="2" t="s">
        <v>202</v>
      </c>
      <c r="E191" s="2" t="s">
        <v>118</v>
      </c>
      <c r="F191" s="2" t="s">
        <v>575</v>
      </c>
      <c r="G191" s="1">
        <v>1</v>
      </c>
      <c r="H191" s="3">
        <v>45253.693749999999</v>
      </c>
      <c r="I191" s="2" t="s">
        <v>40</v>
      </c>
      <c r="J191" s="3">
        <v>45386.693749999999</v>
      </c>
      <c r="K191" s="2" t="s">
        <v>37</v>
      </c>
      <c r="L191" s="29" t="s">
        <v>39</v>
      </c>
      <c r="M191" s="1" t="s">
        <v>32</v>
      </c>
    </row>
    <row r="192" spans="2:13" x14ac:dyDescent="0.35">
      <c r="B192" s="2" t="s">
        <v>576</v>
      </c>
      <c r="C192" s="2" t="s">
        <v>69</v>
      </c>
      <c r="D192" s="2" t="s">
        <v>577</v>
      </c>
      <c r="E192" s="2" t="s">
        <v>578</v>
      </c>
      <c r="F192" s="2" t="s">
        <v>579</v>
      </c>
      <c r="G192" s="1">
        <v>1</v>
      </c>
      <c r="H192" s="3">
        <v>45453.411111111098</v>
      </c>
      <c r="I192" s="2" t="s">
        <v>37</v>
      </c>
      <c r="J192" s="3">
        <v>45976.411111111098</v>
      </c>
      <c r="K192" s="2" t="s">
        <v>38</v>
      </c>
      <c r="L192" s="29" t="s">
        <v>39</v>
      </c>
      <c r="M192" s="1" t="s">
        <v>32</v>
      </c>
    </row>
    <row r="193" spans="2:13" x14ac:dyDescent="0.35">
      <c r="B193" s="2" t="s">
        <v>580</v>
      </c>
      <c r="C193" s="2" t="s">
        <v>69</v>
      </c>
      <c r="D193" s="2" t="s">
        <v>209</v>
      </c>
      <c r="E193" s="2" t="s">
        <v>94</v>
      </c>
      <c r="F193" s="2" t="s">
        <v>581</v>
      </c>
      <c r="G193" s="1">
        <v>1</v>
      </c>
      <c r="H193" s="3">
        <v>45678.420138888898</v>
      </c>
      <c r="I193" s="2" t="s">
        <v>38</v>
      </c>
      <c r="J193" s="3">
        <v>46175.420138888898</v>
      </c>
      <c r="K193" s="2" t="s">
        <v>41</v>
      </c>
      <c r="L193" s="29" t="s">
        <v>39</v>
      </c>
      <c r="M193" s="1" t="s">
        <v>32</v>
      </c>
    </row>
    <row r="194" spans="2:13" x14ac:dyDescent="0.35">
      <c r="B194" s="2" t="s">
        <v>582</v>
      </c>
      <c r="C194" s="2" t="s">
        <v>69</v>
      </c>
      <c r="D194" s="2" t="s">
        <v>212</v>
      </c>
      <c r="E194" s="2" t="s">
        <v>98</v>
      </c>
      <c r="F194" s="2" t="s">
        <v>583</v>
      </c>
      <c r="G194" s="1">
        <v>1</v>
      </c>
      <c r="H194" s="3">
        <v>46242.470833333296</v>
      </c>
      <c r="I194" s="2" t="s">
        <v>41</v>
      </c>
      <c r="J194" s="3">
        <v>46422.470833333296</v>
      </c>
      <c r="K194" s="2" t="s">
        <v>40</v>
      </c>
      <c r="L194" s="29" t="s">
        <v>39</v>
      </c>
      <c r="M194" s="1" t="s">
        <v>32</v>
      </c>
    </row>
    <row r="195" spans="2:13" x14ac:dyDescent="0.35">
      <c r="B195" s="2" t="s">
        <v>584</v>
      </c>
      <c r="C195" s="2" t="s">
        <v>69</v>
      </c>
      <c r="D195" s="2" t="s">
        <v>215</v>
      </c>
      <c r="E195" s="2" t="s">
        <v>102</v>
      </c>
      <c r="F195" s="2" t="s">
        <v>585</v>
      </c>
      <c r="G195" s="1">
        <v>1</v>
      </c>
      <c r="H195" s="3">
        <v>42448.521527777797</v>
      </c>
      <c r="I195" s="2" t="s">
        <v>40</v>
      </c>
      <c r="J195" s="3">
        <v>44797.521527777797</v>
      </c>
      <c r="K195" s="2" t="s">
        <v>37</v>
      </c>
      <c r="L195" s="29" t="s">
        <v>39</v>
      </c>
      <c r="M195" s="1" t="s">
        <v>32</v>
      </c>
    </row>
    <row r="196" spans="2:13" x14ac:dyDescent="0.35">
      <c r="B196" s="2" t="s">
        <v>586</v>
      </c>
      <c r="C196" s="2" t="s">
        <v>69</v>
      </c>
      <c r="D196" s="2" t="s">
        <v>218</v>
      </c>
      <c r="E196" s="2" t="s">
        <v>135</v>
      </c>
      <c r="F196" s="2" t="s">
        <v>587</v>
      </c>
      <c r="G196" s="1">
        <v>1</v>
      </c>
      <c r="H196" s="3">
        <v>43014.572222222203</v>
      </c>
      <c r="I196" s="2" t="s">
        <v>37</v>
      </c>
      <c r="J196" s="3">
        <v>44996.572222222203</v>
      </c>
      <c r="K196" s="2" t="s">
        <v>38</v>
      </c>
      <c r="L196" s="29" t="s">
        <v>39</v>
      </c>
      <c r="M196" s="1" t="s">
        <v>32</v>
      </c>
    </row>
    <row r="197" spans="2:13" x14ac:dyDescent="0.35">
      <c r="B197" s="2" t="s">
        <v>588</v>
      </c>
      <c r="C197" s="2" t="s">
        <v>69</v>
      </c>
      <c r="D197" s="2" t="s">
        <v>589</v>
      </c>
      <c r="E197" s="2" t="s">
        <v>590</v>
      </c>
      <c r="F197" s="2" t="s">
        <v>591</v>
      </c>
      <c r="G197" s="1">
        <v>0</v>
      </c>
      <c r="H197" s="3">
        <v>43237.622916666704</v>
      </c>
      <c r="I197" s="2" t="s">
        <v>38</v>
      </c>
      <c r="J197" s="3">
        <v>45587.622916666704</v>
      </c>
      <c r="K197" s="2" t="s">
        <v>41</v>
      </c>
      <c r="L197" s="29" t="s">
        <v>39</v>
      </c>
      <c r="M197" s="1" t="s">
        <v>32</v>
      </c>
    </row>
    <row r="198" spans="2:13" x14ac:dyDescent="0.35">
      <c r="B198" s="2" t="s">
        <v>592</v>
      </c>
      <c r="C198" s="2" t="s">
        <v>70</v>
      </c>
      <c r="D198" s="2" t="s">
        <v>225</v>
      </c>
      <c r="E198" s="2" t="s">
        <v>114</v>
      </c>
      <c r="F198" s="2" t="s">
        <v>593</v>
      </c>
      <c r="G198" s="1">
        <v>1</v>
      </c>
      <c r="H198" s="3">
        <v>43803.631944444402</v>
      </c>
      <c r="I198" s="2" t="s">
        <v>41</v>
      </c>
      <c r="J198" s="3">
        <v>45786.631944444402</v>
      </c>
      <c r="K198" s="2" t="s">
        <v>40</v>
      </c>
      <c r="L198" s="29" t="s">
        <v>39</v>
      </c>
      <c r="M198" s="1" t="s">
        <v>32</v>
      </c>
    </row>
    <row r="199" spans="2:13" x14ac:dyDescent="0.35">
      <c r="B199" s="2" t="s">
        <v>594</v>
      </c>
      <c r="C199" s="2" t="s">
        <v>70</v>
      </c>
      <c r="D199" s="2" t="s">
        <v>228</v>
      </c>
      <c r="E199" s="2" t="s">
        <v>118</v>
      </c>
      <c r="F199" s="2" t="s">
        <v>595</v>
      </c>
      <c r="G199" s="1">
        <v>1</v>
      </c>
      <c r="H199" s="3">
        <v>44027.682638888902</v>
      </c>
      <c r="I199" s="2" t="s">
        <v>40</v>
      </c>
      <c r="J199" s="3">
        <v>46376.682638888902</v>
      </c>
      <c r="K199" s="2" t="s">
        <v>37</v>
      </c>
      <c r="L199" s="29" t="s">
        <v>39</v>
      </c>
      <c r="M199" s="1" t="s">
        <v>32</v>
      </c>
    </row>
    <row r="200" spans="2:13" x14ac:dyDescent="0.35">
      <c r="B200" s="2" t="s">
        <v>596</v>
      </c>
      <c r="C200" s="2" t="s">
        <v>70</v>
      </c>
      <c r="D200" s="2" t="s">
        <v>231</v>
      </c>
      <c r="E200" s="2" t="s">
        <v>90</v>
      </c>
      <c r="F200" s="2" t="s">
        <v>597</v>
      </c>
      <c r="G200" s="1">
        <v>1</v>
      </c>
      <c r="H200" s="3">
        <v>44229.4</v>
      </c>
      <c r="I200" s="2" t="s">
        <v>37</v>
      </c>
      <c r="J200" s="3">
        <v>44384.4</v>
      </c>
      <c r="K200" s="2" t="s">
        <v>38</v>
      </c>
      <c r="L200" s="29" t="s">
        <v>39</v>
      </c>
      <c r="M200" s="1" t="s">
        <v>32</v>
      </c>
    </row>
    <row r="201" spans="2:13" x14ac:dyDescent="0.35">
      <c r="B201" s="2" t="s">
        <v>598</v>
      </c>
      <c r="C201" s="2" t="s">
        <v>71</v>
      </c>
      <c r="D201" s="2" t="s">
        <v>234</v>
      </c>
      <c r="E201" s="2" t="s">
        <v>94</v>
      </c>
      <c r="F201" s="2" t="s">
        <v>599</v>
      </c>
      <c r="G201" s="1">
        <v>1</v>
      </c>
      <c r="H201" s="3">
        <v>44817.4506944444</v>
      </c>
      <c r="I201" s="2" t="s">
        <v>38</v>
      </c>
      <c r="J201" s="3">
        <v>44997.4506944444</v>
      </c>
      <c r="K201" s="2" t="s">
        <v>41</v>
      </c>
      <c r="L201" s="29" t="s">
        <v>39</v>
      </c>
      <c r="M201" s="1" t="s">
        <v>32</v>
      </c>
    </row>
    <row r="202" spans="2:13" x14ac:dyDescent="0.35">
      <c r="B202" s="2" t="s">
        <v>600</v>
      </c>
      <c r="C202" s="2" t="s">
        <v>71</v>
      </c>
      <c r="D202" s="2" t="s">
        <v>601</v>
      </c>
      <c r="E202" s="2" t="s">
        <v>602</v>
      </c>
      <c r="F202" s="2" t="s">
        <v>603</v>
      </c>
      <c r="G202" s="1">
        <v>1</v>
      </c>
      <c r="H202" s="3">
        <v>45040.4597222222</v>
      </c>
      <c r="I202" s="2" t="s">
        <v>41</v>
      </c>
      <c r="J202" s="3">
        <v>45174.4597222222</v>
      </c>
      <c r="K202" s="2" t="s">
        <v>40</v>
      </c>
      <c r="L202" s="29" t="s">
        <v>39</v>
      </c>
      <c r="M202" s="1" t="s">
        <v>32</v>
      </c>
    </row>
    <row r="203" spans="2:13" x14ac:dyDescent="0.35">
      <c r="B203" s="2" t="s">
        <v>604</v>
      </c>
      <c r="C203" s="2" t="s">
        <v>71</v>
      </c>
      <c r="D203" s="2" t="s">
        <v>241</v>
      </c>
      <c r="E203" s="2" t="s">
        <v>102</v>
      </c>
      <c r="F203" s="2" t="s">
        <v>605</v>
      </c>
      <c r="G203" s="1">
        <v>1</v>
      </c>
      <c r="H203" s="3">
        <v>45607.510416666701</v>
      </c>
      <c r="I203" s="2" t="s">
        <v>40</v>
      </c>
      <c r="J203" s="3">
        <v>45787.510416666701</v>
      </c>
      <c r="K203" s="2" t="s">
        <v>37</v>
      </c>
      <c r="L203" s="29" t="s">
        <v>39</v>
      </c>
      <c r="M203" s="1" t="s">
        <v>32</v>
      </c>
    </row>
    <row r="204" spans="2:13" x14ac:dyDescent="0.35">
      <c r="B204" s="2" t="s">
        <v>606</v>
      </c>
      <c r="C204" s="2" t="s">
        <v>71</v>
      </c>
      <c r="D204" s="2" t="s">
        <v>244</v>
      </c>
      <c r="E204" s="2" t="s">
        <v>135</v>
      </c>
      <c r="F204" s="2" t="s">
        <v>607</v>
      </c>
      <c r="G204" s="1">
        <v>1</v>
      </c>
      <c r="H204" s="3">
        <v>45830.561111111099</v>
      </c>
      <c r="I204" s="2" t="s">
        <v>37</v>
      </c>
      <c r="J204" s="3">
        <v>45964.561111111099</v>
      </c>
      <c r="K204" s="2" t="s">
        <v>38</v>
      </c>
      <c r="L204" s="29" t="s">
        <v>39</v>
      </c>
      <c r="M204" s="1" t="s">
        <v>32</v>
      </c>
    </row>
    <row r="205" spans="2:13" x14ac:dyDescent="0.35">
      <c r="B205" s="2" t="s">
        <v>608</v>
      </c>
      <c r="C205" s="2" t="s">
        <v>71</v>
      </c>
      <c r="D205" s="2" t="s">
        <v>247</v>
      </c>
      <c r="E205" s="2" t="s">
        <v>110</v>
      </c>
      <c r="F205" s="2" t="s">
        <v>609</v>
      </c>
      <c r="G205" s="1">
        <v>1</v>
      </c>
      <c r="H205" s="3">
        <v>46031.6118055556</v>
      </c>
      <c r="I205" s="2" t="s">
        <v>38</v>
      </c>
      <c r="J205" s="3">
        <v>46187.6118055556</v>
      </c>
      <c r="K205" s="2" t="s">
        <v>41</v>
      </c>
      <c r="L205" s="29" t="s">
        <v>39</v>
      </c>
      <c r="M205" s="1" t="s">
        <v>32</v>
      </c>
    </row>
    <row r="206" spans="2:13" x14ac:dyDescent="0.35">
      <c r="B206" s="2" t="s">
        <v>610</v>
      </c>
      <c r="C206" s="2" t="s">
        <v>42</v>
      </c>
      <c r="D206" s="2" t="s">
        <v>250</v>
      </c>
      <c r="E206" s="2" t="s">
        <v>114</v>
      </c>
      <c r="F206" s="2" t="s">
        <v>611</v>
      </c>
      <c r="G206" s="1">
        <v>1</v>
      </c>
      <c r="H206" s="3">
        <v>42602.662499999999</v>
      </c>
      <c r="I206" s="2" t="s">
        <v>41</v>
      </c>
      <c r="J206" s="3">
        <v>44197.662499999999</v>
      </c>
      <c r="K206" s="2" t="s">
        <v>40</v>
      </c>
      <c r="L206" s="29" t="s">
        <v>39</v>
      </c>
      <c r="M206" s="1" t="s">
        <v>32</v>
      </c>
    </row>
    <row r="207" spans="2:13" x14ac:dyDescent="0.35">
      <c r="B207" s="2" t="s">
        <v>612</v>
      </c>
      <c r="C207" s="2" t="s">
        <v>42</v>
      </c>
      <c r="D207" s="2" t="s">
        <v>613</v>
      </c>
      <c r="E207" s="2" t="s">
        <v>614</v>
      </c>
      <c r="F207" s="2" t="s">
        <v>615</v>
      </c>
      <c r="G207" s="1">
        <v>0</v>
      </c>
      <c r="H207" s="3">
        <v>42801.671527777798</v>
      </c>
      <c r="I207" s="2" t="s">
        <v>40</v>
      </c>
      <c r="J207" s="3">
        <v>44785.671527777798</v>
      </c>
      <c r="K207" s="2" t="s">
        <v>37</v>
      </c>
      <c r="L207" s="29" t="s">
        <v>39</v>
      </c>
      <c r="M207" s="1" t="s">
        <v>32</v>
      </c>
    </row>
  </sheetData>
  <phoneticPr fontId="2"/>
  <conditionalFormatting sqref="B7:K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7"/>
  <sheetViews>
    <sheetView zoomScale="85" zoomScaleNormal="85" workbookViewId="0">
      <selection activeCell="B8" sqref="B8"/>
    </sheetView>
  </sheetViews>
  <sheetFormatPr defaultColWidth="9.1796875" defaultRowHeight="14.5" x14ac:dyDescent="0.35"/>
  <cols>
    <col min="1" max="1" width="18.1796875" style="1" customWidth="1"/>
    <col min="2" max="2" width="19.453125" style="2" customWidth="1"/>
    <col min="3" max="3" width="33.81640625" style="2" customWidth="1"/>
    <col min="4" max="4" width="26.08984375" style="2" customWidth="1"/>
    <col min="5" max="5" width="21" style="2" customWidth="1"/>
    <col min="6" max="6" width="16.81640625" style="2" customWidth="1"/>
    <col min="7" max="8" width="50.81640625" style="2" customWidth="1"/>
    <col min="9" max="9" width="24.6328125" style="2" customWidth="1"/>
    <col min="10" max="10" width="32.1796875" style="2" customWidth="1"/>
    <col min="11" max="11" width="29" style="2" customWidth="1"/>
    <col min="12" max="12" width="16" style="2" customWidth="1"/>
    <col min="13" max="13" width="16.81640625" style="2" customWidth="1"/>
    <col min="14" max="14" width="14.81640625" style="1" customWidth="1"/>
    <col min="15" max="15" width="22.81640625" style="3" customWidth="1"/>
    <col min="16" max="16" width="30.81640625" style="2" customWidth="1"/>
    <col min="17" max="17" width="22.81640625" style="3" customWidth="1"/>
    <col min="18" max="18" width="30.81640625" style="2" customWidth="1"/>
    <col min="19" max="19" width="10.81640625" style="1" customWidth="1"/>
    <col min="20" max="20" width="48.81640625" style="1" customWidth="1"/>
    <col min="21" max="21" width="9.1796875" style="1" customWidth="1"/>
    <col min="22" max="16384" width="9.1796875" style="1"/>
  </cols>
  <sheetData>
    <row r="1" spans="1:20" s="4" customFormat="1" x14ac:dyDescent="0.35">
      <c r="A1" s="5" t="s">
        <v>0</v>
      </c>
      <c r="B1" s="6" t="s">
        <v>616</v>
      </c>
      <c r="C1" s="7" t="s">
        <v>2</v>
      </c>
      <c r="D1" s="6" t="s">
        <v>617</v>
      </c>
      <c r="E1" s="7" t="s">
        <v>4</v>
      </c>
      <c r="F1" s="32" t="s">
        <v>5</v>
      </c>
      <c r="G1" s="9"/>
      <c r="H1" s="9"/>
      <c r="I1" s="9"/>
      <c r="J1" s="9"/>
      <c r="K1" s="9"/>
      <c r="L1" s="9"/>
      <c r="M1" s="9"/>
      <c r="O1" s="8"/>
      <c r="P1" s="9"/>
      <c r="Q1" s="8"/>
      <c r="R1" s="9"/>
    </row>
    <row r="2" spans="1:20" s="4" customFormat="1" x14ac:dyDescent="0.35">
      <c r="A2" s="5" t="s">
        <v>6</v>
      </c>
      <c r="B2" s="31"/>
      <c r="C2" s="9"/>
      <c r="D2" s="9"/>
      <c r="E2" s="9"/>
      <c r="F2" s="9"/>
      <c r="G2" s="9"/>
      <c r="H2" s="9"/>
      <c r="I2" s="9"/>
      <c r="J2" s="9"/>
      <c r="K2" s="9"/>
      <c r="L2" s="9"/>
      <c r="M2" s="9"/>
      <c r="O2" s="8"/>
      <c r="P2" s="9"/>
      <c r="Q2" s="8"/>
      <c r="R2" s="9"/>
    </row>
    <row r="3" spans="1:20" s="4" customFormat="1" x14ac:dyDescent="0.35">
      <c r="A3" s="10" t="s">
        <v>7</v>
      </c>
      <c r="B3" s="11" t="s">
        <v>618</v>
      </c>
      <c r="C3" s="12" t="s">
        <v>619</v>
      </c>
      <c r="D3" s="12" t="s">
        <v>620</v>
      </c>
      <c r="E3" s="12" t="s">
        <v>621</v>
      </c>
      <c r="F3" s="12" t="s">
        <v>622</v>
      </c>
      <c r="G3" s="12" t="s">
        <v>77</v>
      </c>
      <c r="H3" s="12" t="s">
        <v>623</v>
      </c>
      <c r="I3" s="12" t="s">
        <v>624</v>
      </c>
      <c r="J3" s="12" t="s">
        <v>625</v>
      </c>
      <c r="K3" s="12" t="s">
        <v>626</v>
      </c>
      <c r="L3" s="12" t="s">
        <v>627</v>
      </c>
      <c r="M3" s="12" t="s">
        <v>628</v>
      </c>
      <c r="N3" s="22" t="s">
        <v>78</v>
      </c>
      <c r="O3" s="13" t="s">
        <v>11</v>
      </c>
      <c r="P3" s="12" t="s">
        <v>12</v>
      </c>
      <c r="Q3" s="13" t="s">
        <v>13</v>
      </c>
      <c r="R3" s="12" t="s">
        <v>14</v>
      </c>
      <c r="S3" s="14" t="s">
        <v>15</v>
      </c>
      <c r="T3" s="14" t="s">
        <v>16</v>
      </c>
    </row>
    <row r="4" spans="1:20" s="4" customFormat="1" x14ac:dyDescent="0.35">
      <c r="A4" s="10" t="s">
        <v>17</v>
      </c>
      <c r="B4" s="11" t="s">
        <v>629</v>
      </c>
      <c r="C4" s="12" t="s">
        <v>630</v>
      </c>
      <c r="D4" s="12" t="s">
        <v>631</v>
      </c>
      <c r="E4" s="12" t="s">
        <v>632</v>
      </c>
      <c r="F4" s="12" t="s">
        <v>633</v>
      </c>
      <c r="G4" s="12" t="s">
        <v>634</v>
      </c>
      <c r="H4" s="12" t="s">
        <v>635</v>
      </c>
      <c r="I4" s="12" t="s">
        <v>636</v>
      </c>
      <c r="J4" s="12" t="s">
        <v>637</v>
      </c>
      <c r="K4" s="12" t="s">
        <v>638</v>
      </c>
      <c r="L4" s="12" t="s">
        <v>639</v>
      </c>
      <c r="M4" s="12" t="s">
        <v>640</v>
      </c>
      <c r="N4" s="16" t="s">
        <v>641</v>
      </c>
      <c r="O4" s="15" t="s">
        <v>21</v>
      </c>
      <c r="P4" s="12" t="s">
        <v>22</v>
      </c>
      <c r="Q4" s="15" t="s">
        <v>23</v>
      </c>
      <c r="R4" s="12" t="s">
        <v>24</v>
      </c>
      <c r="S4" s="16"/>
      <c r="T4" s="16"/>
    </row>
    <row r="5" spans="1:20" s="4" customFormat="1" x14ac:dyDescent="0.35">
      <c r="A5" s="10" t="s">
        <v>25</v>
      </c>
      <c r="B5" s="11" t="s">
        <v>84</v>
      </c>
      <c r="C5" s="12" t="s">
        <v>642</v>
      </c>
      <c r="D5" s="12" t="s">
        <v>642</v>
      </c>
      <c r="E5" s="12" t="s">
        <v>27</v>
      </c>
      <c r="F5" s="12" t="s">
        <v>29</v>
      </c>
      <c r="G5" s="12" t="s">
        <v>86</v>
      </c>
      <c r="H5" s="12" t="s">
        <v>642</v>
      </c>
      <c r="I5" s="12" t="s">
        <v>642</v>
      </c>
      <c r="J5" s="12" t="s">
        <v>27</v>
      </c>
      <c r="K5" s="12" t="s">
        <v>27</v>
      </c>
      <c r="L5" s="12" t="s">
        <v>29</v>
      </c>
      <c r="M5" s="12" t="s">
        <v>643</v>
      </c>
      <c r="N5" s="22" t="s">
        <v>87</v>
      </c>
      <c r="O5" s="13" t="s">
        <v>28</v>
      </c>
      <c r="P5" s="12" t="s">
        <v>29</v>
      </c>
      <c r="Q5" s="13" t="s">
        <v>28</v>
      </c>
      <c r="R5" s="12" t="s">
        <v>29</v>
      </c>
      <c r="S5" s="16"/>
      <c r="T5" s="16"/>
    </row>
    <row r="6" spans="1:20" s="4" customFormat="1" x14ac:dyDescent="0.35">
      <c r="A6" s="5" t="s">
        <v>30</v>
      </c>
      <c r="B6" s="11" t="s">
        <v>31</v>
      </c>
      <c r="C6" s="12" t="s">
        <v>32</v>
      </c>
      <c r="D6" s="12" t="s">
        <v>33</v>
      </c>
      <c r="E6" s="12" t="s">
        <v>33</v>
      </c>
      <c r="F6" s="12" t="s">
        <v>33</v>
      </c>
      <c r="G6" s="12" t="s">
        <v>33</v>
      </c>
      <c r="H6" s="12" t="s">
        <v>33</v>
      </c>
      <c r="I6" s="12" t="s">
        <v>33</v>
      </c>
      <c r="J6" s="12" t="s">
        <v>33</v>
      </c>
      <c r="K6" s="12" t="s">
        <v>33</v>
      </c>
      <c r="L6" s="12" t="s">
        <v>33</v>
      </c>
      <c r="M6" s="12" t="s">
        <v>34</v>
      </c>
      <c r="N6" s="22" t="s">
        <v>34</v>
      </c>
      <c r="O6" s="13" t="s">
        <v>34</v>
      </c>
      <c r="P6" s="12" t="s">
        <v>32</v>
      </c>
      <c r="Q6" s="13" t="s">
        <v>34</v>
      </c>
      <c r="R6" s="12" t="s">
        <v>32</v>
      </c>
      <c r="S6" s="16"/>
      <c r="T6" s="16"/>
    </row>
    <row r="7" spans="1:20" x14ac:dyDescent="0.35">
      <c r="A7" s="17" t="s">
        <v>35</v>
      </c>
      <c r="B7" s="18" t="s">
        <v>36</v>
      </c>
      <c r="C7" s="19" t="s">
        <v>36</v>
      </c>
      <c r="D7" s="19" t="s">
        <v>36</v>
      </c>
      <c r="E7" s="19" t="s">
        <v>36</v>
      </c>
      <c r="F7" s="19" t="s">
        <v>36</v>
      </c>
      <c r="G7" s="19" t="s">
        <v>36</v>
      </c>
      <c r="H7" s="19" t="s">
        <v>36</v>
      </c>
      <c r="I7" s="19" t="s">
        <v>36</v>
      </c>
      <c r="J7" s="19" t="s">
        <v>36</v>
      </c>
      <c r="K7" s="19" t="s">
        <v>36</v>
      </c>
      <c r="L7" s="19" t="s">
        <v>36</v>
      </c>
      <c r="M7" s="19" t="s">
        <v>36</v>
      </c>
      <c r="N7" s="23" t="s">
        <v>36</v>
      </c>
      <c r="O7" s="20" t="s">
        <v>36</v>
      </c>
      <c r="P7" s="19" t="s">
        <v>36</v>
      </c>
      <c r="Q7" s="20" t="s">
        <v>36</v>
      </c>
      <c r="R7" s="19" t="s">
        <v>36</v>
      </c>
      <c r="S7" s="21"/>
      <c r="T7" s="21"/>
    </row>
    <row r="8" spans="1:20" ht="29" customHeight="1" x14ac:dyDescent="0.35">
      <c r="B8" s="2" t="s">
        <v>644</v>
      </c>
      <c r="C8" s="2" t="s">
        <v>645</v>
      </c>
      <c r="D8" s="2" t="s">
        <v>646</v>
      </c>
      <c r="E8" s="2" t="s">
        <v>647</v>
      </c>
      <c r="F8" s="2" t="s">
        <v>648</v>
      </c>
      <c r="G8" s="2" t="s">
        <v>649</v>
      </c>
      <c r="H8" s="2" t="s">
        <v>650</v>
      </c>
      <c r="I8" s="2" t="s">
        <v>651</v>
      </c>
      <c r="J8" s="2" t="s">
        <v>652</v>
      </c>
      <c r="K8" s="2" t="s">
        <v>653</v>
      </c>
      <c r="L8" s="2" t="s">
        <v>654</v>
      </c>
      <c r="M8" s="2" t="s">
        <v>655</v>
      </c>
      <c r="N8" s="1">
        <v>1</v>
      </c>
      <c r="O8" s="3">
        <v>42797.376388888901</v>
      </c>
      <c r="P8" s="2" t="s">
        <v>37</v>
      </c>
      <c r="Q8" s="3">
        <v>44448.380555555603</v>
      </c>
      <c r="R8" s="2" t="s">
        <v>41</v>
      </c>
      <c r="S8" s="29" t="s">
        <v>39</v>
      </c>
      <c r="T8" s="1" t="s">
        <v>32</v>
      </c>
    </row>
    <row r="9" spans="1:20" ht="29" customHeight="1" x14ac:dyDescent="0.35">
      <c r="B9" s="2" t="s">
        <v>656</v>
      </c>
      <c r="C9" s="2" t="s">
        <v>657</v>
      </c>
      <c r="D9" s="2" t="s">
        <v>658</v>
      </c>
      <c r="E9" s="2" t="s">
        <v>659</v>
      </c>
      <c r="F9" s="2" t="s">
        <v>660</v>
      </c>
      <c r="G9" s="2" t="s">
        <v>661</v>
      </c>
      <c r="H9" s="2" t="s">
        <v>662</v>
      </c>
      <c r="I9" s="2" t="s">
        <v>663</v>
      </c>
      <c r="J9" s="2" t="s">
        <v>652</v>
      </c>
      <c r="K9" s="2" t="s">
        <v>653</v>
      </c>
      <c r="L9" s="2" t="s">
        <v>664</v>
      </c>
      <c r="M9" s="2" t="s">
        <v>655</v>
      </c>
      <c r="N9" s="1">
        <v>1</v>
      </c>
      <c r="O9" s="3">
        <v>43322.425694444399</v>
      </c>
      <c r="P9" s="2" t="s">
        <v>38</v>
      </c>
      <c r="Q9" s="3">
        <v>44608.429861111101</v>
      </c>
      <c r="R9" s="2" t="s">
        <v>40</v>
      </c>
      <c r="S9" s="29" t="s">
        <v>39</v>
      </c>
      <c r="T9" s="1" t="s">
        <v>32</v>
      </c>
    </row>
    <row r="10" spans="1:20" ht="29" customHeight="1" x14ac:dyDescent="0.35">
      <c r="B10" s="2" t="s">
        <v>665</v>
      </c>
      <c r="C10" s="2" t="s">
        <v>666</v>
      </c>
      <c r="D10" s="2" t="s">
        <v>667</v>
      </c>
      <c r="E10" s="2" t="s">
        <v>668</v>
      </c>
      <c r="F10" s="2" t="s">
        <v>669</v>
      </c>
      <c r="G10" s="2" t="s">
        <v>670</v>
      </c>
      <c r="H10" s="2" t="s">
        <v>671</v>
      </c>
      <c r="I10" s="2" t="s">
        <v>672</v>
      </c>
      <c r="J10" s="2" t="s">
        <v>673</v>
      </c>
      <c r="K10" s="2" t="s">
        <v>653</v>
      </c>
      <c r="L10" s="2" t="s">
        <v>674</v>
      </c>
      <c r="M10" s="2" t="s">
        <v>655</v>
      </c>
      <c r="N10" s="1">
        <v>1</v>
      </c>
      <c r="O10" s="3">
        <v>43482.474999999999</v>
      </c>
      <c r="P10" s="2" t="s">
        <v>41</v>
      </c>
      <c r="Q10" s="3">
        <v>45130.479166666701</v>
      </c>
      <c r="R10" s="2" t="s">
        <v>37</v>
      </c>
      <c r="S10" s="29" t="s">
        <v>39</v>
      </c>
      <c r="T10" s="1" t="s">
        <v>32</v>
      </c>
    </row>
    <row r="11" spans="1:20" ht="29" customHeight="1" x14ac:dyDescent="0.35">
      <c r="B11" s="2" t="s">
        <v>675</v>
      </c>
      <c r="C11" s="2" t="s">
        <v>676</v>
      </c>
      <c r="D11" s="2" t="s">
        <v>677</v>
      </c>
      <c r="E11" s="2" t="s">
        <v>678</v>
      </c>
      <c r="F11" s="2" t="s">
        <v>679</v>
      </c>
      <c r="G11" s="2" t="s">
        <v>680</v>
      </c>
      <c r="H11" s="2" t="s">
        <v>681</v>
      </c>
      <c r="I11" s="2" t="s">
        <v>682</v>
      </c>
      <c r="J11" s="2" t="s">
        <v>683</v>
      </c>
      <c r="K11" s="2" t="s">
        <v>653</v>
      </c>
      <c r="L11" s="2" t="s">
        <v>684</v>
      </c>
      <c r="M11" s="2" t="s">
        <v>655</v>
      </c>
      <c r="N11" s="1">
        <v>1</v>
      </c>
      <c r="O11" s="3">
        <v>44006.524305555598</v>
      </c>
      <c r="P11" s="2" t="s">
        <v>40</v>
      </c>
      <c r="Q11" s="3">
        <v>45631.528472222199</v>
      </c>
      <c r="R11" s="2" t="s">
        <v>38</v>
      </c>
      <c r="S11" s="29" t="s">
        <v>39</v>
      </c>
      <c r="T11" s="1" t="s">
        <v>32</v>
      </c>
    </row>
    <row r="12" spans="1:20" ht="29" customHeight="1" x14ac:dyDescent="0.35">
      <c r="B12" s="2" t="s">
        <v>685</v>
      </c>
      <c r="C12" s="2" t="s">
        <v>686</v>
      </c>
      <c r="D12" s="2" t="s">
        <v>687</v>
      </c>
      <c r="E12" s="2" t="s">
        <v>688</v>
      </c>
      <c r="F12" s="2" t="s">
        <v>689</v>
      </c>
      <c r="G12" s="2" t="s">
        <v>690</v>
      </c>
      <c r="H12" s="2" t="s">
        <v>691</v>
      </c>
      <c r="I12" s="2" t="s">
        <v>692</v>
      </c>
      <c r="J12" s="2" t="s">
        <v>693</v>
      </c>
      <c r="K12" s="2" t="s">
        <v>653</v>
      </c>
      <c r="L12" s="2" t="s">
        <v>694</v>
      </c>
      <c r="M12" s="2" t="s">
        <v>655</v>
      </c>
      <c r="N12" s="1">
        <v>1</v>
      </c>
      <c r="O12" s="3">
        <v>44506.573611111096</v>
      </c>
      <c r="P12" s="2" t="s">
        <v>37</v>
      </c>
      <c r="Q12" s="3">
        <v>45789.577777777798</v>
      </c>
      <c r="R12" s="2" t="s">
        <v>41</v>
      </c>
      <c r="S12" s="29" t="s">
        <v>39</v>
      </c>
      <c r="T12" s="1" t="s">
        <v>32</v>
      </c>
    </row>
    <row r="13" spans="1:20" ht="29" customHeight="1" x14ac:dyDescent="0.35">
      <c r="B13" s="2" t="s">
        <v>695</v>
      </c>
      <c r="C13" s="2" t="s">
        <v>696</v>
      </c>
      <c r="D13" s="2" t="s">
        <v>697</v>
      </c>
      <c r="E13" s="2" t="s">
        <v>698</v>
      </c>
      <c r="F13" s="2" t="s">
        <v>699</v>
      </c>
      <c r="G13" s="2" t="s">
        <v>700</v>
      </c>
      <c r="H13" s="2" t="s">
        <v>701</v>
      </c>
      <c r="I13" s="2" t="s">
        <v>702</v>
      </c>
      <c r="J13" s="2" t="s">
        <v>703</v>
      </c>
      <c r="K13" s="2" t="s">
        <v>653</v>
      </c>
      <c r="L13" s="2" t="s">
        <v>704</v>
      </c>
      <c r="M13" s="2" t="s">
        <v>655</v>
      </c>
      <c r="N13" s="1">
        <v>1</v>
      </c>
      <c r="O13" s="3">
        <v>44664.622916666704</v>
      </c>
      <c r="P13" s="2" t="s">
        <v>38</v>
      </c>
      <c r="Q13" s="3">
        <v>46314.585416666698</v>
      </c>
      <c r="R13" s="2" t="s">
        <v>40</v>
      </c>
      <c r="S13" s="29" t="s">
        <v>39</v>
      </c>
      <c r="T13" s="1" t="s">
        <v>32</v>
      </c>
    </row>
    <row r="14" spans="1:20" ht="29" customHeight="1" x14ac:dyDescent="0.35">
      <c r="B14" s="2" t="s">
        <v>705</v>
      </c>
      <c r="C14" s="2" t="s">
        <v>706</v>
      </c>
      <c r="D14" s="2" t="s">
        <v>707</v>
      </c>
      <c r="E14" s="2" t="s">
        <v>708</v>
      </c>
      <c r="F14" s="2" t="s">
        <v>709</v>
      </c>
      <c r="G14" s="2" t="s">
        <v>710</v>
      </c>
      <c r="H14" s="2" t="s">
        <v>711</v>
      </c>
      <c r="I14" s="2" t="s">
        <v>712</v>
      </c>
      <c r="J14" s="2" t="s">
        <v>713</v>
      </c>
      <c r="K14" s="2" t="s">
        <v>714</v>
      </c>
      <c r="L14" s="2" t="s">
        <v>715</v>
      </c>
      <c r="M14" s="2" t="s">
        <v>655</v>
      </c>
      <c r="N14" s="1">
        <v>1</v>
      </c>
      <c r="O14" s="3">
        <v>45189.630555555603</v>
      </c>
      <c r="P14" s="2" t="s">
        <v>41</v>
      </c>
      <c r="Q14" s="3">
        <v>45309.630555555603</v>
      </c>
      <c r="R14" s="2" t="s">
        <v>37</v>
      </c>
      <c r="S14" s="29" t="s">
        <v>39</v>
      </c>
      <c r="T14" s="1" t="s">
        <v>32</v>
      </c>
    </row>
    <row r="15" spans="1:20" ht="29" customHeight="1" x14ac:dyDescent="0.35">
      <c r="B15" s="2" t="s">
        <v>716</v>
      </c>
      <c r="C15" s="2" t="s">
        <v>717</v>
      </c>
      <c r="D15" s="2" t="s">
        <v>718</v>
      </c>
      <c r="E15" s="2" t="s">
        <v>719</v>
      </c>
      <c r="F15" s="2" t="s">
        <v>720</v>
      </c>
      <c r="G15" s="2" t="s">
        <v>721</v>
      </c>
      <c r="H15" s="2" t="s">
        <v>722</v>
      </c>
      <c r="I15" s="2" t="s">
        <v>723</v>
      </c>
      <c r="J15" s="2" t="s">
        <v>713</v>
      </c>
      <c r="K15" s="2" t="s">
        <v>714</v>
      </c>
      <c r="L15" s="2" t="s">
        <v>724</v>
      </c>
      <c r="M15" s="2" t="s">
        <v>655</v>
      </c>
      <c r="N15" s="1">
        <v>1</v>
      </c>
      <c r="O15" s="3">
        <v>45324.679861111101</v>
      </c>
      <c r="P15" s="2" t="s">
        <v>40</v>
      </c>
      <c r="Q15" s="3">
        <v>45512.684027777803</v>
      </c>
      <c r="R15" s="2" t="s">
        <v>38</v>
      </c>
      <c r="S15" s="29" t="s">
        <v>39</v>
      </c>
      <c r="T15" s="1" t="s">
        <v>32</v>
      </c>
    </row>
    <row r="16" spans="1:20" ht="29" customHeight="1" x14ac:dyDescent="0.35">
      <c r="B16" s="2" t="s">
        <v>725</v>
      </c>
      <c r="C16" s="2" t="s">
        <v>726</v>
      </c>
      <c r="D16" s="2" t="s">
        <v>727</v>
      </c>
      <c r="E16" s="2" t="s">
        <v>728</v>
      </c>
      <c r="F16" s="2" t="s">
        <v>729</v>
      </c>
      <c r="G16" s="2" t="s">
        <v>730</v>
      </c>
      <c r="H16" s="2" t="s">
        <v>731</v>
      </c>
      <c r="I16" s="2" t="s">
        <v>732</v>
      </c>
      <c r="J16" s="2" t="s">
        <v>733</v>
      </c>
      <c r="K16" s="2" t="s">
        <v>734</v>
      </c>
      <c r="L16" s="2" t="s">
        <v>735</v>
      </c>
      <c r="M16" s="2" t="s">
        <v>655</v>
      </c>
      <c r="N16" s="1">
        <v>1</v>
      </c>
      <c r="O16" s="3">
        <v>45847.395833333299</v>
      </c>
      <c r="P16" s="2" t="s">
        <v>37</v>
      </c>
      <c r="Q16" s="3">
        <v>45967.395833333299</v>
      </c>
      <c r="R16" s="2" t="s">
        <v>41</v>
      </c>
      <c r="S16" s="29" t="s">
        <v>39</v>
      </c>
      <c r="T16" s="1" t="s">
        <v>32</v>
      </c>
    </row>
    <row r="17" spans="2:20" ht="29" customHeight="1" x14ac:dyDescent="0.35">
      <c r="B17" s="2" t="s">
        <v>736</v>
      </c>
      <c r="C17" s="2" t="s">
        <v>737</v>
      </c>
      <c r="D17" s="2" t="s">
        <v>738</v>
      </c>
      <c r="E17" s="2" t="s">
        <v>739</v>
      </c>
      <c r="F17" s="2" t="s">
        <v>740</v>
      </c>
      <c r="G17" s="2" t="s">
        <v>741</v>
      </c>
      <c r="H17" s="2" t="s">
        <v>742</v>
      </c>
      <c r="I17" s="2" t="s">
        <v>743</v>
      </c>
      <c r="J17" s="2" t="s">
        <v>744</v>
      </c>
      <c r="K17" s="2" t="s">
        <v>745</v>
      </c>
      <c r="L17" s="2" t="s">
        <v>746</v>
      </c>
      <c r="M17" s="2" t="s">
        <v>655</v>
      </c>
      <c r="N17" s="1">
        <v>0</v>
      </c>
      <c r="O17" s="3">
        <v>46372.445138888899</v>
      </c>
      <c r="P17" s="2" t="s">
        <v>38</v>
      </c>
      <c r="Q17" s="3">
        <v>46492.445138888899</v>
      </c>
      <c r="R17" s="2" t="s">
        <v>40</v>
      </c>
      <c r="S17" s="29" t="s">
        <v>39</v>
      </c>
      <c r="T17" s="1" t="s">
        <v>32</v>
      </c>
    </row>
    <row r="18" spans="2:20" ht="29" customHeight="1" x14ac:dyDescent="0.35">
      <c r="B18" s="2" t="s">
        <v>747</v>
      </c>
      <c r="C18" s="2" t="s">
        <v>748</v>
      </c>
      <c r="D18" s="2" t="s">
        <v>749</v>
      </c>
      <c r="E18" s="2" t="s">
        <v>750</v>
      </c>
      <c r="F18" s="2" t="s">
        <v>751</v>
      </c>
      <c r="G18" s="2" t="s">
        <v>752</v>
      </c>
      <c r="H18" s="2" t="s">
        <v>753</v>
      </c>
      <c r="I18" s="2" t="s">
        <v>754</v>
      </c>
      <c r="J18" s="2" t="s">
        <v>755</v>
      </c>
      <c r="K18" s="2" t="s">
        <v>653</v>
      </c>
      <c r="L18" s="2" t="s">
        <v>756</v>
      </c>
      <c r="M18" s="2" t="s">
        <v>655</v>
      </c>
      <c r="N18" s="1">
        <v>1</v>
      </c>
      <c r="O18" s="3">
        <v>42878.494444444397</v>
      </c>
      <c r="P18" s="2" t="s">
        <v>41</v>
      </c>
      <c r="Q18" s="3">
        <v>45965.498611111099</v>
      </c>
      <c r="R18" s="2" t="s">
        <v>37</v>
      </c>
      <c r="S18" s="29" t="s">
        <v>39</v>
      </c>
      <c r="T18" s="1" t="s">
        <v>32</v>
      </c>
    </row>
    <row r="19" spans="2:20" ht="29" customHeight="1" x14ac:dyDescent="0.35">
      <c r="B19" s="2" t="s">
        <v>757</v>
      </c>
      <c r="C19" s="2" t="s">
        <v>758</v>
      </c>
      <c r="D19" s="2" t="s">
        <v>759</v>
      </c>
      <c r="E19" s="2" t="s">
        <v>760</v>
      </c>
      <c r="F19" s="2" t="s">
        <v>761</v>
      </c>
      <c r="G19" s="2" t="s">
        <v>762</v>
      </c>
      <c r="H19" s="2" t="s">
        <v>763</v>
      </c>
      <c r="I19" s="2" t="s">
        <v>764</v>
      </c>
      <c r="J19" s="2" t="s">
        <v>765</v>
      </c>
      <c r="K19" s="2" t="s">
        <v>653</v>
      </c>
      <c r="L19" s="2" t="s">
        <v>766</v>
      </c>
      <c r="M19" s="2" t="s">
        <v>655</v>
      </c>
      <c r="N19" s="1">
        <v>1</v>
      </c>
      <c r="O19" s="3">
        <v>43378.502083333296</v>
      </c>
      <c r="P19" s="2" t="s">
        <v>40</v>
      </c>
      <c r="Q19" s="3">
        <v>46123.506249999999</v>
      </c>
      <c r="R19" s="2" t="s">
        <v>38</v>
      </c>
      <c r="S19" s="29" t="s">
        <v>39</v>
      </c>
      <c r="T19" s="1" t="s">
        <v>32</v>
      </c>
    </row>
    <row r="20" spans="2:20" ht="29" customHeight="1" x14ac:dyDescent="0.35">
      <c r="B20" s="2" t="s">
        <v>767</v>
      </c>
      <c r="C20" s="2" t="s">
        <v>768</v>
      </c>
      <c r="D20" s="2" t="s">
        <v>769</v>
      </c>
      <c r="E20" s="2" t="s">
        <v>770</v>
      </c>
      <c r="F20" s="2" t="s">
        <v>771</v>
      </c>
      <c r="G20" s="2" t="s">
        <v>772</v>
      </c>
      <c r="H20" s="2" t="s">
        <v>650</v>
      </c>
      <c r="I20" s="2" t="s">
        <v>773</v>
      </c>
      <c r="J20" s="2" t="s">
        <v>652</v>
      </c>
      <c r="K20" s="2" t="s">
        <v>653</v>
      </c>
      <c r="L20" s="2" t="s">
        <v>654</v>
      </c>
      <c r="M20" s="2" t="s">
        <v>655</v>
      </c>
      <c r="N20" s="1">
        <v>1</v>
      </c>
      <c r="O20" s="3">
        <v>43536.551388888904</v>
      </c>
      <c r="P20" s="2" t="s">
        <v>37</v>
      </c>
      <c r="Q20" s="3">
        <v>44457.555555555598</v>
      </c>
      <c r="R20" s="2" t="s">
        <v>41</v>
      </c>
      <c r="S20" s="29" t="s">
        <v>39</v>
      </c>
      <c r="T20" s="1" t="s">
        <v>32</v>
      </c>
    </row>
    <row r="21" spans="2:20" ht="29" customHeight="1" x14ac:dyDescent="0.35">
      <c r="B21" s="2" t="s">
        <v>774</v>
      </c>
      <c r="C21" s="2" t="s">
        <v>775</v>
      </c>
      <c r="D21" s="2" t="s">
        <v>776</v>
      </c>
      <c r="E21" s="2" t="s">
        <v>777</v>
      </c>
      <c r="F21" s="2" t="s">
        <v>778</v>
      </c>
      <c r="G21" s="2" t="s">
        <v>779</v>
      </c>
      <c r="H21" s="2" t="s">
        <v>662</v>
      </c>
      <c r="I21" s="2" t="s">
        <v>780</v>
      </c>
      <c r="J21" s="2" t="s">
        <v>652</v>
      </c>
      <c r="K21" s="2" t="s">
        <v>653</v>
      </c>
      <c r="L21" s="2" t="s">
        <v>664</v>
      </c>
      <c r="M21" s="2" t="s">
        <v>655</v>
      </c>
      <c r="N21" s="1">
        <v>1</v>
      </c>
      <c r="O21" s="3">
        <v>44062.600694444402</v>
      </c>
      <c r="P21" s="2" t="s">
        <v>38</v>
      </c>
      <c r="Q21" s="3">
        <v>44617.604861111096</v>
      </c>
      <c r="R21" s="2" t="s">
        <v>40</v>
      </c>
      <c r="S21" s="29" t="s">
        <v>39</v>
      </c>
      <c r="T21" s="1" t="s">
        <v>32</v>
      </c>
    </row>
    <row r="22" spans="2:20" ht="29" customHeight="1" x14ac:dyDescent="0.35">
      <c r="B22" s="2" t="s">
        <v>781</v>
      </c>
      <c r="C22" s="2" t="s">
        <v>782</v>
      </c>
      <c r="D22" s="2" t="s">
        <v>783</v>
      </c>
      <c r="E22" s="2" t="s">
        <v>784</v>
      </c>
      <c r="F22" s="2" t="s">
        <v>785</v>
      </c>
      <c r="G22" s="2" t="s">
        <v>786</v>
      </c>
      <c r="H22" s="2" t="s">
        <v>671</v>
      </c>
      <c r="I22" s="2" t="s">
        <v>787</v>
      </c>
      <c r="J22" s="2" t="s">
        <v>673</v>
      </c>
      <c r="K22" s="2" t="s">
        <v>653</v>
      </c>
      <c r="L22" s="2" t="s">
        <v>674</v>
      </c>
      <c r="M22" s="2" t="s">
        <v>655</v>
      </c>
      <c r="N22" s="1">
        <v>1</v>
      </c>
      <c r="O22" s="3">
        <v>44197.65</v>
      </c>
      <c r="P22" s="2" t="s">
        <v>41</v>
      </c>
      <c r="Q22" s="3">
        <v>45114.654166666704</v>
      </c>
      <c r="R22" s="2" t="s">
        <v>37</v>
      </c>
      <c r="S22" s="29" t="s">
        <v>39</v>
      </c>
      <c r="T22" s="1" t="s">
        <v>32</v>
      </c>
    </row>
    <row r="23" spans="2:20" ht="29" customHeight="1" x14ac:dyDescent="0.35">
      <c r="B23" s="2" t="s">
        <v>788</v>
      </c>
      <c r="C23" s="2" t="s">
        <v>789</v>
      </c>
      <c r="D23" s="2" t="s">
        <v>790</v>
      </c>
      <c r="E23" s="2" t="s">
        <v>791</v>
      </c>
      <c r="F23" s="2" t="s">
        <v>792</v>
      </c>
      <c r="G23" s="2" t="s">
        <v>793</v>
      </c>
      <c r="H23" s="2" t="s">
        <v>681</v>
      </c>
      <c r="I23" s="2" t="s">
        <v>794</v>
      </c>
      <c r="J23" s="2" t="s">
        <v>683</v>
      </c>
      <c r="K23" s="2" t="s">
        <v>653</v>
      </c>
      <c r="L23" s="2" t="s">
        <v>684</v>
      </c>
      <c r="M23" s="2" t="s">
        <v>655</v>
      </c>
      <c r="N23" s="1">
        <v>1</v>
      </c>
      <c r="O23" s="3">
        <v>44720.699305555601</v>
      </c>
      <c r="P23" s="2" t="s">
        <v>40</v>
      </c>
      <c r="Q23" s="3">
        <v>45640.703472222202</v>
      </c>
      <c r="R23" s="2" t="s">
        <v>38</v>
      </c>
      <c r="S23" s="29" t="s">
        <v>39</v>
      </c>
      <c r="T23" s="1" t="s">
        <v>32</v>
      </c>
    </row>
    <row r="24" spans="2:20" ht="29" customHeight="1" x14ac:dyDescent="0.35">
      <c r="B24" s="2" t="s">
        <v>795</v>
      </c>
      <c r="C24" s="2" t="s">
        <v>796</v>
      </c>
      <c r="D24" s="2" t="s">
        <v>797</v>
      </c>
      <c r="E24" s="2" t="s">
        <v>798</v>
      </c>
      <c r="F24" s="2" t="s">
        <v>799</v>
      </c>
      <c r="G24" s="2" t="s">
        <v>800</v>
      </c>
      <c r="H24" s="2" t="s">
        <v>691</v>
      </c>
      <c r="I24" s="2" t="s">
        <v>801</v>
      </c>
      <c r="J24" s="2" t="s">
        <v>693</v>
      </c>
      <c r="K24" s="2" t="s">
        <v>653</v>
      </c>
      <c r="L24" s="2" t="s">
        <v>694</v>
      </c>
      <c r="M24" s="2" t="s">
        <v>655</v>
      </c>
      <c r="N24" s="1">
        <v>1</v>
      </c>
      <c r="O24" s="3">
        <v>45245.4152777778</v>
      </c>
      <c r="P24" s="2" t="s">
        <v>37</v>
      </c>
      <c r="Q24" s="3">
        <v>45798.377777777801</v>
      </c>
      <c r="R24" s="2" t="s">
        <v>41</v>
      </c>
      <c r="S24" s="29" t="s">
        <v>39</v>
      </c>
      <c r="T24" s="1" t="s">
        <v>32</v>
      </c>
    </row>
    <row r="25" spans="2:20" ht="29" customHeight="1" x14ac:dyDescent="0.35">
      <c r="B25" s="2" t="s">
        <v>802</v>
      </c>
      <c r="C25" s="2" t="s">
        <v>803</v>
      </c>
      <c r="D25" s="2" t="s">
        <v>804</v>
      </c>
      <c r="E25" s="2" t="s">
        <v>805</v>
      </c>
      <c r="F25" s="2" t="s">
        <v>806</v>
      </c>
      <c r="G25" s="2" t="s">
        <v>807</v>
      </c>
      <c r="H25" s="2" t="s">
        <v>701</v>
      </c>
      <c r="I25" s="2" t="s">
        <v>808</v>
      </c>
      <c r="J25" s="2" t="s">
        <v>703</v>
      </c>
      <c r="K25" s="2" t="s">
        <v>653</v>
      </c>
      <c r="L25" s="2" t="s">
        <v>704</v>
      </c>
      <c r="M25" s="2" t="s">
        <v>655</v>
      </c>
      <c r="N25" s="1">
        <v>1</v>
      </c>
      <c r="O25" s="3">
        <v>45404.422916666699</v>
      </c>
      <c r="P25" s="2" t="s">
        <v>38</v>
      </c>
      <c r="Q25" s="3">
        <v>46298.427083333299</v>
      </c>
      <c r="R25" s="2" t="s">
        <v>40</v>
      </c>
      <c r="S25" s="29" t="s">
        <v>39</v>
      </c>
      <c r="T25" s="1" t="s">
        <v>32</v>
      </c>
    </row>
    <row r="26" spans="2:20" ht="29" customHeight="1" x14ac:dyDescent="0.35">
      <c r="B26" s="2" t="s">
        <v>809</v>
      </c>
      <c r="C26" s="2" t="s">
        <v>810</v>
      </c>
      <c r="D26" s="2" t="s">
        <v>811</v>
      </c>
      <c r="E26" s="2" t="s">
        <v>812</v>
      </c>
      <c r="F26" s="2" t="s">
        <v>813</v>
      </c>
      <c r="G26" s="2" t="s">
        <v>814</v>
      </c>
      <c r="H26" s="2" t="s">
        <v>711</v>
      </c>
      <c r="I26" s="2" t="s">
        <v>815</v>
      </c>
      <c r="J26" s="2" t="s">
        <v>713</v>
      </c>
      <c r="K26" s="2" t="s">
        <v>714</v>
      </c>
      <c r="L26" s="2" t="s">
        <v>715</v>
      </c>
      <c r="M26" s="2" t="s">
        <v>655</v>
      </c>
      <c r="N26" s="1">
        <v>1</v>
      </c>
      <c r="O26" s="3">
        <v>45904.472222222197</v>
      </c>
      <c r="P26" s="2" t="s">
        <v>41</v>
      </c>
      <c r="Q26" s="3">
        <v>46024.472222222197</v>
      </c>
      <c r="R26" s="2" t="s">
        <v>37</v>
      </c>
      <c r="S26" s="29" t="s">
        <v>39</v>
      </c>
      <c r="T26" s="1" t="s">
        <v>32</v>
      </c>
    </row>
    <row r="27" spans="2:20" ht="29" customHeight="1" x14ac:dyDescent="0.35">
      <c r="B27" s="2" t="s">
        <v>816</v>
      </c>
      <c r="C27" s="2" t="s">
        <v>817</v>
      </c>
      <c r="D27" s="2" t="s">
        <v>818</v>
      </c>
      <c r="E27" s="2" t="s">
        <v>819</v>
      </c>
      <c r="F27" s="2" t="s">
        <v>820</v>
      </c>
      <c r="G27" s="2" t="s">
        <v>821</v>
      </c>
      <c r="H27" s="2" t="s">
        <v>722</v>
      </c>
      <c r="I27" s="2" t="s">
        <v>822</v>
      </c>
      <c r="J27" s="2" t="s">
        <v>713</v>
      </c>
      <c r="K27" s="2" t="s">
        <v>714</v>
      </c>
      <c r="L27" s="2" t="s">
        <v>724</v>
      </c>
      <c r="M27" s="2" t="s">
        <v>655</v>
      </c>
      <c r="N27" s="1">
        <v>0</v>
      </c>
      <c r="O27" s="3">
        <v>46064.521527777797</v>
      </c>
      <c r="P27" s="2" t="s">
        <v>40</v>
      </c>
      <c r="Q27" s="3">
        <v>46251.525694444397</v>
      </c>
      <c r="R27" s="2" t="s">
        <v>38</v>
      </c>
      <c r="S27" s="29" t="s">
        <v>39</v>
      </c>
      <c r="T27" s="1" t="s">
        <v>32</v>
      </c>
    </row>
    <row r="28" spans="2:20" ht="29" customHeight="1" x14ac:dyDescent="0.35">
      <c r="B28" s="2" t="s">
        <v>823</v>
      </c>
      <c r="C28" s="2" t="s">
        <v>824</v>
      </c>
      <c r="D28" s="2" t="s">
        <v>825</v>
      </c>
      <c r="E28" s="2" t="s">
        <v>826</v>
      </c>
      <c r="F28" s="2" t="s">
        <v>827</v>
      </c>
      <c r="G28" s="2" t="s">
        <v>828</v>
      </c>
      <c r="H28" s="2" t="s">
        <v>731</v>
      </c>
      <c r="I28" s="2" t="s">
        <v>829</v>
      </c>
      <c r="J28" s="2" t="s">
        <v>733</v>
      </c>
      <c r="K28" s="2" t="s">
        <v>734</v>
      </c>
      <c r="L28" s="2" t="s">
        <v>735</v>
      </c>
      <c r="M28" s="2" t="s">
        <v>655</v>
      </c>
      <c r="N28" s="1">
        <v>1</v>
      </c>
      <c r="O28" s="3">
        <v>42934.570833333302</v>
      </c>
      <c r="P28" s="2" t="s">
        <v>37</v>
      </c>
      <c r="Q28" s="3">
        <v>44950.574999999997</v>
      </c>
      <c r="R28" s="2" t="s">
        <v>41</v>
      </c>
      <c r="S28" s="29" t="s">
        <v>39</v>
      </c>
      <c r="T28" s="1" t="s">
        <v>32</v>
      </c>
    </row>
    <row r="29" spans="2:20" ht="29" customHeight="1" x14ac:dyDescent="0.35">
      <c r="B29" s="2" t="s">
        <v>830</v>
      </c>
      <c r="C29" s="2" t="s">
        <v>831</v>
      </c>
      <c r="D29" s="2" t="s">
        <v>832</v>
      </c>
      <c r="E29" s="2" t="s">
        <v>833</v>
      </c>
      <c r="F29" s="2" t="s">
        <v>834</v>
      </c>
      <c r="G29" s="2" t="s">
        <v>835</v>
      </c>
      <c r="H29" s="2" t="s">
        <v>742</v>
      </c>
      <c r="I29" s="2" t="s">
        <v>836</v>
      </c>
      <c r="J29" s="2" t="s">
        <v>744</v>
      </c>
      <c r="K29" s="2" t="s">
        <v>745</v>
      </c>
      <c r="L29" s="2" t="s">
        <v>746</v>
      </c>
      <c r="M29" s="2" t="s">
        <v>655</v>
      </c>
      <c r="N29" s="1">
        <v>1</v>
      </c>
      <c r="O29" s="3">
        <v>43459.620138888902</v>
      </c>
      <c r="P29" s="2" t="s">
        <v>38</v>
      </c>
      <c r="Q29" s="3">
        <v>45449.624305555597</v>
      </c>
      <c r="R29" s="2" t="s">
        <v>40</v>
      </c>
      <c r="S29" s="29" t="s">
        <v>39</v>
      </c>
      <c r="T29" s="1" t="s">
        <v>32</v>
      </c>
    </row>
    <row r="30" spans="2:20" ht="29" customHeight="1" x14ac:dyDescent="0.35">
      <c r="B30" s="2" t="s">
        <v>837</v>
      </c>
      <c r="C30" s="2" t="s">
        <v>838</v>
      </c>
      <c r="D30" s="2" t="s">
        <v>839</v>
      </c>
      <c r="E30" s="2" t="s">
        <v>840</v>
      </c>
      <c r="F30" s="2" t="s">
        <v>841</v>
      </c>
      <c r="G30" s="2" t="s">
        <v>842</v>
      </c>
      <c r="H30" s="2" t="s">
        <v>753</v>
      </c>
      <c r="I30" s="2" t="s">
        <v>843</v>
      </c>
      <c r="J30" s="2" t="s">
        <v>755</v>
      </c>
      <c r="K30" s="2" t="s">
        <v>653</v>
      </c>
      <c r="L30" s="2" t="s">
        <v>756</v>
      </c>
      <c r="M30" s="2" t="s">
        <v>655</v>
      </c>
      <c r="N30" s="1">
        <v>1</v>
      </c>
      <c r="O30" s="3">
        <v>43592.627777777801</v>
      </c>
      <c r="P30" s="2" t="s">
        <v>41</v>
      </c>
      <c r="Q30" s="3">
        <v>45974.631944444402</v>
      </c>
      <c r="R30" s="2" t="s">
        <v>37</v>
      </c>
      <c r="S30" s="29" t="s">
        <v>39</v>
      </c>
      <c r="T30" s="1" t="s">
        <v>32</v>
      </c>
    </row>
    <row r="31" spans="2:20" ht="29" customHeight="1" x14ac:dyDescent="0.35">
      <c r="B31" s="2" t="s">
        <v>844</v>
      </c>
      <c r="C31" s="2" t="s">
        <v>845</v>
      </c>
      <c r="D31" s="2" t="s">
        <v>846</v>
      </c>
      <c r="E31" s="2" t="s">
        <v>847</v>
      </c>
      <c r="F31" s="2" t="s">
        <v>848</v>
      </c>
      <c r="G31" s="2" t="s">
        <v>849</v>
      </c>
      <c r="H31" s="2" t="s">
        <v>763</v>
      </c>
      <c r="I31" s="2" t="s">
        <v>850</v>
      </c>
      <c r="J31" s="2" t="s">
        <v>765</v>
      </c>
      <c r="K31" s="2" t="s">
        <v>653</v>
      </c>
      <c r="L31" s="2" t="s">
        <v>766</v>
      </c>
      <c r="M31" s="2" t="s">
        <v>655</v>
      </c>
      <c r="N31" s="1">
        <v>1</v>
      </c>
      <c r="O31" s="3">
        <v>44118.677083333299</v>
      </c>
      <c r="P31" s="2" t="s">
        <v>40</v>
      </c>
      <c r="Q31" s="3">
        <v>46132.681250000001</v>
      </c>
      <c r="R31" s="2" t="s">
        <v>38</v>
      </c>
      <c r="S31" s="29" t="s">
        <v>39</v>
      </c>
      <c r="T31" s="1" t="s">
        <v>32</v>
      </c>
    </row>
    <row r="32" spans="2:20" ht="29" customHeight="1" x14ac:dyDescent="0.35">
      <c r="B32" s="2" t="s">
        <v>851</v>
      </c>
      <c r="C32" s="2" t="s">
        <v>852</v>
      </c>
      <c r="D32" s="2" t="s">
        <v>853</v>
      </c>
      <c r="E32" s="2" t="s">
        <v>854</v>
      </c>
      <c r="F32" s="2" t="s">
        <v>855</v>
      </c>
      <c r="G32" s="2" t="s">
        <v>856</v>
      </c>
      <c r="H32" s="2" t="s">
        <v>650</v>
      </c>
      <c r="I32" s="2" t="s">
        <v>857</v>
      </c>
      <c r="J32" s="2" t="s">
        <v>652</v>
      </c>
      <c r="K32" s="2" t="s">
        <v>653</v>
      </c>
      <c r="L32" s="2" t="s">
        <v>654</v>
      </c>
      <c r="M32" s="2" t="s">
        <v>655</v>
      </c>
      <c r="N32" s="1">
        <v>1</v>
      </c>
      <c r="O32" s="3">
        <v>44276.3930555556</v>
      </c>
      <c r="P32" s="2" t="s">
        <v>37</v>
      </c>
      <c r="Q32" s="3">
        <v>44441.3972222222</v>
      </c>
      <c r="R32" s="2" t="s">
        <v>41</v>
      </c>
      <c r="S32" s="29" t="s">
        <v>39</v>
      </c>
      <c r="T32" s="1" t="s">
        <v>32</v>
      </c>
    </row>
    <row r="33" spans="2:20" ht="29" customHeight="1" x14ac:dyDescent="0.35">
      <c r="B33" s="2" t="s">
        <v>858</v>
      </c>
      <c r="C33" s="2" t="s">
        <v>859</v>
      </c>
      <c r="D33" s="2" t="s">
        <v>860</v>
      </c>
      <c r="E33" s="2" t="s">
        <v>861</v>
      </c>
      <c r="F33" s="2" t="s">
        <v>862</v>
      </c>
      <c r="G33" s="2" t="s">
        <v>863</v>
      </c>
      <c r="H33" s="2" t="s">
        <v>662</v>
      </c>
      <c r="I33" s="2" t="s">
        <v>864</v>
      </c>
      <c r="J33" s="2" t="s">
        <v>652</v>
      </c>
      <c r="K33" s="2" t="s">
        <v>653</v>
      </c>
      <c r="L33" s="2" t="s">
        <v>664</v>
      </c>
      <c r="M33" s="2" t="s">
        <v>655</v>
      </c>
      <c r="N33" s="1">
        <v>1</v>
      </c>
      <c r="O33" s="3">
        <v>44776.442361111098</v>
      </c>
      <c r="P33" s="2" t="s">
        <v>38</v>
      </c>
      <c r="Q33" s="3">
        <v>44896.442361111098</v>
      </c>
      <c r="R33" s="2" t="s">
        <v>40</v>
      </c>
      <c r="S33" s="29" t="s">
        <v>39</v>
      </c>
      <c r="T33" s="1" t="s">
        <v>32</v>
      </c>
    </row>
    <row r="34" spans="2:20" ht="29" customHeight="1" x14ac:dyDescent="0.35">
      <c r="B34" s="2" t="s">
        <v>865</v>
      </c>
      <c r="C34" s="2" t="s">
        <v>866</v>
      </c>
      <c r="D34" s="2" t="s">
        <v>867</v>
      </c>
      <c r="E34" s="2" t="s">
        <v>868</v>
      </c>
      <c r="F34" s="2" t="s">
        <v>869</v>
      </c>
      <c r="G34" s="2" t="s">
        <v>870</v>
      </c>
      <c r="H34" s="2" t="s">
        <v>671</v>
      </c>
      <c r="I34" s="2" t="s">
        <v>871</v>
      </c>
      <c r="J34" s="2" t="s">
        <v>673</v>
      </c>
      <c r="K34" s="2" t="s">
        <v>653</v>
      </c>
      <c r="L34" s="2" t="s">
        <v>674</v>
      </c>
      <c r="M34" s="2" t="s">
        <v>655</v>
      </c>
      <c r="N34" s="1">
        <v>1</v>
      </c>
      <c r="O34" s="3">
        <v>44936.491666666698</v>
      </c>
      <c r="P34" s="2" t="s">
        <v>41</v>
      </c>
      <c r="Q34" s="3">
        <v>45123.495833333298</v>
      </c>
      <c r="R34" s="2" t="s">
        <v>37</v>
      </c>
      <c r="S34" s="29" t="s">
        <v>39</v>
      </c>
      <c r="T34" s="1" t="s">
        <v>32</v>
      </c>
    </row>
    <row r="35" spans="2:20" ht="29" customHeight="1" x14ac:dyDescent="0.35">
      <c r="B35" s="2" t="s">
        <v>872</v>
      </c>
      <c r="C35" s="2" t="s">
        <v>873</v>
      </c>
      <c r="D35" s="2" t="s">
        <v>874</v>
      </c>
      <c r="E35" s="2" t="s">
        <v>875</v>
      </c>
      <c r="F35" s="2" t="s">
        <v>876</v>
      </c>
      <c r="G35" s="2" t="s">
        <v>877</v>
      </c>
      <c r="H35" s="2" t="s">
        <v>681</v>
      </c>
      <c r="I35" s="2" t="s">
        <v>878</v>
      </c>
      <c r="J35" s="2" t="s">
        <v>683</v>
      </c>
      <c r="K35" s="2" t="s">
        <v>653</v>
      </c>
      <c r="L35" s="2" t="s">
        <v>684</v>
      </c>
      <c r="M35" s="2" t="s">
        <v>655</v>
      </c>
      <c r="N35" s="1">
        <v>1</v>
      </c>
      <c r="O35" s="3">
        <v>45460.540972222203</v>
      </c>
      <c r="P35" s="2" t="s">
        <v>40</v>
      </c>
      <c r="Q35" s="3">
        <v>45649.503472222197</v>
      </c>
      <c r="R35" s="2" t="s">
        <v>38</v>
      </c>
      <c r="S35" s="29" t="s">
        <v>39</v>
      </c>
      <c r="T35" s="1" t="s">
        <v>32</v>
      </c>
    </row>
    <row r="36" spans="2:20" ht="43.5" customHeight="1" x14ac:dyDescent="0.35">
      <c r="B36" s="2" t="s">
        <v>879</v>
      </c>
      <c r="C36" s="2" t="s">
        <v>880</v>
      </c>
      <c r="D36" s="2" t="s">
        <v>881</v>
      </c>
      <c r="E36" s="2" t="s">
        <v>882</v>
      </c>
      <c r="F36" s="2" t="s">
        <v>883</v>
      </c>
      <c r="G36" s="2" t="s">
        <v>884</v>
      </c>
      <c r="H36" s="2" t="s">
        <v>691</v>
      </c>
      <c r="I36" s="2" t="s">
        <v>885</v>
      </c>
      <c r="J36" s="2" t="s">
        <v>693</v>
      </c>
      <c r="K36" s="2" t="s">
        <v>653</v>
      </c>
      <c r="L36" s="2" t="s">
        <v>694</v>
      </c>
      <c r="M36" s="2" t="s">
        <v>655</v>
      </c>
      <c r="N36" s="1">
        <v>1</v>
      </c>
      <c r="O36" s="3">
        <v>45985.548611111102</v>
      </c>
      <c r="P36" s="2" t="s">
        <v>37</v>
      </c>
      <c r="Q36" s="3">
        <v>46105.548611111102</v>
      </c>
      <c r="R36" s="2" t="s">
        <v>41</v>
      </c>
      <c r="S36" s="29" t="s">
        <v>39</v>
      </c>
      <c r="T36" s="1" t="s">
        <v>32</v>
      </c>
    </row>
    <row r="37" spans="2:20" ht="29" customHeight="1" x14ac:dyDescent="0.35">
      <c r="B37" s="2" t="s">
        <v>886</v>
      </c>
      <c r="C37" s="2" t="s">
        <v>887</v>
      </c>
      <c r="D37" s="2" t="s">
        <v>888</v>
      </c>
      <c r="E37" s="2" t="s">
        <v>889</v>
      </c>
      <c r="F37" s="2" t="s">
        <v>890</v>
      </c>
      <c r="G37" s="2" t="s">
        <v>891</v>
      </c>
      <c r="H37" s="2" t="s">
        <v>701</v>
      </c>
      <c r="I37" s="2" t="s">
        <v>892</v>
      </c>
      <c r="J37" s="2" t="s">
        <v>703</v>
      </c>
      <c r="K37" s="2" t="s">
        <v>653</v>
      </c>
      <c r="L37" s="2" t="s">
        <v>704</v>
      </c>
      <c r="M37" s="2" t="s">
        <v>655</v>
      </c>
      <c r="N37" s="1">
        <v>0</v>
      </c>
      <c r="O37" s="3">
        <v>46118.597916666702</v>
      </c>
      <c r="P37" s="2" t="s">
        <v>38</v>
      </c>
      <c r="Q37" s="3">
        <v>46307.602083333302</v>
      </c>
      <c r="R37" s="2" t="s">
        <v>40</v>
      </c>
      <c r="S37" s="29" t="s">
        <v>39</v>
      </c>
      <c r="T37" s="1" t="s">
        <v>32</v>
      </c>
    </row>
    <row r="38" spans="2:20" ht="29" customHeight="1" x14ac:dyDescent="0.35">
      <c r="B38" s="2" t="s">
        <v>893</v>
      </c>
      <c r="C38" s="2" t="s">
        <v>894</v>
      </c>
      <c r="D38" s="2" t="s">
        <v>895</v>
      </c>
      <c r="E38" s="2" t="s">
        <v>647</v>
      </c>
      <c r="F38" s="2" t="s">
        <v>896</v>
      </c>
      <c r="G38" s="2" t="s">
        <v>897</v>
      </c>
      <c r="H38" s="2" t="s">
        <v>711</v>
      </c>
      <c r="I38" s="2" t="s">
        <v>898</v>
      </c>
      <c r="J38" s="2" t="s">
        <v>713</v>
      </c>
      <c r="K38" s="2" t="s">
        <v>714</v>
      </c>
      <c r="L38" s="2" t="s">
        <v>715</v>
      </c>
      <c r="M38" s="2" t="s">
        <v>655</v>
      </c>
      <c r="N38" s="1">
        <v>1</v>
      </c>
      <c r="O38" s="3">
        <v>42991.6472222222</v>
      </c>
      <c r="P38" s="2" t="s">
        <v>41</v>
      </c>
      <c r="Q38" s="3">
        <v>44274.651388888902</v>
      </c>
      <c r="R38" s="2" t="s">
        <v>37</v>
      </c>
      <c r="S38" s="29" t="s">
        <v>39</v>
      </c>
      <c r="T38" s="1" t="s">
        <v>32</v>
      </c>
    </row>
    <row r="39" spans="2:20" ht="29" customHeight="1" x14ac:dyDescent="0.35">
      <c r="B39" s="2" t="s">
        <v>899</v>
      </c>
      <c r="C39" s="2" t="s">
        <v>900</v>
      </c>
      <c r="D39" s="2" t="s">
        <v>901</v>
      </c>
      <c r="E39" s="2" t="s">
        <v>659</v>
      </c>
      <c r="F39" s="2" t="s">
        <v>902</v>
      </c>
      <c r="G39" s="2" t="s">
        <v>903</v>
      </c>
      <c r="H39" s="2" t="s">
        <v>722</v>
      </c>
      <c r="I39" s="2" t="s">
        <v>904</v>
      </c>
      <c r="J39" s="2" t="s">
        <v>713</v>
      </c>
      <c r="K39" s="2" t="s">
        <v>714</v>
      </c>
      <c r="L39" s="2" t="s">
        <v>724</v>
      </c>
      <c r="M39" s="2" t="s">
        <v>655</v>
      </c>
      <c r="N39" s="1">
        <v>1</v>
      </c>
      <c r="O39" s="3">
        <v>43151.6965277778</v>
      </c>
      <c r="P39" s="2" t="s">
        <v>40</v>
      </c>
      <c r="Q39" s="3">
        <v>44774.7006944444</v>
      </c>
      <c r="R39" s="2" t="s">
        <v>38</v>
      </c>
      <c r="S39" s="29" t="s">
        <v>39</v>
      </c>
      <c r="T39" s="1" t="s">
        <v>32</v>
      </c>
    </row>
    <row r="40" spans="2:20" ht="29" customHeight="1" x14ac:dyDescent="0.35">
      <c r="B40" s="2" t="s">
        <v>905</v>
      </c>
      <c r="C40" s="2" t="s">
        <v>906</v>
      </c>
      <c r="D40" s="2" t="s">
        <v>907</v>
      </c>
      <c r="E40" s="2" t="s">
        <v>668</v>
      </c>
      <c r="F40" s="2" t="s">
        <v>908</v>
      </c>
      <c r="G40" s="2" t="s">
        <v>909</v>
      </c>
      <c r="H40" s="2" t="s">
        <v>731</v>
      </c>
      <c r="I40" s="2" t="s">
        <v>910</v>
      </c>
      <c r="J40" s="2" t="s">
        <v>733</v>
      </c>
      <c r="K40" s="2" t="s">
        <v>734</v>
      </c>
      <c r="L40" s="2" t="s">
        <v>735</v>
      </c>
      <c r="M40" s="2" t="s">
        <v>655</v>
      </c>
      <c r="N40" s="1">
        <v>1</v>
      </c>
      <c r="O40" s="3">
        <v>43648.412499999999</v>
      </c>
      <c r="P40" s="2" t="s">
        <v>37</v>
      </c>
      <c r="Q40" s="3">
        <v>44934.375</v>
      </c>
      <c r="R40" s="2" t="s">
        <v>41</v>
      </c>
      <c r="S40" s="29" t="s">
        <v>39</v>
      </c>
      <c r="T40" s="1" t="s">
        <v>32</v>
      </c>
    </row>
    <row r="41" spans="2:20" ht="29" customHeight="1" x14ac:dyDescent="0.35">
      <c r="B41" s="2" t="s">
        <v>911</v>
      </c>
      <c r="C41" s="2" t="s">
        <v>912</v>
      </c>
      <c r="D41" s="2" t="s">
        <v>913</v>
      </c>
      <c r="E41" s="2" t="s">
        <v>678</v>
      </c>
      <c r="F41" s="2" t="s">
        <v>914</v>
      </c>
      <c r="G41" s="2" t="s">
        <v>915</v>
      </c>
      <c r="H41" s="2" t="s">
        <v>742</v>
      </c>
      <c r="I41" s="2" t="s">
        <v>916</v>
      </c>
      <c r="J41" s="2" t="s">
        <v>744</v>
      </c>
      <c r="K41" s="2" t="s">
        <v>745</v>
      </c>
      <c r="L41" s="2" t="s">
        <v>746</v>
      </c>
      <c r="M41" s="2" t="s">
        <v>655</v>
      </c>
      <c r="N41" s="1">
        <v>1</v>
      </c>
      <c r="O41" s="3">
        <v>44174.420138888898</v>
      </c>
      <c r="P41" s="2" t="s">
        <v>38</v>
      </c>
      <c r="Q41" s="3">
        <v>45458.4243055556</v>
      </c>
      <c r="R41" s="2" t="s">
        <v>40</v>
      </c>
      <c r="S41" s="29" t="s">
        <v>39</v>
      </c>
      <c r="T41" s="1" t="s">
        <v>32</v>
      </c>
    </row>
    <row r="42" spans="2:20" ht="29" customHeight="1" x14ac:dyDescent="0.35">
      <c r="B42" s="2" t="s">
        <v>917</v>
      </c>
      <c r="C42" s="2" t="s">
        <v>918</v>
      </c>
      <c r="D42" s="2" t="s">
        <v>919</v>
      </c>
      <c r="E42" s="2" t="s">
        <v>688</v>
      </c>
      <c r="F42" s="2" t="s">
        <v>920</v>
      </c>
      <c r="G42" s="2" t="s">
        <v>921</v>
      </c>
      <c r="H42" s="2" t="s">
        <v>753</v>
      </c>
      <c r="I42" s="2" t="s">
        <v>922</v>
      </c>
      <c r="J42" s="2" t="s">
        <v>755</v>
      </c>
      <c r="K42" s="2" t="s">
        <v>653</v>
      </c>
      <c r="L42" s="2" t="s">
        <v>756</v>
      </c>
      <c r="M42" s="2" t="s">
        <v>655</v>
      </c>
      <c r="N42" s="1">
        <v>1</v>
      </c>
      <c r="O42" s="3">
        <v>44332.469444444403</v>
      </c>
      <c r="P42" s="2" t="s">
        <v>41</v>
      </c>
      <c r="Q42" s="3">
        <v>45983.473611111098</v>
      </c>
      <c r="R42" s="2" t="s">
        <v>37</v>
      </c>
      <c r="S42" s="29" t="s">
        <v>39</v>
      </c>
      <c r="T42" s="1" t="s">
        <v>32</v>
      </c>
    </row>
    <row r="43" spans="2:20" ht="29" customHeight="1" x14ac:dyDescent="0.35">
      <c r="B43" s="2" t="s">
        <v>923</v>
      </c>
      <c r="C43" s="2" t="s">
        <v>924</v>
      </c>
      <c r="D43" s="2" t="s">
        <v>925</v>
      </c>
      <c r="E43" s="2" t="s">
        <v>698</v>
      </c>
      <c r="F43" s="2" t="s">
        <v>926</v>
      </c>
      <c r="G43" s="2" t="s">
        <v>927</v>
      </c>
      <c r="H43" s="2" t="s">
        <v>763</v>
      </c>
      <c r="I43" s="2" t="s">
        <v>928</v>
      </c>
      <c r="J43" s="2" t="s">
        <v>765</v>
      </c>
      <c r="K43" s="2" t="s">
        <v>653</v>
      </c>
      <c r="L43" s="2" t="s">
        <v>766</v>
      </c>
      <c r="M43" s="2" t="s">
        <v>655</v>
      </c>
      <c r="N43" s="1">
        <v>1</v>
      </c>
      <c r="O43" s="3">
        <v>44857.518750000003</v>
      </c>
      <c r="P43" s="2" t="s">
        <v>40</v>
      </c>
      <c r="Q43" s="3">
        <v>46116.522916666698</v>
      </c>
      <c r="R43" s="2" t="s">
        <v>38</v>
      </c>
      <c r="S43" s="29" t="s">
        <v>39</v>
      </c>
      <c r="T43" s="1" t="s">
        <v>32</v>
      </c>
    </row>
    <row r="44" spans="2:20" ht="29" customHeight="1" x14ac:dyDescent="0.35">
      <c r="B44" s="2" t="s">
        <v>929</v>
      </c>
      <c r="C44" s="2" t="s">
        <v>930</v>
      </c>
      <c r="D44" s="2" t="s">
        <v>931</v>
      </c>
      <c r="E44" s="2" t="s">
        <v>708</v>
      </c>
      <c r="F44" s="2" t="s">
        <v>932</v>
      </c>
      <c r="G44" s="2" t="s">
        <v>933</v>
      </c>
      <c r="H44" s="2" t="s">
        <v>650</v>
      </c>
      <c r="I44" s="2" t="s">
        <v>934</v>
      </c>
      <c r="J44" s="2" t="s">
        <v>652</v>
      </c>
      <c r="K44" s="2" t="s">
        <v>653</v>
      </c>
      <c r="L44" s="2" t="s">
        <v>654</v>
      </c>
      <c r="M44" s="2" t="s">
        <v>655</v>
      </c>
      <c r="N44" s="1">
        <v>1</v>
      </c>
      <c r="O44" s="3">
        <v>44990.568055555603</v>
      </c>
      <c r="P44" s="2" t="s">
        <v>37</v>
      </c>
      <c r="Q44" s="3">
        <v>45180.572222222203</v>
      </c>
      <c r="R44" s="2" t="s">
        <v>41</v>
      </c>
      <c r="S44" s="29" t="s">
        <v>39</v>
      </c>
      <c r="T44" s="1" t="s">
        <v>32</v>
      </c>
    </row>
    <row r="45" spans="2:20" ht="29" customHeight="1" x14ac:dyDescent="0.35">
      <c r="B45" s="2" t="s">
        <v>935</v>
      </c>
      <c r="C45" s="2" t="s">
        <v>936</v>
      </c>
      <c r="D45" s="2" t="s">
        <v>937</v>
      </c>
      <c r="E45" s="2" t="s">
        <v>938</v>
      </c>
      <c r="F45" s="2" t="s">
        <v>939</v>
      </c>
      <c r="G45" s="2" t="s">
        <v>940</v>
      </c>
      <c r="H45" s="2" t="s">
        <v>662</v>
      </c>
      <c r="I45" s="2" t="s">
        <v>941</v>
      </c>
      <c r="J45" s="2" t="s">
        <v>652</v>
      </c>
      <c r="K45" s="2" t="s">
        <v>653</v>
      </c>
      <c r="L45" s="2" t="s">
        <v>664</v>
      </c>
      <c r="M45" s="2" t="s">
        <v>655</v>
      </c>
      <c r="N45" s="1">
        <v>1</v>
      </c>
      <c r="O45" s="3">
        <v>45516.617361111101</v>
      </c>
      <c r="P45" s="2" t="s">
        <v>38</v>
      </c>
      <c r="Q45" s="3">
        <v>45636.617361111101</v>
      </c>
      <c r="R45" s="2" t="s">
        <v>40</v>
      </c>
      <c r="S45" s="29" t="s">
        <v>39</v>
      </c>
      <c r="T45" s="1" t="s">
        <v>32</v>
      </c>
    </row>
    <row r="46" spans="2:20" ht="29" customHeight="1" x14ac:dyDescent="0.35">
      <c r="B46" s="2" t="s">
        <v>942</v>
      </c>
      <c r="C46" s="2" t="s">
        <v>943</v>
      </c>
      <c r="D46" s="2" t="s">
        <v>944</v>
      </c>
      <c r="E46" s="2" t="s">
        <v>728</v>
      </c>
      <c r="F46" s="2" t="s">
        <v>945</v>
      </c>
      <c r="G46" s="2" t="s">
        <v>946</v>
      </c>
      <c r="H46" s="2" t="s">
        <v>671</v>
      </c>
      <c r="I46" s="2" t="s">
        <v>947</v>
      </c>
      <c r="J46" s="2" t="s">
        <v>673</v>
      </c>
      <c r="K46" s="2" t="s">
        <v>653</v>
      </c>
      <c r="L46" s="2" t="s">
        <v>674</v>
      </c>
      <c r="M46" s="2" t="s">
        <v>655</v>
      </c>
      <c r="N46" s="1">
        <v>1</v>
      </c>
      <c r="O46" s="3">
        <v>45676.625</v>
      </c>
      <c r="P46" s="2" t="s">
        <v>41</v>
      </c>
      <c r="Q46" s="3">
        <v>45863.629166666702</v>
      </c>
      <c r="R46" s="2" t="s">
        <v>37</v>
      </c>
      <c r="S46" s="29" t="s">
        <v>39</v>
      </c>
      <c r="T46" s="1" t="s">
        <v>32</v>
      </c>
    </row>
    <row r="47" spans="2:20" ht="29" customHeight="1" x14ac:dyDescent="0.35">
      <c r="B47" s="2" t="s">
        <v>948</v>
      </c>
      <c r="C47" s="2" t="s">
        <v>949</v>
      </c>
      <c r="D47" s="2" t="s">
        <v>950</v>
      </c>
      <c r="E47" s="2" t="s">
        <v>739</v>
      </c>
      <c r="F47" s="2" t="s">
        <v>951</v>
      </c>
      <c r="G47" s="2" t="s">
        <v>952</v>
      </c>
      <c r="H47" s="2" t="s">
        <v>681</v>
      </c>
      <c r="I47" s="2" t="s">
        <v>953</v>
      </c>
      <c r="J47" s="2" t="s">
        <v>683</v>
      </c>
      <c r="K47" s="2" t="s">
        <v>653</v>
      </c>
      <c r="L47" s="2" t="s">
        <v>684</v>
      </c>
      <c r="M47" s="2" t="s">
        <v>655</v>
      </c>
      <c r="N47" s="1">
        <v>0</v>
      </c>
      <c r="O47" s="3">
        <v>46174.6743055556</v>
      </c>
      <c r="P47" s="2" t="s">
        <v>40</v>
      </c>
      <c r="Q47" s="3">
        <v>46363.6784722222</v>
      </c>
      <c r="R47" s="2" t="s">
        <v>38</v>
      </c>
      <c r="S47" s="29" t="s">
        <v>39</v>
      </c>
      <c r="T47" s="1" t="s">
        <v>32</v>
      </c>
    </row>
    <row r="48" spans="2:20" ht="29" customHeight="1" x14ac:dyDescent="0.35">
      <c r="B48" s="2" t="s">
        <v>954</v>
      </c>
      <c r="C48" s="2" t="s">
        <v>955</v>
      </c>
      <c r="D48" s="2" t="s">
        <v>956</v>
      </c>
      <c r="E48" s="2" t="s">
        <v>750</v>
      </c>
      <c r="F48" s="2" t="s">
        <v>957</v>
      </c>
      <c r="G48" s="2" t="s">
        <v>958</v>
      </c>
      <c r="H48" s="2" t="s">
        <v>691</v>
      </c>
      <c r="I48" s="2" t="s">
        <v>959</v>
      </c>
      <c r="J48" s="2" t="s">
        <v>693</v>
      </c>
      <c r="K48" s="2" t="s">
        <v>653</v>
      </c>
      <c r="L48" s="2" t="s">
        <v>694</v>
      </c>
      <c r="M48" s="2" t="s">
        <v>655</v>
      </c>
      <c r="N48" s="1">
        <v>1</v>
      </c>
      <c r="O48" s="3">
        <v>43047.390277777798</v>
      </c>
      <c r="P48" s="2" t="s">
        <v>37</v>
      </c>
      <c r="Q48" s="3">
        <v>45791.394444444399</v>
      </c>
      <c r="R48" s="2" t="s">
        <v>41</v>
      </c>
      <c r="S48" s="29" t="s">
        <v>39</v>
      </c>
      <c r="T48" s="1" t="s">
        <v>32</v>
      </c>
    </row>
    <row r="49" spans="2:20" ht="29" customHeight="1" x14ac:dyDescent="0.35">
      <c r="B49" s="2" t="s">
        <v>960</v>
      </c>
      <c r="C49" s="2" t="s">
        <v>961</v>
      </c>
      <c r="D49" s="2" t="s">
        <v>962</v>
      </c>
      <c r="E49" s="2" t="s">
        <v>760</v>
      </c>
      <c r="F49" s="2" t="s">
        <v>963</v>
      </c>
      <c r="G49" s="2" t="s">
        <v>964</v>
      </c>
      <c r="H49" s="2" t="s">
        <v>701</v>
      </c>
      <c r="I49" s="2" t="s">
        <v>965</v>
      </c>
      <c r="J49" s="2" t="s">
        <v>703</v>
      </c>
      <c r="K49" s="2" t="s">
        <v>653</v>
      </c>
      <c r="L49" s="2" t="s">
        <v>704</v>
      </c>
      <c r="M49" s="2" t="s">
        <v>655</v>
      </c>
      <c r="N49" s="1">
        <v>1</v>
      </c>
      <c r="O49" s="3">
        <v>43205.439583333296</v>
      </c>
      <c r="P49" s="2" t="s">
        <v>38</v>
      </c>
      <c r="Q49" s="3">
        <v>46316.443749999999</v>
      </c>
      <c r="R49" s="2" t="s">
        <v>40</v>
      </c>
      <c r="S49" s="29" t="s">
        <v>39</v>
      </c>
      <c r="T49" s="1" t="s">
        <v>32</v>
      </c>
    </row>
    <row r="50" spans="2:20" ht="29" customHeight="1" x14ac:dyDescent="0.35">
      <c r="B50" s="2" t="s">
        <v>966</v>
      </c>
      <c r="C50" s="2" t="s">
        <v>967</v>
      </c>
      <c r="D50" s="2" t="s">
        <v>968</v>
      </c>
      <c r="E50" s="2" t="s">
        <v>770</v>
      </c>
      <c r="F50" s="2" t="s">
        <v>969</v>
      </c>
      <c r="G50" s="2" t="s">
        <v>970</v>
      </c>
      <c r="H50" s="2" t="s">
        <v>711</v>
      </c>
      <c r="I50" s="2" t="s">
        <v>971</v>
      </c>
      <c r="J50" s="2" t="s">
        <v>713</v>
      </c>
      <c r="K50" s="2" t="s">
        <v>714</v>
      </c>
      <c r="L50" s="2" t="s">
        <v>715</v>
      </c>
      <c r="M50" s="2" t="s">
        <v>655</v>
      </c>
      <c r="N50" s="1">
        <v>1</v>
      </c>
      <c r="O50" s="3">
        <v>43730.488888888904</v>
      </c>
      <c r="P50" s="2" t="s">
        <v>41</v>
      </c>
      <c r="Q50" s="3">
        <v>44258.493055555598</v>
      </c>
      <c r="R50" s="2" t="s">
        <v>37</v>
      </c>
      <c r="S50" s="29" t="s">
        <v>39</v>
      </c>
      <c r="T50" s="1" t="s">
        <v>32</v>
      </c>
    </row>
    <row r="51" spans="2:20" ht="29" customHeight="1" x14ac:dyDescent="0.35">
      <c r="B51" s="2" t="s">
        <v>972</v>
      </c>
      <c r="C51" s="2" t="s">
        <v>973</v>
      </c>
      <c r="D51" s="2" t="s">
        <v>974</v>
      </c>
      <c r="E51" s="2" t="s">
        <v>777</v>
      </c>
      <c r="F51" s="2" t="s">
        <v>975</v>
      </c>
      <c r="G51" s="2" t="s">
        <v>976</v>
      </c>
      <c r="H51" s="2" t="s">
        <v>722</v>
      </c>
      <c r="I51" s="2" t="s">
        <v>977</v>
      </c>
      <c r="J51" s="2" t="s">
        <v>713</v>
      </c>
      <c r="K51" s="2" t="s">
        <v>714</v>
      </c>
      <c r="L51" s="2" t="s">
        <v>724</v>
      </c>
      <c r="M51" s="2" t="s">
        <v>655</v>
      </c>
      <c r="N51" s="1">
        <v>1</v>
      </c>
      <c r="O51" s="3">
        <v>43865.538194444402</v>
      </c>
      <c r="P51" s="2" t="s">
        <v>40</v>
      </c>
      <c r="Q51" s="3">
        <v>44783.500694444403</v>
      </c>
      <c r="R51" s="2" t="s">
        <v>38</v>
      </c>
      <c r="S51" s="29" t="s">
        <v>39</v>
      </c>
      <c r="T51" s="1" t="s">
        <v>32</v>
      </c>
    </row>
    <row r="52" spans="2:20" ht="29" customHeight="1" x14ac:dyDescent="0.35">
      <c r="B52" s="2" t="s">
        <v>978</v>
      </c>
      <c r="C52" s="2" t="s">
        <v>979</v>
      </c>
      <c r="D52" s="2" t="s">
        <v>980</v>
      </c>
      <c r="E52" s="2" t="s">
        <v>784</v>
      </c>
      <c r="F52" s="2" t="s">
        <v>981</v>
      </c>
      <c r="G52" s="2" t="s">
        <v>982</v>
      </c>
      <c r="H52" s="2" t="s">
        <v>731</v>
      </c>
      <c r="I52" s="2" t="s">
        <v>983</v>
      </c>
      <c r="J52" s="2" t="s">
        <v>733</v>
      </c>
      <c r="K52" s="2" t="s">
        <v>734</v>
      </c>
      <c r="L52" s="2" t="s">
        <v>735</v>
      </c>
      <c r="M52" s="2" t="s">
        <v>655</v>
      </c>
      <c r="N52" s="1">
        <v>1</v>
      </c>
      <c r="O52" s="3">
        <v>44388.545833333301</v>
      </c>
      <c r="P52" s="2" t="s">
        <v>37</v>
      </c>
      <c r="Q52" s="3">
        <v>44943.55</v>
      </c>
      <c r="R52" s="2" t="s">
        <v>41</v>
      </c>
      <c r="S52" s="29" t="s">
        <v>39</v>
      </c>
      <c r="T52" s="1" t="s">
        <v>32</v>
      </c>
    </row>
    <row r="53" spans="2:20" ht="29" customHeight="1" x14ac:dyDescent="0.35">
      <c r="B53" s="2" t="s">
        <v>984</v>
      </c>
      <c r="C53" s="2" t="s">
        <v>985</v>
      </c>
      <c r="D53" s="2" t="s">
        <v>986</v>
      </c>
      <c r="E53" s="2" t="s">
        <v>791</v>
      </c>
      <c r="F53" s="2" t="s">
        <v>987</v>
      </c>
      <c r="G53" s="2" t="s">
        <v>988</v>
      </c>
      <c r="H53" s="2" t="s">
        <v>742</v>
      </c>
      <c r="I53" s="2" t="s">
        <v>989</v>
      </c>
      <c r="J53" s="2" t="s">
        <v>744</v>
      </c>
      <c r="K53" s="2" t="s">
        <v>745</v>
      </c>
      <c r="L53" s="2" t="s">
        <v>746</v>
      </c>
      <c r="M53" s="2" t="s">
        <v>655</v>
      </c>
      <c r="N53" s="1">
        <v>1</v>
      </c>
      <c r="O53" s="3">
        <v>44913.595138888901</v>
      </c>
      <c r="P53" s="2" t="s">
        <v>38</v>
      </c>
      <c r="Q53" s="3">
        <v>45467.599305555603</v>
      </c>
      <c r="R53" s="2" t="s">
        <v>40</v>
      </c>
      <c r="S53" s="29" t="s">
        <v>39</v>
      </c>
      <c r="T53" s="1" t="s">
        <v>32</v>
      </c>
    </row>
    <row r="54" spans="2:20" ht="29" customHeight="1" x14ac:dyDescent="0.35">
      <c r="B54" s="2" t="s">
        <v>990</v>
      </c>
      <c r="C54" s="2" t="s">
        <v>991</v>
      </c>
      <c r="D54" s="2" t="s">
        <v>992</v>
      </c>
      <c r="E54" s="2" t="s">
        <v>798</v>
      </c>
      <c r="F54" s="2" t="s">
        <v>993</v>
      </c>
      <c r="G54" s="2" t="s">
        <v>994</v>
      </c>
      <c r="H54" s="2" t="s">
        <v>753</v>
      </c>
      <c r="I54" s="2" t="s">
        <v>995</v>
      </c>
      <c r="J54" s="2" t="s">
        <v>755</v>
      </c>
      <c r="K54" s="2" t="s">
        <v>653</v>
      </c>
      <c r="L54" s="2" t="s">
        <v>756</v>
      </c>
      <c r="M54" s="2" t="s">
        <v>655</v>
      </c>
      <c r="N54" s="1">
        <v>1</v>
      </c>
      <c r="O54" s="3">
        <v>45071.644444444399</v>
      </c>
      <c r="P54" s="2" t="s">
        <v>41</v>
      </c>
      <c r="Q54" s="3">
        <v>45967.648611111101</v>
      </c>
      <c r="R54" s="2" t="s">
        <v>37</v>
      </c>
      <c r="S54" s="29" t="s">
        <v>39</v>
      </c>
      <c r="T54" s="1" t="s">
        <v>32</v>
      </c>
    </row>
    <row r="55" spans="2:20" ht="29" customHeight="1" x14ac:dyDescent="0.35">
      <c r="B55" s="2" t="s">
        <v>996</v>
      </c>
      <c r="C55" s="2" t="s">
        <v>997</v>
      </c>
      <c r="D55" s="2" t="s">
        <v>998</v>
      </c>
      <c r="E55" s="2" t="s">
        <v>999</v>
      </c>
      <c r="F55" s="2" t="s">
        <v>1000</v>
      </c>
      <c r="G55" s="2" t="s">
        <v>1001</v>
      </c>
      <c r="H55" s="2" t="s">
        <v>763</v>
      </c>
      <c r="I55" s="2" t="s">
        <v>1002</v>
      </c>
      <c r="J55" s="2" t="s">
        <v>765</v>
      </c>
      <c r="K55" s="2" t="s">
        <v>653</v>
      </c>
      <c r="L55" s="2" t="s">
        <v>766</v>
      </c>
      <c r="M55" s="2" t="s">
        <v>655</v>
      </c>
      <c r="N55" s="1">
        <v>1</v>
      </c>
      <c r="O55" s="3">
        <v>45572.693749999999</v>
      </c>
      <c r="P55" s="2" t="s">
        <v>40</v>
      </c>
      <c r="Q55" s="3">
        <v>46125.697916666701</v>
      </c>
      <c r="R55" s="2" t="s">
        <v>38</v>
      </c>
      <c r="S55" s="29" t="s">
        <v>39</v>
      </c>
      <c r="T55" s="1" t="s">
        <v>32</v>
      </c>
    </row>
    <row r="56" spans="2:20" ht="43.5" customHeight="1" x14ac:dyDescent="0.35">
      <c r="B56" s="2" t="s">
        <v>1003</v>
      </c>
      <c r="C56" s="2" t="s">
        <v>1004</v>
      </c>
      <c r="D56" s="2" t="s">
        <v>1005</v>
      </c>
      <c r="E56" s="2" t="s">
        <v>812</v>
      </c>
      <c r="F56" s="2" t="s">
        <v>1006</v>
      </c>
      <c r="G56" s="2" t="s">
        <v>1007</v>
      </c>
      <c r="H56" s="2" t="s">
        <v>650</v>
      </c>
      <c r="I56" s="2" t="s">
        <v>1008</v>
      </c>
      <c r="J56" s="2" t="s">
        <v>652</v>
      </c>
      <c r="K56" s="2" t="s">
        <v>653</v>
      </c>
      <c r="L56" s="2" t="s">
        <v>654</v>
      </c>
      <c r="M56" s="2" t="s">
        <v>655</v>
      </c>
      <c r="N56" s="1">
        <v>1</v>
      </c>
      <c r="O56" s="3">
        <v>45730.409722222197</v>
      </c>
      <c r="P56" s="2" t="s">
        <v>37</v>
      </c>
      <c r="Q56" s="3">
        <v>45920.413888888899</v>
      </c>
      <c r="R56" s="2" t="s">
        <v>41</v>
      </c>
      <c r="S56" s="29" t="s">
        <v>39</v>
      </c>
      <c r="T56" s="1" t="s">
        <v>32</v>
      </c>
    </row>
    <row r="57" spans="2:20" ht="29" customHeight="1" x14ac:dyDescent="0.35">
      <c r="B57" s="2" t="s">
        <v>1009</v>
      </c>
      <c r="C57" s="2" t="s">
        <v>1010</v>
      </c>
      <c r="D57" s="2" t="s">
        <v>1011</v>
      </c>
      <c r="E57" s="2" t="s">
        <v>819</v>
      </c>
      <c r="F57" s="2" t="s">
        <v>1012</v>
      </c>
      <c r="G57" s="2" t="s">
        <v>1013</v>
      </c>
      <c r="H57" s="2" t="s">
        <v>662</v>
      </c>
      <c r="I57" s="2" t="s">
        <v>1014</v>
      </c>
      <c r="J57" s="2" t="s">
        <v>652</v>
      </c>
      <c r="K57" s="2" t="s">
        <v>653</v>
      </c>
      <c r="L57" s="2" t="s">
        <v>664</v>
      </c>
      <c r="M57" s="2" t="s">
        <v>655</v>
      </c>
      <c r="N57" s="1">
        <v>0</v>
      </c>
      <c r="O57" s="3">
        <v>46255.417361111096</v>
      </c>
      <c r="P57" s="2" t="s">
        <v>38</v>
      </c>
      <c r="Q57" s="3">
        <v>46375.417361111096</v>
      </c>
      <c r="R57" s="2" t="s">
        <v>40</v>
      </c>
      <c r="S57" s="29" t="s">
        <v>39</v>
      </c>
      <c r="T57" s="1" t="s">
        <v>32</v>
      </c>
    </row>
    <row r="58" spans="2:20" ht="29" customHeight="1" x14ac:dyDescent="0.35">
      <c r="B58" s="2" t="s">
        <v>1015</v>
      </c>
      <c r="C58" s="2" t="s">
        <v>1016</v>
      </c>
      <c r="D58" s="2" t="s">
        <v>1017</v>
      </c>
      <c r="E58" s="2" t="s">
        <v>826</v>
      </c>
      <c r="F58" s="2" t="s">
        <v>1018</v>
      </c>
      <c r="G58" s="2" t="s">
        <v>1019</v>
      </c>
      <c r="H58" s="2" t="s">
        <v>671</v>
      </c>
      <c r="I58" s="2" t="s">
        <v>1020</v>
      </c>
      <c r="J58" s="2" t="s">
        <v>673</v>
      </c>
      <c r="K58" s="2" t="s">
        <v>653</v>
      </c>
      <c r="L58" s="2" t="s">
        <v>674</v>
      </c>
      <c r="M58" s="2" t="s">
        <v>655</v>
      </c>
      <c r="N58" s="1">
        <v>1</v>
      </c>
      <c r="O58" s="3">
        <v>42738.466666666704</v>
      </c>
      <c r="P58" s="2" t="s">
        <v>41</v>
      </c>
      <c r="Q58" s="3">
        <v>45116.470833333296</v>
      </c>
      <c r="R58" s="2" t="s">
        <v>37</v>
      </c>
      <c r="S58" s="29" t="s">
        <v>39</v>
      </c>
      <c r="T58" s="1" t="s">
        <v>32</v>
      </c>
    </row>
    <row r="59" spans="2:20" ht="29" customHeight="1" x14ac:dyDescent="0.35">
      <c r="B59" s="2" t="s">
        <v>1021</v>
      </c>
      <c r="C59" s="2" t="s">
        <v>1022</v>
      </c>
      <c r="D59" s="2" t="s">
        <v>1023</v>
      </c>
      <c r="E59" s="2" t="s">
        <v>833</v>
      </c>
      <c r="F59" s="2" t="s">
        <v>1024</v>
      </c>
      <c r="G59" s="2" t="s">
        <v>1025</v>
      </c>
      <c r="H59" s="2" t="s">
        <v>681</v>
      </c>
      <c r="I59" s="2" t="s">
        <v>1026</v>
      </c>
      <c r="J59" s="2" t="s">
        <v>683</v>
      </c>
      <c r="K59" s="2" t="s">
        <v>653</v>
      </c>
      <c r="L59" s="2" t="s">
        <v>684</v>
      </c>
      <c r="M59" s="2" t="s">
        <v>655</v>
      </c>
      <c r="N59" s="1">
        <v>1</v>
      </c>
      <c r="O59" s="3">
        <v>43261.515972222202</v>
      </c>
      <c r="P59" s="2" t="s">
        <v>40</v>
      </c>
      <c r="Q59" s="3">
        <v>45642.520138888904</v>
      </c>
      <c r="R59" s="2" t="s">
        <v>38</v>
      </c>
      <c r="S59" s="29" t="s">
        <v>39</v>
      </c>
      <c r="T59" s="1" t="s">
        <v>32</v>
      </c>
    </row>
    <row r="60" spans="2:20" ht="29" customHeight="1" x14ac:dyDescent="0.35">
      <c r="B60" s="2" t="s">
        <v>1027</v>
      </c>
      <c r="C60" s="2" t="s">
        <v>1028</v>
      </c>
      <c r="D60" s="2" t="s">
        <v>1029</v>
      </c>
      <c r="E60" s="2" t="s">
        <v>840</v>
      </c>
      <c r="F60" s="2" t="s">
        <v>1030</v>
      </c>
      <c r="G60" s="2" t="s">
        <v>1031</v>
      </c>
      <c r="H60" s="2" t="s">
        <v>691</v>
      </c>
      <c r="I60" s="2" t="s">
        <v>1032</v>
      </c>
      <c r="J60" s="2" t="s">
        <v>693</v>
      </c>
      <c r="K60" s="2" t="s">
        <v>653</v>
      </c>
      <c r="L60" s="2" t="s">
        <v>694</v>
      </c>
      <c r="M60" s="2" t="s">
        <v>655</v>
      </c>
      <c r="N60" s="1">
        <v>1</v>
      </c>
      <c r="O60" s="3">
        <v>43786.565277777801</v>
      </c>
      <c r="P60" s="2" t="s">
        <v>37</v>
      </c>
      <c r="Q60" s="3">
        <v>45800.569444444402</v>
      </c>
      <c r="R60" s="2" t="s">
        <v>41</v>
      </c>
      <c r="S60" s="29" t="s">
        <v>39</v>
      </c>
      <c r="T60" s="1" t="s">
        <v>32</v>
      </c>
    </row>
    <row r="61" spans="2:20" ht="29" customHeight="1" x14ac:dyDescent="0.35">
      <c r="B61" s="2" t="s">
        <v>1033</v>
      </c>
      <c r="C61" s="2" t="s">
        <v>1034</v>
      </c>
      <c r="D61" s="2" t="s">
        <v>1035</v>
      </c>
      <c r="E61" s="2" t="s">
        <v>847</v>
      </c>
      <c r="F61" s="2" t="s">
        <v>1036</v>
      </c>
      <c r="G61" s="2" t="s">
        <v>1037</v>
      </c>
      <c r="H61" s="2" t="s">
        <v>701</v>
      </c>
      <c r="I61" s="2" t="s">
        <v>1038</v>
      </c>
      <c r="J61" s="2" t="s">
        <v>703</v>
      </c>
      <c r="K61" s="2" t="s">
        <v>653</v>
      </c>
      <c r="L61" s="2" t="s">
        <v>704</v>
      </c>
      <c r="M61" s="2" t="s">
        <v>655</v>
      </c>
      <c r="N61" s="1">
        <v>1</v>
      </c>
      <c r="O61" s="3">
        <v>43945.614583333299</v>
      </c>
      <c r="P61" s="2" t="s">
        <v>38</v>
      </c>
      <c r="Q61" s="3">
        <v>46300.618750000001</v>
      </c>
      <c r="R61" s="2" t="s">
        <v>40</v>
      </c>
      <c r="S61" s="29" t="s">
        <v>39</v>
      </c>
      <c r="T61" s="1" t="s">
        <v>32</v>
      </c>
    </row>
    <row r="62" spans="2:20" ht="29" customHeight="1" x14ac:dyDescent="0.35">
      <c r="B62" s="2" t="s">
        <v>1039</v>
      </c>
      <c r="C62" s="2" t="s">
        <v>1040</v>
      </c>
      <c r="D62" s="2" t="s">
        <v>1041</v>
      </c>
      <c r="E62" s="2" t="s">
        <v>854</v>
      </c>
      <c r="F62" s="2" t="s">
        <v>1042</v>
      </c>
      <c r="G62" s="2" t="s">
        <v>1043</v>
      </c>
      <c r="H62" s="2" t="s">
        <v>711</v>
      </c>
      <c r="I62" s="2" t="s">
        <v>1044</v>
      </c>
      <c r="J62" s="2" t="s">
        <v>713</v>
      </c>
      <c r="K62" s="2" t="s">
        <v>714</v>
      </c>
      <c r="L62" s="2" t="s">
        <v>715</v>
      </c>
      <c r="M62" s="2" t="s">
        <v>655</v>
      </c>
      <c r="N62" s="1">
        <v>1</v>
      </c>
      <c r="O62" s="3">
        <v>44445.663888888899</v>
      </c>
      <c r="P62" s="2" t="s">
        <v>41</v>
      </c>
      <c r="Q62" s="3">
        <v>44565.663888888899</v>
      </c>
      <c r="R62" s="2" t="s">
        <v>37</v>
      </c>
      <c r="S62" s="29" t="s">
        <v>39</v>
      </c>
      <c r="T62" s="1" t="s">
        <v>32</v>
      </c>
    </row>
    <row r="63" spans="2:20" ht="29" customHeight="1" x14ac:dyDescent="0.35">
      <c r="B63" s="2" t="s">
        <v>1045</v>
      </c>
      <c r="C63" s="2" t="s">
        <v>1046</v>
      </c>
      <c r="D63" s="2" t="s">
        <v>1047</v>
      </c>
      <c r="E63" s="2" t="s">
        <v>861</v>
      </c>
      <c r="F63" s="2" t="s">
        <v>1048</v>
      </c>
      <c r="G63" s="2" t="s">
        <v>1049</v>
      </c>
      <c r="H63" s="2" t="s">
        <v>722</v>
      </c>
      <c r="I63" s="2" t="s">
        <v>1050</v>
      </c>
      <c r="J63" s="2" t="s">
        <v>713</v>
      </c>
      <c r="K63" s="2" t="s">
        <v>714</v>
      </c>
      <c r="L63" s="2" t="s">
        <v>724</v>
      </c>
      <c r="M63" s="2" t="s">
        <v>655</v>
      </c>
      <c r="N63" s="1">
        <v>1</v>
      </c>
      <c r="O63" s="3">
        <v>44605.671527777798</v>
      </c>
      <c r="P63" s="2" t="s">
        <v>40</v>
      </c>
      <c r="Q63" s="3">
        <v>44792.675694444399</v>
      </c>
      <c r="R63" s="2" t="s">
        <v>38</v>
      </c>
      <c r="S63" s="29" t="s">
        <v>39</v>
      </c>
      <c r="T63" s="1" t="s">
        <v>32</v>
      </c>
    </row>
    <row r="64" spans="2:20" ht="29" customHeight="1" x14ac:dyDescent="0.35">
      <c r="B64" s="2" t="s">
        <v>1051</v>
      </c>
      <c r="C64" s="2" t="s">
        <v>1052</v>
      </c>
      <c r="D64" s="2" t="s">
        <v>1053</v>
      </c>
      <c r="E64" s="2" t="s">
        <v>868</v>
      </c>
      <c r="F64" s="2" t="s">
        <v>1054</v>
      </c>
      <c r="G64" s="2" t="s">
        <v>1055</v>
      </c>
      <c r="H64" s="2" t="s">
        <v>731</v>
      </c>
      <c r="I64" s="2" t="s">
        <v>1056</v>
      </c>
      <c r="J64" s="2" t="s">
        <v>733</v>
      </c>
      <c r="K64" s="2" t="s">
        <v>734</v>
      </c>
      <c r="L64" s="2" t="s">
        <v>735</v>
      </c>
      <c r="M64" s="2" t="s">
        <v>655</v>
      </c>
      <c r="N64" s="1">
        <v>1</v>
      </c>
      <c r="O64" s="3">
        <v>45127.387499999997</v>
      </c>
      <c r="P64" s="2" t="s">
        <v>37</v>
      </c>
      <c r="Q64" s="3">
        <v>45247.387499999997</v>
      </c>
      <c r="R64" s="2" t="s">
        <v>41</v>
      </c>
      <c r="S64" s="29" t="s">
        <v>39</v>
      </c>
      <c r="T64" s="1" t="s">
        <v>32</v>
      </c>
    </row>
    <row r="65" spans="2:20" ht="29" customHeight="1" x14ac:dyDescent="0.35">
      <c r="B65" s="2" t="s">
        <v>1057</v>
      </c>
      <c r="C65" s="2" t="s">
        <v>1058</v>
      </c>
      <c r="D65" s="2" t="s">
        <v>1059</v>
      </c>
      <c r="E65" s="2" t="s">
        <v>1060</v>
      </c>
      <c r="F65" s="2" t="s">
        <v>1061</v>
      </c>
      <c r="G65" s="2" t="s">
        <v>1062</v>
      </c>
      <c r="H65" s="2" t="s">
        <v>742</v>
      </c>
      <c r="I65" s="2" t="s">
        <v>1063</v>
      </c>
      <c r="J65" s="2" t="s">
        <v>744</v>
      </c>
      <c r="K65" s="2" t="s">
        <v>745</v>
      </c>
      <c r="L65" s="2" t="s">
        <v>746</v>
      </c>
      <c r="M65" s="2" t="s">
        <v>655</v>
      </c>
      <c r="N65" s="1">
        <v>1</v>
      </c>
      <c r="O65" s="3">
        <v>45628.436805555597</v>
      </c>
      <c r="P65" s="2" t="s">
        <v>38</v>
      </c>
      <c r="Q65" s="3">
        <v>45748.436805555597</v>
      </c>
      <c r="R65" s="2" t="s">
        <v>40</v>
      </c>
      <c r="S65" s="29" t="s">
        <v>39</v>
      </c>
      <c r="T65" s="1" t="s">
        <v>32</v>
      </c>
    </row>
    <row r="66" spans="2:20" ht="29" customHeight="1" x14ac:dyDescent="0.35">
      <c r="B66" s="2" t="s">
        <v>1064</v>
      </c>
      <c r="C66" s="2" t="s">
        <v>1065</v>
      </c>
      <c r="D66" s="2" t="s">
        <v>1066</v>
      </c>
      <c r="E66" s="2" t="s">
        <v>882</v>
      </c>
      <c r="F66" s="2" t="s">
        <v>1067</v>
      </c>
      <c r="G66" s="2" t="s">
        <v>1068</v>
      </c>
      <c r="H66" s="2" t="s">
        <v>753</v>
      </c>
      <c r="I66" s="2" t="s">
        <v>1069</v>
      </c>
      <c r="J66" s="2" t="s">
        <v>755</v>
      </c>
      <c r="K66" s="2" t="s">
        <v>653</v>
      </c>
      <c r="L66" s="2" t="s">
        <v>756</v>
      </c>
      <c r="M66" s="2" t="s">
        <v>655</v>
      </c>
      <c r="N66" s="1">
        <v>1</v>
      </c>
      <c r="O66" s="3">
        <v>45786.486111111102</v>
      </c>
      <c r="P66" s="2" t="s">
        <v>41</v>
      </c>
      <c r="Q66" s="3">
        <v>45976.490277777797</v>
      </c>
      <c r="R66" s="2" t="s">
        <v>37</v>
      </c>
      <c r="S66" s="29" t="s">
        <v>39</v>
      </c>
      <c r="T66" s="1" t="s">
        <v>32</v>
      </c>
    </row>
    <row r="67" spans="2:20" ht="29" customHeight="1" x14ac:dyDescent="0.35">
      <c r="B67" s="2" t="s">
        <v>1070</v>
      </c>
      <c r="C67" s="2" t="s">
        <v>1071</v>
      </c>
      <c r="D67" s="2" t="s">
        <v>1072</v>
      </c>
      <c r="E67" s="2" t="s">
        <v>889</v>
      </c>
      <c r="F67" s="2" t="s">
        <v>1073</v>
      </c>
      <c r="G67" s="2" t="s">
        <v>1074</v>
      </c>
      <c r="H67" s="2" t="s">
        <v>763</v>
      </c>
      <c r="I67" s="2" t="s">
        <v>1075</v>
      </c>
      <c r="J67" s="2" t="s">
        <v>765</v>
      </c>
      <c r="K67" s="2" t="s">
        <v>653</v>
      </c>
      <c r="L67" s="2" t="s">
        <v>766</v>
      </c>
      <c r="M67" s="2" t="s">
        <v>655</v>
      </c>
      <c r="N67" s="1">
        <v>0</v>
      </c>
      <c r="O67" s="3">
        <v>46311.535416666702</v>
      </c>
      <c r="P67" s="2" t="s">
        <v>40</v>
      </c>
      <c r="Q67" s="3">
        <v>46431.535416666702</v>
      </c>
      <c r="R67" s="2" t="s">
        <v>38</v>
      </c>
      <c r="S67" s="29" t="s">
        <v>39</v>
      </c>
      <c r="T67" s="1" t="s">
        <v>32</v>
      </c>
    </row>
    <row r="68" spans="2:20" ht="43.5" customHeight="1" x14ac:dyDescent="0.35">
      <c r="B68" s="2" t="s">
        <v>1076</v>
      </c>
      <c r="C68" s="2" t="s">
        <v>1077</v>
      </c>
      <c r="D68" s="2" t="s">
        <v>1078</v>
      </c>
      <c r="E68" s="2" t="s">
        <v>647</v>
      </c>
      <c r="F68" s="2" t="s">
        <v>1079</v>
      </c>
      <c r="G68" s="2" t="s">
        <v>1080</v>
      </c>
      <c r="H68" s="2" t="s">
        <v>650</v>
      </c>
      <c r="I68" s="2" t="s">
        <v>1081</v>
      </c>
      <c r="J68" s="2" t="s">
        <v>652</v>
      </c>
      <c r="K68" s="2" t="s">
        <v>653</v>
      </c>
      <c r="L68" s="2" t="s">
        <v>654</v>
      </c>
      <c r="M68" s="2" t="s">
        <v>655</v>
      </c>
      <c r="N68" s="1">
        <v>1</v>
      </c>
      <c r="O68" s="3">
        <v>42817.543055555601</v>
      </c>
      <c r="P68" s="2" t="s">
        <v>37</v>
      </c>
      <c r="Q68" s="3">
        <v>44443.547222222202</v>
      </c>
      <c r="R68" s="2" t="s">
        <v>41</v>
      </c>
      <c r="S68" s="29" t="s">
        <v>39</v>
      </c>
      <c r="T68" s="1" t="s">
        <v>32</v>
      </c>
    </row>
    <row r="69" spans="2:20" ht="29" customHeight="1" x14ac:dyDescent="0.35">
      <c r="B69" s="2" t="s">
        <v>1082</v>
      </c>
      <c r="C69" s="2" t="s">
        <v>1083</v>
      </c>
      <c r="D69" s="2" t="s">
        <v>1084</v>
      </c>
      <c r="E69" s="2" t="s">
        <v>659</v>
      </c>
      <c r="F69" s="2" t="s">
        <v>1085</v>
      </c>
      <c r="G69" s="2" t="s">
        <v>1086</v>
      </c>
      <c r="H69" s="2" t="s">
        <v>662</v>
      </c>
      <c r="I69" s="2" t="s">
        <v>1087</v>
      </c>
      <c r="J69" s="2" t="s">
        <v>652</v>
      </c>
      <c r="K69" s="2" t="s">
        <v>653</v>
      </c>
      <c r="L69" s="2" t="s">
        <v>664</v>
      </c>
      <c r="M69" s="2" t="s">
        <v>655</v>
      </c>
      <c r="N69" s="1">
        <v>1</v>
      </c>
      <c r="O69" s="3">
        <v>43317.592361111099</v>
      </c>
      <c r="P69" s="2" t="s">
        <v>38</v>
      </c>
      <c r="Q69" s="3">
        <v>44603.596527777801</v>
      </c>
      <c r="R69" s="2" t="s">
        <v>40</v>
      </c>
      <c r="S69" s="29" t="s">
        <v>39</v>
      </c>
      <c r="T69" s="1" t="s">
        <v>32</v>
      </c>
    </row>
    <row r="70" spans="2:20" ht="29" customHeight="1" x14ac:dyDescent="0.35">
      <c r="B70" s="2" t="s">
        <v>1088</v>
      </c>
      <c r="C70" s="2" t="s">
        <v>1089</v>
      </c>
      <c r="D70" s="2" t="s">
        <v>1090</v>
      </c>
      <c r="E70" s="2" t="s">
        <v>668</v>
      </c>
      <c r="F70" s="2" t="s">
        <v>1091</v>
      </c>
      <c r="G70" s="2" t="s">
        <v>1092</v>
      </c>
      <c r="H70" s="2" t="s">
        <v>671</v>
      </c>
      <c r="I70" s="2" t="s">
        <v>1093</v>
      </c>
      <c r="J70" s="2" t="s">
        <v>673</v>
      </c>
      <c r="K70" s="2" t="s">
        <v>653</v>
      </c>
      <c r="L70" s="2" t="s">
        <v>674</v>
      </c>
      <c r="M70" s="2" t="s">
        <v>655</v>
      </c>
      <c r="N70" s="1">
        <v>1</v>
      </c>
      <c r="O70" s="3">
        <v>43477.641666666699</v>
      </c>
      <c r="P70" s="2" t="s">
        <v>41</v>
      </c>
      <c r="Q70" s="3">
        <v>45125.645833333299</v>
      </c>
      <c r="R70" s="2" t="s">
        <v>37</v>
      </c>
      <c r="S70" s="29" t="s">
        <v>39</v>
      </c>
      <c r="T70" s="1" t="s">
        <v>32</v>
      </c>
    </row>
    <row r="71" spans="2:20" ht="43.5" customHeight="1" x14ac:dyDescent="0.35">
      <c r="B71" s="2" t="s">
        <v>1094</v>
      </c>
      <c r="C71" s="2" t="s">
        <v>1095</v>
      </c>
      <c r="D71" s="2" t="s">
        <v>1096</v>
      </c>
      <c r="E71" s="2" t="s">
        <v>678</v>
      </c>
      <c r="F71" s="2" t="s">
        <v>1097</v>
      </c>
      <c r="G71" s="2" t="s">
        <v>1098</v>
      </c>
      <c r="H71" s="2" t="s">
        <v>681</v>
      </c>
      <c r="I71" s="2" t="s">
        <v>1099</v>
      </c>
      <c r="J71" s="2" t="s">
        <v>683</v>
      </c>
      <c r="K71" s="2" t="s">
        <v>653</v>
      </c>
      <c r="L71" s="2" t="s">
        <v>684</v>
      </c>
      <c r="M71" s="2" t="s">
        <v>655</v>
      </c>
      <c r="N71" s="1">
        <v>1</v>
      </c>
      <c r="O71" s="3">
        <v>44001.690972222197</v>
      </c>
      <c r="P71" s="2" t="s">
        <v>40</v>
      </c>
      <c r="Q71" s="3">
        <v>45651.695138888899</v>
      </c>
      <c r="R71" s="2" t="s">
        <v>38</v>
      </c>
      <c r="S71" s="29" t="s">
        <v>39</v>
      </c>
      <c r="T71" s="1" t="s">
        <v>32</v>
      </c>
    </row>
    <row r="72" spans="2:20" ht="29" customHeight="1" x14ac:dyDescent="0.35">
      <c r="B72" s="2" t="s">
        <v>1100</v>
      </c>
      <c r="C72" s="2" t="s">
        <v>1101</v>
      </c>
      <c r="D72" s="2" t="s">
        <v>1102</v>
      </c>
      <c r="E72" s="2" t="s">
        <v>688</v>
      </c>
      <c r="F72" s="2" t="s">
        <v>1103</v>
      </c>
      <c r="G72" s="2" t="s">
        <v>1104</v>
      </c>
      <c r="H72" s="2" t="s">
        <v>691</v>
      </c>
      <c r="I72" s="2" t="s">
        <v>1105</v>
      </c>
      <c r="J72" s="2" t="s">
        <v>693</v>
      </c>
      <c r="K72" s="2" t="s">
        <v>653</v>
      </c>
      <c r="L72" s="2" t="s">
        <v>694</v>
      </c>
      <c r="M72" s="2" t="s">
        <v>655</v>
      </c>
      <c r="N72" s="1">
        <v>1</v>
      </c>
      <c r="O72" s="3">
        <v>44501.406944444403</v>
      </c>
      <c r="P72" s="2" t="s">
        <v>37</v>
      </c>
      <c r="Q72" s="3">
        <v>45784.411111111098</v>
      </c>
      <c r="R72" s="2" t="s">
        <v>41</v>
      </c>
      <c r="S72" s="29" t="s">
        <v>39</v>
      </c>
      <c r="T72" s="1" t="s">
        <v>32</v>
      </c>
    </row>
    <row r="73" spans="2:20" ht="43.5" customHeight="1" x14ac:dyDescent="0.35">
      <c r="B73" s="2" t="s">
        <v>1106</v>
      </c>
      <c r="C73" s="2" t="s">
        <v>1107</v>
      </c>
      <c r="D73" s="2" t="s">
        <v>1108</v>
      </c>
      <c r="E73" s="2" t="s">
        <v>698</v>
      </c>
      <c r="F73" s="2" t="s">
        <v>1109</v>
      </c>
      <c r="G73" s="2" t="s">
        <v>1110</v>
      </c>
      <c r="H73" s="2" t="s">
        <v>701</v>
      </c>
      <c r="I73" s="2" t="s">
        <v>1111</v>
      </c>
      <c r="J73" s="2" t="s">
        <v>703</v>
      </c>
      <c r="K73" s="2" t="s">
        <v>653</v>
      </c>
      <c r="L73" s="2" t="s">
        <v>704</v>
      </c>
      <c r="M73" s="2" t="s">
        <v>655</v>
      </c>
      <c r="N73" s="1">
        <v>1</v>
      </c>
      <c r="O73" s="3">
        <v>44659.456250000003</v>
      </c>
      <c r="P73" s="2" t="s">
        <v>38</v>
      </c>
      <c r="Q73" s="3">
        <v>46309.418749999997</v>
      </c>
      <c r="R73" s="2" t="s">
        <v>40</v>
      </c>
      <c r="S73" s="29" t="s">
        <v>39</v>
      </c>
      <c r="T73" s="1" t="s">
        <v>32</v>
      </c>
    </row>
    <row r="74" spans="2:20" ht="29" customHeight="1" x14ac:dyDescent="0.35">
      <c r="B74" s="2" t="s">
        <v>1112</v>
      </c>
      <c r="C74" s="2" t="s">
        <v>1113</v>
      </c>
      <c r="D74" s="2" t="s">
        <v>1114</v>
      </c>
      <c r="E74" s="2" t="s">
        <v>708</v>
      </c>
      <c r="F74" s="2" t="s">
        <v>1115</v>
      </c>
      <c r="G74" s="2" t="s">
        <v>1116</v>
      </c>
      <c r="H74" s="2" t="s">
        <v>711</v>
      </c>
      <c r="I74" s="2" t="s">
        <v>1117</v>
      </c>
      <c r="J74" s="2" t="s">
        <v>713</v>
      </c>
      <c r="K74" s="2" t="s">
        <v>714</v>
      </c>
      <c r="L74" s="2" t="s">
        <v>715</v>
      </c>
      <c r="M74" s="2" t="s">
        <v>655</v>
      </c>
      <c r="N74" s="1">
        <v>1</v>
      </c>
      <c r="O74" s="3">
        <v>45184.463888888902</v>
      </c>
      <c r="P74" s="2" t="s">
        <v>41</v>
      </c>
      <c r="Q74" s="3">
        <v>45304.463888888902</v>
      </c>
      <c r="R74" s="2" t="s">
        <v>37</v>
      </c>
      <c r="S74" s="29" t="s">
        <v>39</v>
      </c>
      <c r="T74" s="1" t="s">
        <v>32</v>
      </c>
    </row>
    <row r="75" spans="2:20" ht="43.5" customHeight="1" x14ac:dyDescent="0.35">
      <c r="B75" s="2" t="s">
        <v>1118</v>
      </c>
      <c r="C75" s="2" t="s">
        <v>1119</v>
      </c>
      <c r="D75" s="2" t="s">
        <v>1120</v>
      </c>
      <c r="E75" s="2" t="s">
        <v>1121</v>
      </c>
      <c r="F75" s="2" t="s">
        <v>1122</v>
      </c>
      <c r="G75" s="2" t="s">
        <v>1123</v>
      </c>
      <c r="H75" s="2" t="s">
        <v>722</v>
      </c>
      <c r="I75" s="2" t="s">
        <v>1124</v>
      </c>
      <c r="J75" s="2" t="s">
        <v>713</v>
      </c>
      <c r="K75" s="2" t="s">
        <v>714</v>
      </c>
      <c r="L75" s="2" t="s">
        <v>724</v>
      </c>
      <c r="M75" s="2" t="s">
        <v>655</v>
      </c>
      <c r="N75" s="1">
        <v>1</v>
      </c>
      <c r="O75" s="3">
        <v>45344.5131944444</v>
      </c>
      <c r="P75" s="2" t="s">
        <v>40</v>
      </c>
      <c r="Q75" s="3">
        <v>45507.517361111102</v>
      </c>
      <c r="R75" s="2" t="s">
        <v>38</v>
      </c>
      <c r="S75" s="29" t="s">
        <v>39</v>
      </c>
      <c r="T75" s="1" t="s">
        <v>32</v>
      </c>
    </row>
    <row r="76" spans="2:20" ht="43.5" customHeight="1" x14ac:dyDescent="0.35">
      <c r="B76" s="2" t="s">
        <v>1125</v>
      </c>
      <c r="C76" s="2" t="s">
        <v>1126</v>
      </c>
      <c r="D76" s="2" t="s">
        <v>1127</v>
      </c>
      <c r="E76" s="2" t="s">
        <v>728</v>
      </c>
      <c r="F76" s="2" t="s">
        <v>1128</v>
      </c>
      <c r="G76" s="2" t="s">
        <v>1129</v>
      </c>
      <c r="H76" s="2" t="s">
        <v>731</v>
      </c>
      <c r="I76" s="2" t="s">
        <v>1130</v>
      </c>
      <c r="J76" s="2" t="s">
        <v>733</v>
      </c>
      <c r="K76" s="2" t="s">
        <v>734</v>
      </c>
      <c r="L76" s="2" t="s">
        <v>735</v>
      </c>
      <c r="M76" s="2" t="s">
        <v>655</v>
      </c>
      <c r="N76" s="1">
        <v>1</v>
      </c>
      <c r="O76" s="3">
        <v>45842.5625</v>
      </c>
      <c r="P76" s="2" t="s">
        <v>37</v>
      </c>
      <c r="Q76" s="3">
        <v>45962.5625</v>
      </c>
      <c r="R76" s="2" t="s">
        <v>41</v>
      </c>
      <c r="S76" s="29" t="s">
        <v>39</v>
      </c>
      <c r="T76" s="1" t="s">
        <v>32</v>
      </c>
    </row>
    <row r="77" spans="2:20" ht="29" customHeight="1" x14ac:dyDescent="0.35">
      <c r="B77" s="2" t="s">
        <v>1131</v>
      </c>
      <c r="C77" s="2" t="s">
        <v>1132</v>
      </c>
      <c r="D77" s="2" t="s">
        <v>1133</v>
      </c>
      <c r="E77" s="2" t="s">
        <v>739</v>
      </c>
      <c r="F77" s="2" t="s">
        <v>1134</v>
      </c>
      <c r="G77" s="2" t="s">
        <v>1135</v>
      </c>
      <c r="H77" s="2" t="s">
        <v>742</v>
      </c>
      <c r="I77" s="2" t="s">
        <v>1136</v>
      </c>
      <c r="J77" s="2" t="s">
        <v>744</v>
      </c>
      <c r="K77" s="2" t="s">
        <v>745</v>
      </c>
      <c r="L77" s="2" t="s">
        <v>746</v>
      </c>
      <c r="M77" s="2" t="s">
        <v>655</v>
      </c>
      <c r="N77" s="1">
        <v>0</v>
      </c>
      <c r="O77" s="3">
        <v>46367.6118055556</v>
      </c>
      <c r="P77" s="2" t="s">
        <v>38</v>
      </c>
      <c r="Q77" s="3">
        <v>46487.6118055556</v>
      </c>
      <c r="R77" s="2" t="s">
        <v>40</v>
      </c>
      <c r="S77" s="29" t="s">
        <v>39</v>
      </c>
      <c r="T77" s="1" t="s">
        <v>32</v>
      </c>
    </row>
    <row r="78" spans="2:20" ht="29" customHeight="1" x14ac:dyDescent="0.35">
      <c r="B78" s="2" t="s">
        <v>1137</v>
      </c>
      <c r="C78" s="2" t="s">
        <v>1138</v>
      </c>
      <c r="D78" s="2" t="s">
        <v>1139</v>
      </c>
      <c r="E78" s="2" t="s">
        <v>750</v>
      </c>
      <c r="F78" s="2" t="s">
        <v>1140</v>
      </c>
      <c r="G78" s="2" t="s">
        <v>1141</v>
      </c>
      <c r="H78" s="2" t="s">
        <v>753</v>
      </c>
      <c r="I78" s="2" t="s">
        <v>1142</v>
      </c>
      <c r="J78" s="2" t="s">
        <v>755</v>
      </c>
      <c r="K78" s="2" t="s">
        <v>653</v>
      </c>
      <c r="L78" s="2" t="s">
        <v>756</v>
      </c>
      <c r="M78" s="2" t="s">
        <v>655</v>
      </c>
      <c r="N78" s="1">
        <v>1</v>
      </c>
      <c r="O78" s="3">
        <v>42873.661111111098</v>
      </c>
      <c r="P78" s="2" t="s">
        <v>41</v>
      </c>
      <c r="Q78" s="3">
        <v>45985.6652777778</v>
      </c>
      <c r="R78" s="2" t="s">
        <v>37</v>
      </c>
      <c r="S78" s="29" t="s">
        <v>39</v>
      </c>
      <c r="T78" s="1" t="s">
        <v>32</v>
      </c>
    </row>
    <row r="79" spans="2:20" ht="29" customHeight="1" x14ac:dyDescent="0.35">
      <c r="B79" s="2" t="s">
        <v>1143</v>
      </c>
      <c r="C79" s="2" t="s">
        <v>1144</v>
      </c>
      <c r="D79" s="2" t="s">
        <v>1145</v>
      </c>
      <c r="E79" s="2" t="s">
        <v>760</v>
      </c>
      <c r="F79" s="2" t="s">
        <v>1146</v>
      </c>
      <c r="G79" s="2" t="s">
        <v>1147</v>
      </c>
      <c r="H79" s="2" t="s">
        <v>763</v>
      </c>
      <c r="I79" s="2" t="s">
        <v>1148</v>
      </c>
      <c r="J79" s="2" t="s">
        <v>765</v>
      </c>
      <c r="K79" s="2" t="s">
        <v>653</v>
      </c>
      <c r="L79" s="2" t="s">
        <v>766</v>
      </c>
      <c r="M79" s="2" t="s">
        <v>655</v>
      </c>
      <c r="N79" s="1">
        <v>1</v>
      </c>
      <c r="O79" s="3">
        <v>43398.668749999997</v>
      </c>
      <c r="P79" s="2" t="s">
        <v>40</v>
      </c>
      <c r="Q79" s="3">
        <v>46118.672916666699</v>
      </c>
      <c r="R79" s="2" t="s">
        <v>38</v>
      </c>
      <c r="S79" s="29" t="s">
        <v>39</v>
      </c>
      <c r="T79" s="1" t="s">
        <v>32</v>
      </c>
    </row>
    <row r="80" spans="2:20" ht="29" customHeight="1" x14ac:dyDescent="0.35">
      <c r="B80" s="2" t="s">
        <v>1149</v>
      </c>
      <c r="C80" s="2" t="s">
        <v>1150</v>
      </c>
      <c r="D80" s="2" t="s">
        <v>1151</v>
      </c>
      <c r="E80" s="2" t="s">
        <v>770</v>
      </c>
      <c r="F80" s="2" t="s">
        <v>1152</v>
      </c>
      <c r="G80" s="2" t="s">
        <v>1153</v>
      </c>
      <c r="H80" s="2" t="s">
        <v>650</v>
      </c>
      <c r="I80" s="2" t="s">
        <v>1154</v>
      </c>
      <c r="J80" s="2" t="s">
        <v>652</v>
      </c>
      <c r="K80" s="2" t="s">
        <v>653</v>
      </c>
      <c r="L80" s="2" t="s">
        <v>654</v>
      </c>
      <c r="M80" s="2" t="s">
        <v>655</v>
      </c>
      <c r="N80" s="1">
        <v>1</v>
      </c>
      <c r="O80" s="3">
        <v>43531.384722222203</v>
      </c>
      <c r="P80" s="2" t="s">
        <v>37</v>
      </c>
      <c r="Q80" s="3">
        <v>44452.388888888898</v>
      </c>
      <c r="R80" s="2" t="s">
        <v>41</v>
      </c>
      <c r="S80" s="29" t="s">
        <v>39</v>
      </c>
      <c r="T80" s="1" t="s">
        <v>32</v>
      </c>
    </row>
    <row r="81" spans="2:20" ht="29" customHeight="1" x14ac:dyDescent="0.35">
      <c r="B81" s="2" t="s">
        <v>1155</v>
      </c>
      <c r="C81" s="2" t="s">
        <v>1156</v>
      </c>
      <c r="D81" s="2" t="s">
        <v>1157</v>
      </c>
      <c r="E81" s="2" t="s">
        <v>777</v>
      </c>
      <c r="F81" s="2" t="s">
        <v>1158</v>
      </c>
      <c r="G81" s="2" t="s">
        <v>1159</v>
      </c>
      <c r="H81" s="2" t="s">
        <v>662</v>
      </c>
      <c r="I81" s="2" t="s">
        <v>1160</v>
      </c>
      <c r="J81" s="2" t="s">
        <v>652</v>
      </c>
      <c r="K81" s="2" t="s">
        <v>653</v>
      </c>
      <c r="L81" s="2" t="s">
        <v>664</v>
      </c>
      <c r="M81" s="2" t="s">
        <v>655</v>
      </c>
      <c r="N81" s="1">
        <v>1</v>
      </c>
      <c r="O81" s="3">
        <v>44057.434027777803</v>
      </c>
      <c r="P81" s="2" t="s">
        <v>38</v>
      </c>
      <c r="Q81" s="3">
        <v>44612.438194444403</v>
      </c>
      <c r="R81" s="2" t="s">
        <v>40</v>
      </c>
      <c r="S81" s="29" t="s">
        <v>39</v>
      </c>
      <c r="T81" s="1" t="s">
        <v>32</v>
      </c>
    </row>
    <row r="82" spans="2:20" ht="29" customHeight="1" x14ac:dyDescent="0.35">
      <c r="B82" s="2" t="s">
        <v>1161</v>
      </c>
      <c r="C82" s="2" t="s">
        <v>1162</v>
      </c>
      <c r="D82" s="2" t="s">
        <v>1163</v>
      </c>
      <c r="E82" s="2" t="s">
        <v>784</v>
      </c>
      <c r="F82" s="2" t="s">
        <v>1164</v>
      </c>
      <c r="G82" s="2" t="s">
        <v>1165</v>
      </c>
      <c r="H82" s="2" t="s">
        <v>671</v>
      </c>
      <c r="I82" s="2" t="s">
        <v>1166</v>
      </c>
      <c r="J82" s="2" t="s">
        <v>673</v>
      </c>
      <c r="K82" s="2" t="s">
        <v>653</v>
      </c>
      <c r="L82" s="2" t="s">
        <v>674</v>
      </c>
      <c r="M82" s="2" t="s">
        <v>655</v>
      </c>
      <c r="N82" s="1">
        <v>1</v>
      </c>
      <c r="O82" s="3">
        <v>44217.483333333301</v>
      </c>
      <c r="P82" s="2" t="s">
        <v>41</v>
      </c>
      <c r="Q82" s="3">
        <v>45109.487500000003</v>
      </c>
      <c r="R82" s="2" t="s">
        <v>37</v>
      </c>
      <c r="S82" s="29" t="s">
        <v>39</v>
      </c>
      <c r="T82" s="1" t="s">
        <v>32</v>
      </c>
    </row>
    <row r="83" spans="2:20" ht="29" customHeight="1" x14ac:dyDescent="0.35">
      <c r="B83" s="2" t="s">
        <v>1167</v>
      </c>
      <c r="C83" s="2" t="s">
        <v>1168</v>
      </c>
      <c r="D83" s="2" t="s">
        <v>1169</v>
      </c>
      <c r="E83" s="2" t="s">
        <v>791</v>
      </c>
      <c r="F83" s="2" t="s">
        <v>1170</v>
      </c>
      <c r="G83" s="2" t="s">
        <v>1171</v>
      </c>
      <c r="H83" s="2" t="s">
        <v>681</v>
      </c>
      <c r="I83" s="2" t="s">
        <v>1172</v>
      </c>
      <c r="J83" s="2" t="s">
        <v>683</v>
      </c>
      <c r="K83" s="2" t="s">
        <v>653</v>
      </c>
      <c r="L83" s="2" t="s">
        <v>684</v>
      </c>
      <c r="M83" s="2" t="s">
        <v>655</v>
      </c>
      <c r="N83" s="1">
        <v>1</v>
      </c>
      <c r="O83" s="3">
        <v>44715.532638888901</v>
      </c>
      <c r="P83" s="2" t="s">
        <v>40</v>
      </c>
      <c r="Q83" s="3">
        <v>45635.536805555603</v>
      </c>
      <c r="R83" s="2" t="s">
        <v>38</v>
      </c>
      <c r="S83" s="29" t="s">
        <v>39</v>
      </c>
      <c r="T83" s="1" t="s">
        <v>32</v>
      </c>
    </row>
    <row r="84" spans="2:20" ht="43.5" customHeight="1" x14ac:dyDescent="0.35">
      <c r="B84" s="2" t="s">
        <v>1173</v>
      </c>
      <c r="C84" s="2" t="s">
        <v>1174</v>
      </c>
      <c r="D84" s="2" t="s">
        <v>1175</v>
      </c>
      <c r="E84" s="2" t="s">
        <v>798</v>
      </c>
      <c r="F84" s="2" t="s">
        <v>1176</v>
      </c>
      <c r="G84" s="2" t="s">
        <v>1177</v>
      </c>
      <c r="H84" s="2" t="s">
        <v>691</v>
      </c>
      <c r="I84" s="2" t="s">
        <v>1178</v>
      </c>
      <c r="J84" s="2" t="s">
        <v>693</v>
      </c>
      <c r="K84" s="2" t="s">
        <v>653</v>
      </c>
      <c r="L84" s="2" t="s">
        <v>694</v>
      </c>
      <c r="M84" s="2" t="s">
        <v>655</v>
      </c>
      <c r="N84" s="1">
        <v>1</v>
      </c>
      <c r="O84" s="3">
        <v>45240.581944444399</v>
      </c>
      <c r="P84" s="2" t="s">
        <v>37</v>
      </c>
      <c r="Q84" s="3">
        <v>45793.5444444444</v>
      </c>
      <c r="R84" s="2" t="s">
        <v>41</v>
      </c>
      <c r="S84" s="29" t="s">
        <v>39</v>
      </c>
      <c r="T84" s="1" t="s">
        <v>32</v>
      </c>
    </row>
    <row r="85" spans="2:20" ht="29" customHeight="1" x14ac:dyDescent="0.35">
      <c r="B85" s="2" t="s">
        <v>1179</v>
      </c>
      <c r="C85" s="2" t="s">
        <v>1180</v>
      </c>
      <c r="D85" s="2" t="s">
        <v>1181</v>
      </c>
      <c r="E85" s="2" t="s">
        <v>1182</v>
      </c>
      <c r="F85" s="2" t="s">
        <v>1183</v>
      </c>
      <c r="G85" s="2" t="s">
        <v>1184</v>
      </c>
      <c r="H85" s="2" t="s">
        <v>701</v>
      </c>
      <c r="I85" s="2" t="s">
        <v>1185</v>
      </c>
      <c r="J85" s="2" t="s">
        <v>703</v>
      </c>
      <c r="K85" s="2" t="s">
        <v>653</v>
      </c>
      <c r="L85" s="2" t="s">
        <v>704</v>
      </c>
      <c r="M85" s="2" t="s">
        <v>655</v>
      </c>
      <c r="N85" s="1">
        <v>1</v>
      </c>
      <c r="O85" s="3">
        <v>45399.589583333298</v>
      </c>
      <c r="P85" s="2" t="s">
        <v>38</v>
      </c>
      <c r="Q85" s="3">
        <v>46318.59375</v>
      </c>
      <c r="R85" s="2" t="s">
        <v>40</v>
      </c>
      <c r="S85" s="29" t="s">
        <v>39</v>
      </c>
      <c r="T85" s="1" t="s">
        <v>32</v>
      </c>
    </row>
    <row r="86" spans="2:20" ht="43.5" customHeight="1" x14ac:dyDescent="0.35">
      <c r="B86" s="2" t="s">
        <v>1186</v>
      </c>
      <c r="C86" s="2" t="s">
        <v>1187</v>
      </c>
      <c r="D86" s="2" t="s">
        <v>1188</v>
      </c>
      <c r="E86" s="2" t="s">
        <v>812</v>
      </c>
      <c r="F86" s="2" t="s">
        <v>1189</v>
      </c>
      <c r="G86" s="2" t="s">
        <v>1190</v>
      </c>
      <c r="H86" s="2" t="s">
        <v>711</v>
      </c>
      <c r="I86" s="2" t="s">
        <v>1191</v>
      </c>
      <c r="J86" s="2" t="s">
        <v>713</v>
      </c>
      <c r="K86" s="2" t="s">
        <v>714</v>
      </c>
      <c r="L86" s="2" t="s">
        <v>715</v>
      </c>
      <c r="M86" s="2" t="s">
        <v>655</v>
      </c>
      <c r="N86" s="1">
        <v>1</v>
      </c>
      <c r="O86" s="3">
        <v>45924.638888888898</v>
      </c>
      <c r="P86" s="2" t="s">
        <v>41</v>
      </c>
      <c r="Q86" s="3">
        <v>46044.638888888898</v>
      </c>
      <c r="R86" s="2" t="s">
        <v>37</v>
      </c>
      <c r="S86" s="29" t="s">
        <v>39</v>
      </c>
      <c r="T86" s="1" t="s">
        <v>32</v>
      </c>
    </row>
    <row r="87" spans="2:20" ht="29" customHeight="1" x14ac:dyDescent="0.35">
      <c r="B87" s="2" t="s">
        <v>1192</v>
      </c>
      <c r="C87" s="2" t="s">
        <v>1193</v>
      </c>
      <c r="D87" s="2" t="s">
        <v>1194</v>
      </c>
      <c r="E87" s="2" t="s">
        <v>819</v>
      </c>
      <c r="F87" s="2" t="s">
        <v>1195</v>
      </c>
      <c r="G87" s="2" t="s">
        <v>1196</v>
      </c>
      <c r="H87" s="2" t="s">
        <v>722</v>
      </c>
      <c r="I87" s="2" t="s">
        <v>1197</v>
      </c>
      <c r="J87" s="2" t="s">
        <v>713</v>
      </c>
      <c r="K87" s="2" t="s">
        <v>714</v>
      </c>
      <c r="L87" s="2" t="s">
        <v>724</v>
      </c>
      <c r="M87" s="2" t="s">
        <v>655</v>
      </c>
      <c r="N87" s="1">
        <v>0</v>
      </c>
      <c r="O87" s="3">
        <v>46059.688194444403</v>
      </c>
      <c r="P87" s="2" t="s">
        <v>40</v>
      </c>
      <c r="Q87" s="3">
        <v>46246.692361111098</v>
      </c>
      <c r="R87" s="2" t="s">
        <v>38</v>
      </c>
      <c r="S87" s="29" t="s">
        <v>39</v>
      </c>
      <c r="T87" s="1" t="s">
        <v>32</v>
      </c>
    </row>
    <row r="88" spans="2:20" ht="43.5" customHeight="1" x14ac:dyDescent="0.35">
      <c r="B88" s="2" t="s">
        <v>1198</v>
      </c>
      <c r="C88" s="2" t="s">
        <v>1199</v>
      </c>
      <c r="D88" s="2" t="s">
        <v>1200</v>
      </c>
      <c r="E88" s="2" t="s">
        <v>826</v>
      </c>
      <c r="F88" s="2" t="s">
        <v>1201</v>
      </c>
      <c r="G88" s="2" t="s">
        <v>1202</v>
      </c>
      <c r="H88" s="2" t="s">
        <v>731</v>
      </c>
      <c r="I88" s="2" t="s">
        <v>1203</v>
      </c>
      <c r="J88" s="2" t="s">
        <v>733</v>
      </c>
      <c r="K88" s="2" t="s">
        <v>734</v>
      </c>
      <c r="L88" s="2" t="s">
        <v>735</v>
      </c>
      <c r="M88" s="2" t="s">
        <v>655</v>
      </c>
      <c r="N88" s="1">
        <v>1</v>
      </c>
      <c r="O88" s="3">
        <v>42929.404166666704</v>
      </c>
      <c r="P88" s="2" t="s">
        <v>37</v>
      </c>
      <c r="Q88" s="3">
        <v>44945.408333333296</v>
      </c>
      <c r="R88" s="2" t="s">
        <v>41</v>
      </c>
      <c r="S88" s="29" t="s">
        <v>39</v>
      </c>
      <c r="T88" s="1" t="s">
        <v>32</v>
      </c>
    </row>
    <row r="89" spans="2:20" ht="29" customHeight="1" x14ac:dyDescent="0.35">
      <c r="B89" s="2" t="s">
        <v>1204</v>
      </c>
      <c r="C89" s="2" t="s">
        <v>1205</v>
      </c>
      <c r="D89" s="2" t="s">
        <v>1206</v>
      </c>
      <c r="E89" s="2" t="s">
        <v>833</v>
      </c>
      <c r="F89" s="2" t="s">
        <v>1207</v>
      </c>
      <c r="G89" s="2" t="s">
        <v>1208</v>
      </c>
      <c r="H89" s="2" t="s">
        <v>742</v>
      </c>
      <c r="I89" s="2" t="s">
        <v>1209</v>
      </c>
      <c r="J89" s="2" t="s">
        <v>744</v>
      </c>
      <c r="K89" s="2" t="s">
        <v>745</v>
      </c>
      <c r="L89" s="2" t="s">
        <v>746</v>
      </c>
      <c r="M89" s="2" t="s">
        <v>655</v>
      </c>
      <c r="N89" s="1">
        <v>1</v>
      </c>
      <c r="O89" s="3">
        <v>43454.453472222202</v>
      </c>
      <c r="P89" s="2" t="s">
        <v>38</v>
      </c>
      <c r="Q89" s="3">
        <v>45444.457638888904</v>
      </c>
      <c r="R89" s="2" t="s">
        <v>40</v>
      </c>
      <c r="S89" s="29" t="s">
        <v>39</v>
      </c>
      <c r="T89" s="1" t="s">
        <v>32</v>
      </c>
    </row>
    <row r="90" spans="2:20" ht="29" customHeight="1" x14ac:dyDescent="0.35">
      <c r="B90" s="2" t="s">
        <v>1210</v>
      </c>
      <c r="C90" s="2" t="s">
        <v>1211</v>
      </c>
      <c r="D90" s="2" t="s">
        <v>1212</v>
      </c>
      <c r="E90" s="2" t="s">
        <v>840</v>
      </c>
      <c r="F90" s="2" t="s">
        <v>1213</v>
      </c>
      <c r="G90" s="2" t="s">
        <v>1214</v>
      </c>
      <c r="H90" s="2" t="s">
        <v>753</v>
      </c>
      <c r="I90" s="2" t="s">
        <v>1215</v>
      </c>
      <c r="J90" s="2" t="s">
        <v>755</v>
      </c>
      <c r="K90" s="2" t="s">
        <v>653</v>
      </c>
      <c r="L90" s="2" t="s">
        <v>756</v>
      </c>
      <c r="M90" s="2" t="s">
        <v>655</v>
      </c>
      <c r="N90" s="1">
        <v>1</v>
      </c>
      <c r="O90" s="3">
        <v>43587.461111111101</v>
      </c>
      <c r="P90" s="2" t="s">
        <v>41</v>
      </c>
      <c r="Q90" s="3">
        <v>45969.465277777803</v>
      </c>
      <c r="R90" s="2" t="s">
        <v>37</v>
      </c>
      <c r="S90" s="29" t="s">
        <v>39</v>
      </c>
      <c r="T90" s="1" t="s">
        <v>32</v>
      </c>
    </row>
    <row r="91" spans="2:20" ht="29" customHeight="1" x14ac:dyDescent="0.35">
      <c r="B91" s="2" t="s">
        <v>1216</v>
      </c>
      <c r="C91" s="2" t="s">
        <v>1217</v>
      </c>
      <c r="D91" s="2" t="s">
        <v>1218</v>
      </c>
      <c r="E91" s="2" t="s">
        <v>847</v>
      </c>
      <c r="F91" s="2" t="s">
        <v>1219</v>
      </c>
      <c r="G91" s="2" t="s">
        <v>1220</v>
      </c>
      <c r="H91" s="2" t="s">
        <v>763</v>
      </c>
      <c r="I91" s="2" t="s">
        <v>1221</v>
      </c>
      <c r="J91" s="2" t="s">
        <v>765</v>
      </c>
      <c r="K91" s="2" t="s">
        <v>653</v>
      </c>
      <c r="L91" s="2" t="s">
        <v>766</v>
      </c>
      <c r="M91" s="2" t="s">
        <v>655</v>
      </c>
      <c r="N91" s="1">
        <v>1</v>
      </c>
      <c r="O91" s="3">
        <v>44113.510416666701</v>
      </c>
      <c r="P91" s="2" t="s">
        <v>40</v>
      </c>
      <c r="Q91" s="3">
        <v>46127.514583333301</v>
      </c>
      <c r="R91" s="2" t="s">
        <v>38</v>
      </c>
      <c r="S91" s="29" t="s">
        <v>39</v>
      </c>
      <c r="T91" s="1" t="s">
        <v>32</v>
      </c>
    </row>
    <row r="92" spans="2:20" ht="29" customHeight="1" x14ac:dyDescent="0.35">
      <c r="B92" s="2" t="s">
        <v>1222</v>
      </c>
      <c r="C92" s="2" t="s">
        <v>1223</v>
      </c>
      <c r="D92" s="2" t="s">
        <v>1224</v>
      </c>
      <c r="E92" s="2" t="s">
        <v>854</v>
      </c>
      <c r="F92" s="2" t="s">
        <v>1225</v>
      </c>
      <c r="G92" s="2" t="s">
        <v>1226</v>
      </c>
      <c r="H92" s="2" t="s">
        <v>650</v>
      </c>
      <c r="I92" s="2" t="s">
        <v>1227</v>
      </c>
      <c r="J92" s="2" t="s">
        <v>652</v>
      </c>
      <c r="K92" s="2" t="s">
        <v>653</v>
      </c>
      <c r="L92" s="2" t="s">
        <v>654</v>
      </c>
      <c r="M92" s="2" t="s">
        <v>655</v>
      </c>
      <c r="N92" s="1">
        <v>1</v>
      </c>
      <c r="O92" s="3">
        <v>44271.559722222199</v>
      </c>
      <c r="P92" s="2" t="s">
        <v>37</v>
      </c>
      <c r="Q92" s="3">
        <v>44461.563888888901</v>
      </c>
      <c r="R92" s="2" t="s">
        <v>41</v>
      </c>
      <c r="S92" s="29" t="s">
        <v>39</v>
      </c>
      <c r="T92" s="1" t="s">
        <v>32</v>
      </c>
    </row>
    <row r="93" spans="2:20" ht="43.5" customHeight="1" x14ac:dyDescent="0.35">
      <c r="B93" s="2" t="s">
        <v>1228</v>
      </c>
      <c r="C93" s="2" t="s">
        <v>1229</v>
      </c>
      <c r="D93" s="2" t="s">
        <v>1230</v>
      </c>
      <c r="E93" s="2" t="s">
        <v>861</v>
      </c>
      <c r="F93" s="2" t="s">
        <v>1231</v>
      </c>
      <c r="G93" s="2" t="s">
        <v>1232</v>
      </c>
      <c r="H93" s="2" t="s">
        <v>662</v>
      </c>
      <c r="I93" s="2" t="s">
        <v>1233</v>
      </c>
      <c r="J93" s="2" t="s">
        <v>652</v>
      </c>
      <c r="K93" s="2" t="s">
        <v>653</v>
      </c>
      <c r="L93" s="2" t="s">
        <v>664</v>
      </c>
      <c r="M93" s="2" t="s">
        <v>655</v>
      </c>
      <c r="N93" s="1">
        <v>1</v>
      </c>
      <c r="O93" s="3">
        <v>44796.609027777798</v>
      </c>
      <c r="P93" s="2" t="s">
        <v>38</v>
      </c>
      <c r="Q93" s="3">
        <v>44916.609027777798</v>
      </c>
      <c r="R93" s="2" t="s">
        <v>40</v>
      </c>
      <c r="S93" s="29" t="s">
        <v>39</v>
      </c>
      <c r="T93" s="1" t="s">
        <v>32</v>
      </c>
    </row>
    <row r="94" spans="2:20" ht="29" customHeight="1" x14ac:dyDescent="0.35">
      <c r="B94" s="2" t="s">
        <v>1234</v>
      </c>
      <c r="C94" s="2" t="s">
        <v>1235</v>
      </c>
      <c r="D94" s="2" t="s">
        <v>1236</v>
      </c>
      <c r="E94" s="2" t="s">
        <v>868</v>
      </c>
      <c r="F94" s="2" t="s">
        <v>1237</v>
      </c>
      <c r="G94" s="2" t="s">
        <v>1238</v>
      </c>
      <c r="H94" s="2" t="s">
        <v>671</v>
      </c>
      <c r="I94" s="2" t="s">
        <v>1239</v>
      </c>
      <c r="J94" s="2" t="s">
        <v>673</v>
      </c>
      <c r="K94" s="2" t="s">
        <v>653</v>
      </c>
      <c r="L94" s="2" t="s">
        <v>674</v>
      </c>
      <c r="M94" s="2" t="s">
        <v>655</v>
      </c>
      <c r="N94" s="1">
        <v>1</v>
      </c>
      <c r="O94" s="3">
        <v>44931.658333333296</v>
      </c>
      <c r="P94" s="2" t="s">
        <v>41</v>
      </c>
      <c r="Q94" s="3">
        <v>45118.662499999999</v>
      </c>
      <c r="R94" s="2" t="s">
        <v>37</v>
      </c>
      <c r="S94" s="29" t="s">
        <v>39</v>
      </c>
      <c r="T94" s="1" t="s">
        <v>32</v>
      </c>
    </row>
    <row r="95" spans="2:20" ht="29" customHeight="1" x14ac:dyDescent="0.35">
      <c r="B95" s="2" t="s">
        <v>1240</v>
      </c>
      <c r="C95" s="2" t="s">
        <v>1241</v>
      </c>
      <c r="D95" s="2" t="s">
        <v>1242</v>
      </c>
      <c r="E95" s="2" t="s">
        <v>1243</v>
      </c>
      <c r="F95" s="2" t="s">
        <v>1244</v>
      </c>
      <c r="G95" s="2" t="s">
        <v>1245</v>
      </c>
      <c r="H95" s="2" t="s">
        <v>681</v>
      </c>
      <c r="I95" s="2" t="s">
        <v>1246</v>
      </c>
      <c r="J95" s="2" t="s">
        <v>683</v>
      </c>
      <c r="K95" s="2" t="s">
        <v>653</v>
      </c>
      <c r="L95" s="2" t="s">
        <v>684</v>
      </c>
      <c r="M95" s="2" t="s">
        <v>655</v>
      </c>
      <c r="N95" s="1">
        <v>1</v>
      </c>
      <c r="O95" s="3">
        <v>45455.707638888904</v>
      </c>
      <c r="P95" s="2" t="s">
        <v>40</v>
      </c>
      <c r="Q95" s="3">
        <v>45644.670138888898</v>
      </c>
      <c r="R95" s="2" t="s">
        <v>38</v>
      </c>
      <c r="S95" s="29" t="s">
        <v>39</v>
      </c>
      <c r="T95" s="1" t="s">
        <v>32</v>
      </c>
    </row>
    <row r="96" spans="2:20" ht="43.5" customHeight="1" x14ac:dyDescent="0.35">
      <c r="B96" s="2" t="s">
        <v>1247</v>
      </c>
      <c r="C96" s="2" t="s">
        <v>1248</v>
      </c>
      <c r="D96" s="2" t="s">
        <v>1249</v>
      </c>
      <c r="E96" s="2" t="s">
        <v>882</v>
      </c>
      <c r="F96" s="2" t="s">
        <v>1250</v>
      </c>
      <c r="G96" s="2" t="s">
        <v>1251</v>
      </c>
      <c r="H96" s="2" t="s">
        <v>691</v>
      </c>
      <c r="I96" s="2" t="s">
        <v>1252</v>
      </c>
      <c r="J96" s="2" t="s">
        <v>693</v>
      </c>
      <c r="K96" s="2" t="s">
        <v>653</v>
      </c>
      <c r="L96" s="2" t="s">
        <v>694</v>
      </c>
      <c r="M96" s="2" t="s">
        <v>655</v>
      </c>
      <c r="N96" s="1">
        <v>1</v>
      </c>
      <c r="O96" s="3">
        <v>45980.381944444402</v>
      </c>
      <c r="P96" s="2" t="s">
        <v>37</v>
      </c>
      <c r="Q96" s="3">
        <v>46100.381944444402</v>
      </c>
      <c r="R96" s="2" t="s">
        <v>41</v>
      </c>
      <c r="S96" s="29" t="s">
        <v>39</v>
      </c>
      <c r="T96" s="1" t="s">
        <v>32</v>
      </c>
    </row>
    <row r="97" spans="2:20" ht="29" customHeight="1" x14ac:dyDescent="0.35">
      <c r="B97" s="2" t="s">
        <v>1253</v>
      </c>
      <c r="C97" s="2" t="s">
        <v>1254</v>
      </c>
      <c r="D97" s="2" t="s">
        <v>1255</v>
      </c>
      <c r="E97" s="2" t="s">
        <v>889</v>
      </c>
      <c r="F97" s="2" t="s">
        <v>1256</v>
      </c>
      <c r="G97" s="2" t="s">
        <v>1257</v>
      </c>
      <c r="H97" s="2" t="s">
        <v>701</v>
      </c>
      <c r="I97" s="2" t="s">
        <v>1258</v>
      </c>
      <c r="J97" s="2" t="s">
        <v>703</v>
      </c>
      <c r="K97" s="2" t="s">
        <v>653</v>
      </c>
      <c r="L97" s="2" t="s">
        <v>704</v>
      </c>
      <c r="M97" s="2" t="s">
        <v>655</v>
      </c>
      <c r="N97" s="1">
        <v>0</v>
      </c>
      <c r="O97" s="3">
        <v>46113.431250000001</v>
      </c>
      <c r="P97" s="2" t="s">
        <v>38</v>
      </c>
      <c r="Q97" s="3">
        <v>46302.435416666704</v>
      </c>
      <c r="R97" s="2" t="s">
        <v>40</v>
      </c>
      <c r="S97" s="29" t="s">
        <v>39</v>
      </c>
      <c r="T97" s="1" t="s">
        <v>32</v>
      </c>
    </row>
    <row r="98" spans="2:20" ht="29" customHeight="1" x14ac:dyDescent="0.35">
      <c r="B98" s="2" t="s">
        <v>1259</v>
      </c>
      <c r="C98" s="2" t="s">
        <v>1260</v>
      </c>
      <c r="D98" s="2" t="s">
        <v>1261</v>
      </c>
      <c r="E98" s="2" t="s">
        <v>647</v>
      </c>
      <c r="F98" s="2" t="s">
        <v>1262</v>
      </c>
      <c r="G98" s="2" t="s">
        <v>1263</v>
      </c>
      <c r="H98" s="2" t="s">
        <v>711</v>
      </c>
      <c r="I98" s="2" t="s">
        <v>651</v>
      </c>
      <c r="J98" s="2" t="s">
        <v>713</v>
      </c>
      <c r="K98" s="2" t="s">
        <v>714</v>
      </c>
      <c r="L98" s="2" t="s">
        <v>715</v>
      </c>
      <c r="M98" s="2" t="s">
        <v>655</v>
      </c>
      <c r="N98" s="1">
        <v>1</v>
      </c>
      <c r="O98" s="3">
        <v>42986.480555555601</v>
      </c>
      <c r="P98" s="2" t="s">
        <v>41</v>
      </c>
      <c r="Q98" s="3">
        <v>44269.484722222202</v>
      </c>
      <c r="R98" s="2" t="s">
        <v>37</v>
      </c>
      <c r="S98" s="29" t="s">
        <v>39</v>
      </c>
      <c r="T98" s="1" t="s">
        <v>32</v>
      </c>
    </row>
    <row r="99" spans="2:20" ht="29" customHeight="1" x14ac:dyDescent="0.35">
      <c r="B99" s="2" t="s">
        <v>1264</v>
      </c>
      <c r="C99" s="2" t="s">
        <v>1265</v>
      </c>
      <c r="D99" s="2" t="s">
        <v>1266</v>
      </c>
      <c r="E99" s="2" t="s">
        <v>659</v>
      </c>
      <c r="F99" s="2" t="s">
        <v>1267</v>
      </c>
      <c r="G99" s="2" t="s">
        <v>1268</v>
      </c>
      <c r="H99" s="2" t="s">
        <v>722</v>
      </c>
      <c r="I99" s="2" t="s">
        <v>663</v>
      </c>
      <c r="J99" s="2" t="s">
        <v>713</v>
      </c>
      <c r="K99" s="2" t="s">
        <v>714</v>
      </c>
      <c r="L99" s="2" t="s">
        <v>724</v>
      </c>
      <c r="M99" s="2" t="s">
        <v>655</v>
      </c>
      <c r="N99" s="1">
        <v>1</v>
      </c>
      <c r="O99" s="3">
        <v>43146.529861111099</v>
      </c>
      <c r="P99" s="2" t="s">
        <v>40</v>
      </c>
      <c r="Q99" s="3">
        <v>44794.534027777801</v>
      </c>
      <c r="R99" s="2" t="s">
        <v>38</v>
      </c>
      <c r="S99" s="29" t="s">
        <v>39</v>
      </c>
      <c r="T99" s="1" t="s">
        <v>32</v>
      </c>
    </row>
    <row r="100" spans="2:20" ht="29" customHeight="1" x14ac:dyDescent="0.35">
      <c r="B100" s="2" t="s">
        <v>1269</v>
      </c>
      <c r="C100" s="2" t="s">
        <v>1270</v>
      </c>
      <c r="D100" s="2" t="s">
        <v>1271</v>
      </c>
      <c r="E100" s="2" t="s">
        <v>668</v>
      </c>
      <c r="F100" s="2" t="s">
        <v>1272</v>
      </c>
      <c r="G100" s="2" t="s">
        <v>1273</v>
      </c>
      <c r="H100" s="2" t="s">
        <v>731</v>
      </c>
      <c r="I100" s="2" t="s">
        <v>672</v>
      </c>
      <c r="J100" s="2" t="s">
        <v>733</v>
      </c>
      <c r="K100" s="2" t="s">
        <v>734</v>
      </c>
      <c r="L100" s="2" t="s">
        <v>735</v>
      </c>
      <c r="M100" s="2" t="s">
        <v>655</v>
      </c>
      <c r="N100" s="1">
        <v>1</v>
      </c>
      <c r="O100" s="3">
        <v>43668.579166666699</v>
      </c>
      <c r="P100" s="2" t="s">
        <v>37</v>
      </c>
      <c r="Q100" s="3">
        <v>44929.541666666701</v>
      </c>
      <c r="R100" s="2" t="s">
        <v>41</v>
      </c>
      <c r="S100" s="29" t="s">
        <v>39</v>
      </c>
      <c r="T100" s="1" t="s">
        <v>32</v>
      </c>
    </row>
    <row r="101" spans="2:20" ht="29" customHeight="1" x14ac:dyDescent="0.35">
      <c r="B101" s="2" t="s">
        <v>1274</v>
      </c>
      <c r="C101" s="2" t="s">
        <v>1275</v>
      </c>
      <c r="D101" s="2" t="s">
        <v>1276</v>
      </c>
      <c r="E101" s="2" t="s">
        <v>678</v>
      </c>
      <c r="F101" s="2" t="s">
        <v>1277</v>
      </c>
      <c r="G101" s="2" t="s">
        <v>1278</v>
      </c>
      <c r="H101" s="2" t="s">
        <v>742</v>
      </c>
      <c r="I101" s="2" t="s">
        <v>682</v>
      </c>
      <c r="J101" s="2" t="s">
        <v>744</v>
      </c>
      <c r="K101" s="2" t="s">
        <v>745</v>
      </c>
      <c r="L101" s="2" t="s">
        <v>746</v>
      </c>
      <c r="M101" s="2" t="s">
        <v>655</v>
      </c>
      <c r="N101" s="1">
        <v>1</v>
      </c>
      <c r="O101" s="3">
        <v>44169.586805555598</v>
      </c>
      <c r="P101" s="2" t="s">
        <v>38</v>
      </c>
      <c r="Q101" s="3">
        <v>45453.590972222199</v>
      </c>
      <c r="R101" s="2" t="s">
        <v>40</v>
      </c>
      <c r="S101" s="29" t="s">
        <v>39</v>
      </c>
      <c r="T101" s="1" t="s">
        <v>32</v>
      </c>
    </row>
    <row r="102" spans="2:20" ht="29" customHeight="1" x14ac:dyDescent="0.35">
      <c r="B102" s="2" t="s">
        <v>1279</v>
      </c>
      <c r="C102" s="2" t="s">
        <v>1280</v>
      </c>
      <c r="D102" s="2" t="s">
        <v>1281</v>
      </c>
      <c r="E102" s="2" t="s">
        <v>688</v>
      </c>
      <c r="F102" s="2" t="s">
        <v>1282</v>
      </c>
      <c r="G102" s="2" t="s">
        <v>1283</v>
      </c>
      <c r="H102" s="2" t="s">
        <v>753</v>
      </c>
      <c r="I102" s="2" t="s">
        <v>692</v>
      </c>
      <c r="J102" s="2" t="s">
        <v>755</v>
      </c>
      <c r="K102" s="2" t="s">
        <v>653</v>
      </c>
      <c r="L102" s="2" t="s">
        <v>756</v>
      </c>
      <c r="M102" s="2" t="s">
        <v>655</v>
      </c>
      <c r="N102" s="1">
        <v>1</v>
      </c>
      <c r="O102" s="3">
        <v>44327.636111111096</v>
      </c>
      <c r="P102" s="2" t="s">
        <v>41</v>
      </c>
      <c r="Q102" s="3">
        <v>45978.640277777798</v>
      </c>
      <c r="R102" s="2" t="s">
        <v>37</v>
      </c>
      <c r="S102" s="29" t="s">
        <v>39</v>
      </c>
      <c r="T102" s="1" t="s">
        <v>32</v>
      </c>
    </row>
    <row r="103" spans="2:20" ht="29" customHeight="1" x14ac:dyDescent="0.35">
      <c r="B103" s="2" t="s">
        <v>1284</v>
      </c>
      <c r="C103" s="2" t="s">
        <v>1285</v>
      </c>
      <c r="D103" s="2" t="s">
        <v>1286</v>
      </c>
      <c r="E103" s="2" t="s">
        <v>698</v>
      </c>
      <c r="F103" s="2" t="s">
        <v>1287</v>
      </c>
      <c r="G103" s="2" t="s">
        <v>1288</v>
      </c>
      <c r="H103" s="2" t="s">
        <v>763</v>
      </c>
      <c r="I103" s="2" t="s">
        <v>702</v>
      </c>
      <c r="J103" s="2" t="s">
        <v>765</v>
      </c>
      <c r="K103" s="2" t="s">
        <v>653</v>
      </c>
      <c r="L103" s="2" t="s">
        <v>766</v>
      </c>
      <c r="M103" s="2" t="s">
        <v>655</v>
      </c>
      <c r="N103" s="1">
        <v>1</v>
      </c>
      <c r="O103" s="3">
        <v>44852.685416666704</v>
      </c>
      <c r="P103" s="2" t="s">
        <v>40</v>
      </c>
      <c r="Q103" s="3">
        <v>46136.689583333296</v>
      </c>
      <c r="R103" s="2" t="s">
        <v>38</v>
      </c>
      <c r="S103" s="29" t="s">
        <v>39</v>
      </c>
      <c r="T103" s="1" t="s">
        <v>32</v>
      </c>
    </row>
    <row r="104" spans="2:20" ht="29" customHeight="1" x14ac:dyDescent="0.35">
      <c r="B104" s="2" t="s">
        <v>1289</v>
      </c>
      <c r="C104" s="2" t="s">
        <v>1290</v>
      </c>
      <c r="D104" s="2" t="s">
        <v>1291</v>
      </c>
      <c r="E104" s="2" t="s">
        <v>708</v>
      </c>
      <c r="F104" s="2" t="s">
        <v>1292</v>
      </c>
      <c r="G104" s="2" t="s">
        <v>1293</v>
      </c>
      <c r="H104" s="2" t="s">
        <v>650</v>
      </c>
      <c r="I104" s="2" t="s">
        <v>712</v>
      </c>
      <c r="J104" s="2" t="s">
        <v>652</v>
      </c>
      <c r="K104" s="2" t="s">
        <v>653</v>
      </c>
      <c r="L104" s="2" t="s">
        <v>654</v>
      </c>
      <c r="M104" s="2" t="s">
        <v>655</v>
      </c>
      <c r="N104" s="1">
        <v>1</v>
      </c>
      <c r="O104" s="3">
        <v>45010.401388888902</v>
      </c>
      <c r="P104" s="2" t="s">
        <v>37</v>
      </c>
      <c r="Q104" s="3">
        <v>45175.405555555597</v>
      </c>
      <c r="R104" s="2" t="s">
        <v>41</v>
      </c>
      <c r="S104" s="29" t="s">
        <v>39</v>
      </c>
      <c r="T104" s="1" t="s">
        <v>32</v>
      </c>
    </row>
    <row r="105" spans="2:20" ht="29" customHeight="1" x14ac:dyDescent="0.35">
      <c r="B105" s="2" t="s">
        <v>1294</v>
      </c>
      <c r="C105" s="2" t="s">
        <v>1295</v>
      </c>
      <c r="D105" s="2" t="s">
        <v>1296</v>
      </c>
      <c r="E105" s="2" t="s">
        <v>1297</v>
      </c>
      <c r="F105" s="2" t="s">
        <v>1298</v>
      </c>
      <c r="G105" s="2" t="s">
        <v>1299</v>
      </c>
      <c r="H105" s="2" t="s">
        <v>662</v>
      </c>
      <c r="I105" s="2" t="s">
        <v>723</v>
      </c>
      <c r="J105" s="2" t="s">
        <v>652</v>
      </c>
      <c r="K105" s="2" t="s">
        <v>653</v>
      </c>
      <c r="L105" s="2" t="s">
        <v>664</v>
      </c>
      <c r="M105" s="2" t="s">
        <v>655</v>
      </c>
      <c r="N105" s="1">
        <v>1</v>
      </c>
      <c r="O105" s="3">
        <v>45511.4506944444</v>
      </c>
      <c r="P105" s="2" t="s">
        <v>38</v>
      </c>
      <c r="Q105" s="3">
        <v>45631.4506944444</v>
      </c>
      <c r="R105" s="2" t="s">
        <v>40</v>
      </c>
      <c r="S105" s="29" t="s">
        <v>39</v>
      </c>
      <c r="T105" s="1" t="s">
        <v>32</v>
      </c>
    </row>
    <row r="106" spans="2:20" ht="29" customHeight="1" x14ac:dyDescent="0.35">
      <c r="B106" s="2" t="s">
        <v>1300</v>
      </c>
      <c r="C106" s="2" t="s">
        <v>1301</v>
      </c>
      <c r="D106" s="2" t="s">
        <v>1302</v>
      </c>
      <c r="E106" s="2" t="s">
        <v>728</v>
      </c>
      <c r="F106" s="2" t="s">
        <v>1303</v>
      </c>
      <c r="G106" s="2" t="s">
        <v>1304</v>
      </c>
      <c r="H106" s="2" t="s">
        <v>671</v>
      </c>
      <c r="I106" s="2" t="s">
        <v>732</v>
      </c>
      <c r="J106" s="2" t="s">
        <v>673</v>
      </c>
      <c r="K106" s="2" t="s">
        <v>653</v>
      </c>
      <c r="L106" s="2" t="s">
        <v>674</v>
      </c>
      <c r="M106" s="2" t="s">
        <v>655</v>
      </c>
      <c r="N106" s="1">
        <v>1</v>
      </c>
      <c r="O106" s="3">
        <v>45671.458333333299</v>
      </c>
      <c r="P106" s="2" t="s">
        <v>41</v>
      </c>
      <c r="Q106" s="3">
        <v>45858.462500000001</v>
      </c>
      <c r="R106" s="2" t="s">
        <v>37</v>
      </c>
      <c r="S106" s="29" t="s">
        <v>39</v>
      </c>
      <c r="T106" s="1" t="s">
        <v>32</v>
      </c>
    </row>
    <row r="107" spans="2:20" ht="29" customHeight="1" x14ac:dyDescent="0.35">
      <c r="B107" s="2" t="s">
        <v>1305</v>
      </c>
      <c r="C107" s="2" t="s">
        <v>1306</v>
      </c>
      <c r="D107" s="2" t="s">
        <v>1307</v>
      </c>
      <c r="E107" s="2" t="s">
        <v>739</v>
      </c>
      <c r="F107" s="2" t="s">
        <v>1308</v>
      </c>
      <c r="G107" s="2" t="s">
        <v>1309</v>
      </c>
      <c r="H107" s="2" t="s">
        <v>681</v>
      </c>
      <c r="I107" s="2" t="s">
        <v>743</v>
      </c>
      <c r="J107" s="2" t="s">
        <v>683</v>
      </c>
      <c r="K107" s="2" t="s">
        <v>653</v>
      </c>
      <c r="L107" s="2" t="s">
        <v>684</v>
      </c>
      <c r="M107" s="2" t="s">
        <v>655</v>
      </c>
      <c r="N107" s="1">
        <v>0</v>
      </c>
      <c r="O107" s="3">
        <v>46194.507638888899</v>
      </c>
      <c r="P107" s="2" t="s">
        <v>40</v>
      </c>
      <c r="Q107" s="3">
        <v>46358.511805555601</v>
      </c>
      <c r="R107" s="2" t="s">
        <v>38</v>
      </c>
      <c r="S107" s="29" t="s">
        <v>39</v>
      </c>
      <c r="T107" s="1" t="s">
        <v>32</v>
      </c>
    </row>
  </sheetData>
  <phoneticPr fontId="2"/>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7"/>
  <sheetViews>
    <sheetView zoomScale="85" zoomScaleNormal="85" workbookViewId="0">
      <pane xSplit="2" ySplit="7" topLeftCell="C8" activePane="bottomRight" state="frozenSplit"/>
      <selection activeCell="E17" sqref="E17"/>
      <selection pane="topRight"/>
      <selection pane="bottomLeft"/>
      <selection pane="bottomRight" activeCell="E17" sqref="E17"/>
    </sheetView>
  </sheetViews>
  <sheetFormatPr defaultColWidth="9.1796875" defaultRowHeight="14.5" x14ac:dyDescent="0.35"/>
  <cols>
    <col min="1" max="1" width="18.81640625" style="1" customWidth="1"/>
    <col min="2" max="2" width="24.81640625" style="2" customWidth="1"/>
    <col min="3" max="3" width="42.1796875" style="2" customWidth="1"/>
    <col min="4" max="4" width="16.81640625" style="2" customWidth="1"/>
    <col min="5" max="5" width="28.81640625" style="2" customWidth="1"/>
    <col min="6" max="8" width="14.81640625" style="1" customWidth="1"/>
    <col min="9" max="9" width="24.36328125" style="24" customWidth="1"/>
    <col min="10" max="10" width="28.81640625" style="24" customWidth="1"/>
    <col min="11" max="11" width="16.81640625" style="2" customWidth="1"/>
    <col min="12" max="12" width="14.81640625" style="1" customWidth="1"/>
    <col min="13" max="13" width="22.81640625" style="3" customWidth="1"/>
    <col min="14" max="14" width="30.81640625" style="2" customWidth="1"/>
    <col min="15" max="15" width="22.81640625" style="3" customWidth="1"/>
    <col min="16" max="16" width="30.81640625" style="2" customWidth="1"/>
    <col min="17" max="17" width="10.81640625" style="1" customWidth="1"/>
    <col min="18" max="18" width="48.81640625" style="1" customWidth="1"/>
    <col min="19" max="19" width="9.1796875" style="1" customWidth="1"/>
    <col min="20" max="16384" width="9.1796875" style="1"/>
  </cols>
  <sheetData>
    <row r="1" spans="1:18" s="4" customFormat="1" x14ac:dyDescent="0.35">
      <c r="A1" s="5" t="s">
        <v>0</v>
      </c>
      <c r="B1" s="6" t="s">
        <v>1310</v>
      </c>
      <c r="C1" s="7" t="s">
        <v>2</v>
      </c>
      <c r="D1" s="6" t="s">
        <v>1311</v>
      </c>
      <c r="E1" s="7" t="s">
        <v>4</v>
      </c>
      <c r="F1" s="32" t="s">
        <v>5</v>
      </c>
      <c r="I1" s="25"/>
      <c r="J1" s="25"/>
      <c r="K1" s="9"/>
      <c r="M1" s="8"/>
      <c r="N1" s="9"/>
      <c r="O1" s="8"/>
      <c r="P1" s="9"/>
    </row>
    <row r="2" spans="1:18" s="4" customFormat="1" x14ac:dyDescent="0.35">
      <c r="A2" s="5" t="s">
        <v>6</v>
      </c>
      <c r="B2" s="31" t="s">
        <v>1312</v>
      </c>
      <c r="C2" s="9"/>
      <c r="D2" s="9"/>
      <c r="E2" s="9"/>
      <c r="I2" s="25"/>
      <c r="J2" s="25"/>
      <c r="K2" s="9"/>
      <c r="M2" s="8"/>
      <c r="N2" s="9"/>
      <c r="O2" s="8"/>
      <c r="P2" s="9"/>
    </row>
    <row r="3" spans="1:18" s="4" customFormat="1" ht="29" customHeight="1" x14ac:dyDescent="0.35">
      <c r="A3" s="10" t="s">
        <v>7</v>
      </c>
      <c r="B3" s="11" t="s">
        <v>1313</v>
      </c>
      <c r="C3" s="12" t="s">
        <v>1314</v>
      </c>
      <c r="D3" s="12" t="s">
        <v>1315</v>
      </c>
      <c r="E3" s="12" t="s">
        <v>1316</v>
      </c>
      <c r="F3" s="22" t="s">
        <v>1317</v>
      </c>
      <c r="G3" s="22" t="s">
        <v>1318</v>
      </c>
      <c r="H3" s="22" t="s">
        <v>1319</v>
      </c>
      <c r="I3" s="26" t="s">
        <v>1320</v>
      </c>
      <c r="J3" s="26" t="s">
        <v>1321</v>
      </c>
      <c r="K3" s="12" t="s">
        <v>1322</v>
      </c>
      <c r="L3" s="22" t="s">
        <v>78</v>
      </c>
      <c r="M3" s="13" t="s">
        <v>11</v>
      </c>
      <c r="N3" s="12" t="s">
        <v>12</v>
      </c>
      <c r="O3" s="13" t="s">
        <v>13</v>
      </c>
      <c r="P3" s="12" t="s">
        <v>14</v>
      </c>
      <c r="Q3" s="14" t="s">
        <v>15</v>
      </c>
      <c r="R3" s="14" t="s">
        <v>16</v>
      </c>
    </row>
    <row r="4" spans="1:18" s="4" customFormat="1" x14ac:dyDescent="0.35">
      <c r="A4" s="10" t="s">
        <v>17</v>
      </c>
      <c r="B4" s="11" t="s">
        <v>1323</v>
      </c>
      <c r="C4" s="12" t="s">
        <v>1324</v>
      </c>
      <c r="D4" s="12" t="s">
        <v>1325</v>
      </c>
      <c r="E4" s="12" t="s">
        <v>1326</v>
      </c>
      <c r="F4" s="16" t="s">
        <v>1327</v>
      </c>
      <c r="G4" s="16" t="s">
        <v>1328</v>
      </c>
      <c r="H4" s="16" t="s">
        <v>1329</v>
      </c>
      <c r="I4" s="27" t="s">
        <v>1330</v>
      </c>
      <c r="J4" s="27" t="s">
        <v>1331</v>
      </c>
      <c r="K4" s="12" t="s">
        <v>1332</v>
      </c>
      <c r="L4" s="16" t="s">
        <v>641</v>
      </c>
      <c r="M4" s="15" t="s">
        <v>21</v>
      </c>
      <c r="N4" s="12" t="s">
        <v>22</v>
      </c>
      <c r="O4" s="15" t="s">
        <v>23</v>
      </c>
      <c r="P4" s="12" t="s">
        <v>24</v>
      </c>
      <c r="Q4" s="16"/>
      <c r="R4" s="16"/>
    </row>
    <row r="5" spans="1:18" s="4" customFormat="1" x14ac:dyDescent="0.35">
      <c r="A5" s="10" t="s">
        <v>25</v>
      </c>
      <c r="B5" s="11" t="s">
        <v>84</v>
      </c>
      <c r="C5" s="12" t="s">
        <v>642</v>
      </c>
      <c r="D5" s="12" t="s">
        <v>1333</v>
      </c>
      <c r="E5" s="12" t="s">
        <v>29</v>
      </c>
      <c r="F5" s="22" t="s">
        <v>87</v>
      </c>
      <c r="G5" s="22" t="s">
        <v>87</v>
      </c>
      <c r="H5" s="22" t="s">
        <v>1334</v>
      </c>
      <c r="I5" s="26" t="s">
        <v>1335</v>
      </c>
      <c r="J5" s="26" t="s">
        <v>1335</v>
      </c>
      <c r="K5" s="12" t="s">
        <v>1336</v>
      </c>
      <c r="L5" s="22" t="s">
        <v>87</v>
      </c>
      <c r="M5" s="13" t="s">
        <v>28</v>
      </c>
      <c r="N5" s="12" t="s">
        <v>29</v>
      </c>
      <c r="O5" s="13" t="s">
        <v>28</v>
      </c>
      <c r="P5" s="12" t="s">
        <v>29</v>
      </c>
      <c r="Q5" s="16"/>
      <c r="R5" s="16"/>
    </row>
    <row r="6" spans="1:18" s="4" customFormat="1" x14ac:dyDescent="0.35">
      <c r="A6" s="5" t="s">
        <v>30</v>
      </c>
      <c r="B6" s="11" t="s">
        <v>31</v>
      </c>
      <c r="C6" s="12" t="s">
        <v>32</v>
      </c>
      <c r="D6" s="12" t="s">
        <v>32</v>
      </c>
      <c r="E6" s="12" t="s">
        <v>33</v>
      </c>
      <c r="F6" s="22" t="s">
        <v>34</v>
      </c>
      <c r="G6" s="22" t="s">
        <v>34</v>
      </c>
      <c r="H6" s="22" t="s">
        <v>33</v>
      </c>
      <c r="I6" s="26" t="s">
        <v>34</v>
      </c>
      <c r="J6" s="26" t="s">
        <v>34</v>
      </c>
      <c r="K6" s="12" t="s">
        <v>34</v>
      </c>
      <c r="L6" s="22" t="s">
        <v>34</v>
      </c>
      <c r="M6" s="13" t="s">
        <v>34</v>
      </c>
      <c r="N6" s="12" t="s">
        <v>32</v>
      </c>
      <c r="O6" s="13" t="s">
        <v>34</v>
      </c>
      <c r="P6" s="12" t="s">
        <v>32</v>
      </c>
      <c r="Q6" s="16"/>
      <c r="R6" s="16"/>
    </row>
    <row r="7" spans="1:18" x14ac:dyDescent="0.35">
      <c r="A7" s="17" t="s">
        <v>35</v>
      </c>
      <c r="B7" s="18" t="s">
        <v>36</v>
      </c>
      <c r="C7" s="19" t="s">
        <v>36</v>
      </c>
      <c r="D7" s="19" t="s">
        <v>36</v>
      </c>
      <c r="E7" s="19" t="s">
        <v>36</v>
      </c>
      <c r="F7" s="23" t="s">
        <v>36</v>
      </c>
      <c r="G7" s="23" t="s">
        <v>36</v>
      </c>
      <c r="H7" s="23" t="s">
        <v>36</v>
      </c>
      <c r="I7" s="28" t="s">
        <v>36</v>
      </c>
      <c r="J7" s="28" t="s">
        <v>36</v>
      </c>
      <c r="K7" s="19" t="s">
        <v>36</v>
      </c>
      <c r="L7" s="23" t="s">
        <v>36</v>
      </c>
      <c r="M7" s="20" t="s">
        <v>36</v>
      </c>
      <c r="N7" s="19" t="s">
        <v>36</v>
      </c>
      <c r="O7" s="20" t="s">
        <v>36</v>
      </c>
      <c r="P7" s="19" t="s">
        <v>36</v>
      </c>
      <c r="Q7" s="21"/>
      <c r="R7" s="21"/>
    </row>
    <row r="8" spans="1:18" ht="18.5" customHeight="1" x14ac:dyDescent="0.35">
      <c r="B8" s="2" t="s">
        <v>1337</v>
      </c>
      <c r="C8" s="2" t="s">
        <v>1338</v>
      </c>
      <c r="D8" s="2" t="s">
        <v>1339</v>
      </c>
      <c r="E8" s="2" t="s">
        <v>1340</v>
      </c>
      <c r="F8" s="1">
        <v>1</v>
      </c>
      <c r="G8" s="1">
        <v>1</v>
      </c>
      <c r="I8" s="24">
        <v>12500</v>
      </c>
      <c r="J8" s="24">
        <v>35000</v>
      </c>
      <c r="K8" s="2" t="s">
        <v>1341</v>
      </c>
      <c r="L8" s="1">
        <v>1</v>
      </c>
      <c r="M8" s="3">
        <f t="shared" ref="M8:M37" ca="1" si="0">NOW()</f>
        <v>46277.79534675926</v>
      </c>
      <c r="N8" s="2" t="s">
        <v>1342</v>
      </c>
      <c r="O8" s="3">
        <f t="shared" ref="O8:O37" ca="1" si="1">M8</f>
        <v>46277.79534675926</v>
      </c>
      <c r="P8" s="2" t="str">
        <f t="shared" ref="P8:P37" si="2">N8</f>
        <v>sys_operator</v>
      </c>
      <c r="Q8" s="29" t="s">
        <v>39</v>
      </c>
      <c r="R8" s="1" t="s">
        <v>32</v>
      </c>
    </row>
    <row r="9" spans="1:18" ht="18.5" customHeight="1" x14ac:dyDescent="0.35">
      <c r="B9" s="2" t="s">
        <v>1343</v>
      </c>
      <c r="C9" s="2" t="s">
        <v>1345</v>
      </c>
      <c r="D9" s="2" t="s">
        <v>1339</v>
      </c>
      <c r="E9" s="2" t="s">
        <v>1346</v>
      </c>
      <c r="F9" s="1">
        <v>1</v>
      </c>
      <c r="G9" s="1">
        <v>1</v>
      </c>
      <c r="I9" s="24">
        <v>15000</v>
      </c>
      <c r="J9" s="24">
        <v>42500</v>
      </c>
      <c r="K9" s="2" t="s">
        <v>1341</v>
      </c>
      <c r="L9" s="1">
        <v>1</v>
      </c>
      <c r="M9" s="3">
        <f t="shared" ca="1" si="0"/>
        <v>46277.79534675926</v>
      </c>
      <c r="N9" s="2" t="s">
        <v>40</v>
      </c>
      <c r="O9" s="3">
        <f t="shared" ca="1" si="1"/>
        <v>46277.79534675926</v>
      </c>
      <c r="P9" s="2" t="str">
        <f t="shared" si="2"/>
        <v>sys_operator</v>
      </c>
      <c r="Q9" s="29" t="s">
        <v>39</v>
      </c>
      <c r="R9" s="1" t="s">
        <v>32</v>
      </c>
    </row>
    <row r="10" spans="1:18" ht="18.5" customHeight="1" x14ac:dyDescent="0.35">
      <c r="B10" s="2" t="s">
        <v>1347</v>
      </c>
      <c r="C10" s="2" t="s">
        <v>1348</v>
      </c>
      <c r="D10" s="2" t="s">
        <v>1339</v>
      </c>
      <c r="E10" s="2" t="s">
        <v>1349</v>
      </c>
      <c r="F10" s="1">
        <v>1</v>
      </c>
      <c r="G10" s="1">
        <v>1</v>
      </c>
      <c r="I10" s="24">
        <v>17500</v>
      </c>
      <c r="J10" s="24">
        <v>50000</v>
      </c>
      <c r="K10" s="2" t="s">
        <v>1341</v>
      </c>
      <c r="L10" s="1">
        <v>1</v>
      </c>
      <c r="M10" s="3">
        <f t="shared" ca="1" si="0"/>
        <v>46277.79534675926</v>
      </c>
      <c r="N10" s="2" t="s">
        <v>40</v>
      </c>
      <c r="O10" s="3">
        <f t="shared" ca="1" si="1"/>
        <v>46277.79534675926</v>
      </c>
      <c r="P10" s="2" t="str">
        <f t="shared" si="2"/>
        <v>sys_operator</v>
      </c>
      <c r="Q10" s="29" t="s">
        <v>39</v>
      </c>
      <c r="R10" s="1" t="s">
        <v>32</v>
      </c>
    </row>
    <row r="11" spans="1:18" ht="18.5" customHeight="1" x14ac:dyDescent="0.35">
      <c r="B11" s="2" t="s">
        <v>1350</v>
      </c>
      <c r="C11" s="2" t="s">
        <v>1351</v>
      </c>
      <c r="D11" s="2" t="s">
        <v>1339</v>
      </c>
      <c r="E11" s="2" t="s">
        <v>1340</v>
      </c>
      <c r="F11" s="1">
        <v>1</v>
      </c>
      <c r="G11" s="1">
        <v>1</v>
      </c>
      <c r="I11" s="24">
        <v>7500</v>
      </c>
      <c r="J11" s="24">
        <v>25000</v>
      </c>
      <c r="K11" s="2" t="s">
        <v>1341</v>
      </c>
      <c r="L11" s="1">
        <v>1</v>
      </c>
      <c r="M11" s="3">
        <f t="shared" ca="1" si="0"/>
        <v>46277.79534675926</v>
      </c>
      <c r="N11" s="2" t="s">
        <v>40</v>
      </c>
      <c r="O11" s="3">
        <f t="shared" ca="1" si="1"/>
        <v>46277.79534675926</v>
      </c>
      <c r="P11" s="2" t="str">
        <f t="shared" si="2"/>
        <v>sys_operator</v>
      </c>
      <c r="Q11" s="29" t="s">
        <v>39</v>
      </c>
      <c r="R11" s="1" t="s">
        <v>32</v>
      </c>
    </row>
    <row r="12" spans="1:18" ht="18.5" customHeight="1" x14ac:dyDescent="0.35">
      <c r="B12" s="2" t="s">
        <v>1352</v>
      </c>
      <c r="C12" s="2" t="s">
        <v>1353</v>
      </c>
      <c r="D12" s="2" t="s">
        <v>1339</v>
      </c>
      <c r="E12" s="2" t="s">
        <v>1346</v>
      </c>
      <c r="F12" s="1">
        <v>1</v>
      </c>
      <c r="G12" s="1">
        <v>1</v>
      </c>
      <c r="I12" s="24">
        <v>10000</v>
      </c>
      <c r="J12" s="24">
        <v>32000</v>
      </c>
      <c r="K12" s="2" t="s">
        <v>1341</v>
      </c>
      <c r="L12" s="1">
        <v>1</v>
      </c>
      <c r="M12" s="3">
        <f t="shared" ca="1" si="0"/>
        <v>46277.79534675926</v>
      </c>
      <c r="N12" s="2" t="s">
        <v>40</v>
      </c>
      <c r="O12" s="3">
        <f t="shared" ca="1" si="1"/>
        <v>46277.79534675926</v>
      </c>
      <c r="P12" s="2" t="str">
        <f t="shared" si="2"/>
        <v>sys_operator</v>
      </c>
      <c r="Q12" s="29" t="s">
        <v>39</v>
      </c>
      <c r="R12" s="1" t="s">
        <v>32</v>
      </c>
    </row>
    <row r="13" spans="1:18" ht="18.5" customHeight="1" x14ac:dyDescent="0.35">
      <c r="B13" s="2" t="s">
        <v>1354</v>
      </c>
      <c r="C13" s="2" t="s">
        <v>1355</v>
      </c>
      <c r="D13" s="2" t="s">
        <v>1339</v>
      </c>
      <c r="E13" s="2" t="s">
        <v>1349</v>
      </c>
      <c r="F13" s="1">
        <v>1</v>
      </c>
      <c r="G13" s="1">
        <v>1</v>
      </c>
      <c r="I13" s="24">
        <v>12500</v>
      </c>
      <c r="J13" s="24">
        <v>40000</v>
      </c>
      <c r="K13" s="2" t="s">
        <v>1341</v>
      </c>
      <c r="L13" s="1">
        <v>1</v>
      </c>
      <c r="M13" s="3">
        <f t="shared" ca="1" si="0"/>
        <v>46277.79534675926</v>
      </c>
      <c r="N13" s="2" t="s">
        <v>40</v>
      </c>
      <c r="O13" s="3">
        <f t="shared" ca="1" si="1"/>
        <v>46277.79534675926</v>
      </c>
      <c r="P13" s="2" t="str">
        <f t="shared" si="2"/>
        <v>sys_operator</v>
      </c>
      <c r="Q13" s="29" t="s">
        <v>39</v>
      </c>
      <c r="R13" s="1" t="s">
        <v>32</v>
      </c>
    </row>
    <row r="14" spans="1:18" x14ac:dyDescent="0.35">
      <c r="B14" s="2" t="s">
        <v>1356</v>
      </c>
      <c r="C14" s="2" t="s">
        <v>1357</v>
      </c>
      <c r="D14" s="2" t="s">
        <v>1344</v>
      </c>
      <c r="F14" s="1">
        <v>1</v>
      </c>
      <c r="G14" s="1">
        <v>1</v>
      </c>
      <c r="I14" s="24">
        <v>12500</v>
      </c>
      <c r="J14" s="24">
        <v>35000</v>
      </c>
      <c r="K14" s="2" t="s">
        <v>1341</v>
      </c>
      <c r="L14" s="1">
        <v>1</v>
      </c>
      <c r="M14" s="3">
        <f t="shared" ca="1" si="0"/>
        <v>46277.79534675926</v>
      </c>
      <c r="N14" s="2" t="s">
        <v>40</v>
      </c>
      <c r="O14" s="3">
        <f t="shared" ca="1" si="1"/>
        <v>46277.79534675926</v>
      </c>
      <c r="P14" s="2" t="str">
        <f t="shared" si="2"/>
        <v>sys_operator</v>
      </c>
      <c r="Q14" s="29" t="s">
        <v>39</v>
      </c>
      <c r="R14" s="1" t="s">
        <v>32</v>
      </c>
    </row>
    <row r="15" spans="1:18" x14ac:dyDescent="0.35">
      <c r="B15" s="2" t="s">
        <v>1359</v>
      </c>
      <c r="C15" s="2" t="s">
        <v>1360</v>
      </c>
      <c r="D15" s="2" t="s">
        <v>1344</v>
      </c>
      <c r="F15" s="1">
        <v>1</v>
      </c>
      <c r="G15" s="1">
        <v>1</v>
      </c>
      <c r="I15" s="24">
        <v>15000</v>
      </c>
      <c r="J15" s="24">
        <v>42500</v>
      </c>
      <c r="K15" s="2" t="s">
        <v>1341</v>
      </c>
      <c r="L15" s="1">
        <v>1</v>
      </c>
      <c r="M15" s="3">
        <f t="shared" ca="1" si="0"/>
        <v>46277.79534675926</v>
      </c>
      <c r="N15" s="2" t="s">
        <v>40</v>
      </c>
      <c r="O15" s="3">
        <f t="shared" ca="1" si="1"/>
        <v>46277.79534675926</v>
      </c>
      <c r="P15" s="2" t="str">
        <f t="shared" si="2"/>
        <v>sys_operator</v>
      </c>
      <c r="Q15" s="29" t="s">
        <v>39</v>
      </c>
      <c r="R15" s="1" t="s">
        <v>32</v>
      </c>
    </row>
    <row r="16" spans="1:18" x14ac:dyDescent="0.35">
      <c r="B16" s="2" t="s">
        <v>1358</v>
      </c>
      <c r="C16" s="2" t="s">
        <v>1362</v>
      </c>
      <c r="D16" s="2" t="s">
        <v>1344</v>
      </c>
      <c r="F16" s="1">
        <v>1</v>
      </c>
      <c r="G16" s="1">
        <v>1</v>
      </c>
      <c r="I16" s="24">
        <v>17500</v>
      </c>
      <c r="J16" s="24">
        <v>50000</v>
      </c>
      <c r="K16" s="2" t="s">
        <v>1341</v>
      </c>
      <c r="L16" s="1">
        <v>1</v>
      </c>
      <c r="M16" s="3">
        <f t="shared" ca="1" si="0"/>
        <v>46277.79534675926</v>
      </c>
      <c r="N16" s="2" t="s">
        <v>40</v>
      </c>
      <c r="O16" s="3">
        <f t="shared" ca="1" si="1"/>
        <v>46277.79534675926</v>
      </c>
      <c r="P16" s="2" t="str">
        <f t="shared" si="2"/>
        <v>sys_operator</v>
      </c>
      <c r="Q16" s="29" t="s">
        <v>39</v>
      </c>
      <c r="R16" s="1" t="s">
        <v>32</v>
      </c>
    </row>
    <row r="17" spans="2:18" x14ac:dyDescent="0.35">
      <c r="B17" s="2" t="s">
        <v>1361</v>
      </c>
      <c r="C17" s="2" t="s">
        <v>1364</v>
      </c>
      <c r="D17" s="2" t="s">
        <v>1344</v>
      </c>
      <c r="F17" s="1">
        <v>1</v>
      </c>
      <c r="G17" s="1">
        <v>1</v>
      </c>
      <c r="I17" s="24">
        <v>10000</v>
      </c>
      <c r="J17" s="24">
        <v>30000</v>
      </c>
      <c r="K17" s="2" t="s">
        <v>1341</v>
      </c>
      <c r="L17" s="1">
        <v>1</v>
      </c>
      <c r="M17" s="3">
        <f t="shared" ca="1" si="0"/>
        <v>46277.79534675926</v>
      </c>
      <c r="N17" s="2" t="s">
        <v>40</v>
      </c>
      <c r="O17" s="3">
        <f t="shared" ca="1" si="1"/>
        <v>46277.79534675926</v>
      </c>
      <c r="P17" s="2" t="str">
        <f t="shared" si="2"/>
        <v>sys_operator</v>
      </c>
      <c r="Q17" s="29" t="s">
        <v>39</v>
      </c>
      <c r="R17" s="1" t="s">
        <v>32</v>
      </c>
    </row>
    <row r="18" spans="2:18" x14ac:dyDescent="0.35">
      <c r="B18" s="2" t="s">
        <v>1363</v>
      </c>
      <c r="C18" s="2" t="s">
        <v>1366</v>
      </c>
      <c r="D18" s="2" t="s">
        <v>1344</v>
      </c>
      <c r="F18" s="1">
        <v>1</v>
      </c>
      <c r="G18" s="1">
        <v>1</v>
      </c>
      <c r="I18" s="24">
        <v>12500</v>
      </c>
      <c r="J18" s="24">
        <v>40000</v>
      </c>
      <c r="K18" s="2" t="s">
        <v>1341</v>
      </c>
      <c r="L18" s="1">
        <v>1</v>
      </c>
      <c r="M18" s="3">
        <f t="shared" ca="1" si="0"/>
        <v>46277.79534675926</v>
      </c>
      <c r="N18" s="2" t="s">
        <v>40</v>
      </c>
      <c r="O18" s="3">
        <f t="shared" ca="1" si="1"/>
        <v>46277.79534675926</v>
      </c>
      <c r="P18" s="2" t="str">
        <f t="shared" si="2"/>
        <v>sys_operator</v>
      </c>
      <c r="Q18" s="29" t="s">
        <v>39</v>
      </c>
      <c r="R18" s="1" t="s">
        <v>32</v>
      </c>
    </row>
    <row r="19" spans="2:18" x14ac:dyDescent="0.35">
      <c r="B19" s="2" t="s">
        <v>1365</v>
      </c>
      <c r="C19" s="2" t="s">
        <v>1368</v>
      </c>
      <c r="D19" s="2" t="s">
        <v>1344</v>
      </c>
      <c r="F19" s="1">
        <v>1</v>
      </c>
      <c r="G19" s="1">
        <v>1</v>
      </c>
      <c r="I19" s="24">
        <v>15000</v>
      </c>
      <c r="J19" s="24">
        <v>50000</v>
      </c>
      <c r="K19" s="2" t="s">
        <v>1341</v>
      </c>
      <c r="L19" s="1">
        <v>1</v>
      </c>
      <c r="M19" s="3">
        <f t="shared" ca="1" si="0"/>
        <v>46277.79534675926</v>
      </c>
      <c r="N19" s="2" t="s">
        <v>40</v>
      </c>
      <c r="O19" s="3">
        <f t="shared" ca="1" si="1"/>
        <v>46277.79534675926</v>
      </c>
      <c r="P19" s="2" t="str">
        <f t="shared" si="2"/>
        <v>sys_operator</v>
      </c>
      <c r="Q19" s="29" t="s">
        <v>39</v>
      </c>
      <c r="R19" s="1" t="s">
        <v>32</v>
      </c>
    </row>
    <row r="20" spans="2:18" ht="18.5" customHeight="1" x14ac:dyDescent="0.35">
      <c r="B20" s="2" t="s">
        <v>1367</v>
      </c>
      <c r="C20" s="2" t="s">
        <v>1370</v>
      </c>
      <c r="D20" s="2" t="s">
        <v>1369</v>
      </c>
      <c r="F20" s="1">
        <v>0</v>
      </c>
      <c r="G20" s="1">
        <v>0</v>
      </c>
      <c r="I20" s="24">
        <v>3000</v>
      </c>
      <c r="J20" s="24">
        <v>15000</v>
      </c>
      <c r="K20" s="2" t="s">
        <v>1341</v>
      </c>
      <c r="L20" s="1">
        <v>1</v>
      </c>
      <c r="M20" s="3">
        <f t="shared" ca="1" si="0"/>
        <v>46277.79534675926</v>
      </c>
      <c r="N20" s="2" t="s">
        <v>40</v>
      </c>
      <c r="O20" s="3">
        <f t="shared" ca="1" si="1"/>
        <v>46277.79534675926</v>
      </c>
      <c r="P20" s="2" t="str">
        <f t="shared" si="2"/>
        <v>sys_operator</v>
      </c>
      <c r="Q20" s="29" t="s">
        <v>39</v>
      </c>
      <c r="R20" s="1" t="s">
        <v>32</v>
      </c>
    </row>
    <row r="21" spans="2:18" ht="18.5" customHeight="1" x14ac:dyDescent="0.35">
      <c r="B21" s="2" t="s">
        <v>1372</v>
      </c>
      <c r="C21" s="2" t="s">
        <v>1373</v>
      </c>
      <c r="D21" s="2" t="s">
        <v>1369</v>
      </c>
      <c r="F21" s="1">
        <v>0</v>
      </c>
      <c r="G21" s="1">
        <v>0</v>
      </c>
      <c r="I21" s="24">
        <v>5000</v>
      </c>
      <c r="J21" s="24">
        <v>20000</v>
      </c>
      <c r="K21" s="2" t="s">
        <v>1341</v>
      </c>
      <c r="L21" s="1">
        <v>1</v>
      </c>
      <c r="M21" s="3">
        <f t="shared" ca="1" si="0"/>
        <v>46277.79534675926</v>
      </c>
      <c r="N21" s="2" t="s">
        <v>40</v>
      </c>
      <c r="O21" s="3">
        <f t="shared" ca="1" si="1"/>
        <v>46277.79534675926</v>
      </c>
      <c r="P21" s="2" t="str">
        <f t="shared" si="2"/>
        <v>sys_operator</v>
      </c>
      <c r="Q21" s="29" t="s">
        <v>39</v>
      </c>
      <c r="R21" s="1" t="s">
        <v>32</v>
      </c>
    </row>
    <row r="22" spans="2:18" ht="18.5" customHeight="1" x14ac:dyDescent="0.35">
      <c r="B22" s="2" t="s">
        <v>1374</v>
      </c>
      <c r="C22" s="2" t="s">
        <v>1375</v>
      </c>
      <c r="D22" s="2" t="s">
        <v>1369</v>
      </c>
      <c r="F22" s="1">
        <v>0</v>
      </c>
      <c r="G22" s="1">
        <v>0</v>
      </c>
      <c r="I22" s="24">
        <v>7000</v>
      </c>
      <c r="J22" s="24">
        <v>25000</v>
      </c>
      <c r="K22" s="2" t="s">
        <v>1341</v>
      </c>
      <c r="L22" s="1">
        <v>1</v>
      </c>
      <c r="M22" s="3">
        <f t="shared" ca="1" si="0"/>
        <v>46277.79534675926</v>
      </c>
      <c r="N22" s="2" t="s">
        <v>40</v>
      </c>
      <c r="O22" s="3">
        <f t="shared" ca="1" si="1"/>
        <v>46277.79534675926</v>
      </c>
      <c r="P22" s="2" t="str">
        <f t="shared" si="2"/>
        <v>sys_operator</v>
      </c>
      <c r="Q22" s="29" t="s">
        <v>39</v>
      </c>
      <c r="R22" s="1" t="s">
        <v>32</v>
      </c>
    </row>
    <row r="23" spans="2:18" ht="33" customHeight="1" x14ac:dyDescent="0.35">
      <c r="B23" s="2" t="s">
        <v>1376</v>
      </c>
      <c r="C23" s="2" t="s">
        <v>1371</v>
      </c>
      <c r="D23" s="2" t="s">
        <v>1369</v>
      </c>
      <c r="F23" s="1">
        <v>1</v>
      </c>
      <c r="G23" s="1">
        <v>0</v>
      </c>
      <c r="I23" s="24">
        <v>6000</v>
      </c>
      <c r="J23" s="24">
        <v>20000</v>
      </c>
      <c r="K23" s="2" t="s">
        <v>1341</v>
      </c>
      <c r="L23" s="1">
        <v>1</v>
      </c>
      <c r="M23" s="3">
        <f t="shared" ca="1" si="0"/>
        <v>46277.79534675926</v>
      </c>
      <c r="N23" s="2" t="s">
        <v>40</v>
      </c>
      <c r="O23" s="3">
        <f t="shared" ca="1" si="1"/>
        <v>46277.79534675926</v>
      </c>
      <c r="P23" s="2" t="str">
        <f t="shared" si="2"/>
        <v>sys_operator</v>
      </c>
      <c r="Q23" s="29" t="s">
        <v>39</v>
      </c>
      <c r="R23" s="1" t="s">
        <v>32</v>
      </c>
    </row>
    <row r="24" spans="2:18" ht="33" customHeight="1" x14ac:dyDescent="0.35">
      <c r="B24" s="2" t="s">
        <v>1378</v>
      </c>
      <c r="C24" s="2" t="s">
        <v>1379</v>
      </c>
      <c r="D24" s="2" t="s">
        <v>1369</v>
      </c>
      <c r="F24" s="1">
        <v>1</v>
      </c>
      <c r="G24" s="1">
        <v>0</v>
      </c>
      <c r="I24" s="24">
        <v>8000</v>
      </c>
      <c r="J24" s="24">
        <v>30000</v>
      </c>
      <c r="K24" s="2" t="s">
        <v>1341</v>
      </c>
      <c r="L24" s="1">
        <v>1</v>
      </c>
      <c r="M24" s="3">
        <f t="shared" ca="1" si="0"/>
        <v>46277.79534675926</v>
      </c>
      <c r="N24" s="2" t="s">
        <v>40</v>
      </c>
      <c r="O24" s="3">
        <f t="shared" ca="1" si="1"/>
        <v>46277.79534675926</v>
      </c>
      <c r="P24" s="2" t="str">
        <f t="shared" si="2"/>
        <v>sys_operator</v>
      </c>
      <c r="Q24" s="29" t="s">
        <v>39</v>
      </c>
      <c r="R24" s="1" t="s">
        <v>32</v>
      </c>
    </row>
    <row r="25" spans="2:18" ht="33" customHeight="1" x14ac:dyDescent="0.35">
      <c r="B25" s="2" t="s">
        <v>1380</v>
      </c>
      <c r="C25" s="2" t="s">
        <v>1381</v>
      </c>
      <c r="D25" s="2" t="s">
        <v>1369</v>
      </c>
      <c r="F25" s="1">
        <v>1</v>
      </c>
      <c r="G25" s="1">
        <v>0</v>
      </c>
      <c r="I25" s="24">
        <v>12000</v>
      </c>
      <c r="J25" s="24">
        <v>40000</v>
      </c>
      <c r="K25" s="2" t="s">
        <v>1341</v>
      </c>
      <c r="L25" s="1">
        <v>1</v>
      </c>
      <c r="M25" s="3">
        <f t="shared" ca="1" si="0"/>
        <v>46277.79534675926</v>
      </c>
      <c r="N25" s="2" t="s">
        <v>40</v>
      </c>
      <c r="O25" s="3">
        <f t="shared" ca="1" si="1"/>
        <v>46277.79534675926</v>
      </c>
      <c r="P25" s="2" t="str">
        <f t="shared" si="2"/>
        <v>sys_operator</v>
      </c>
      <c r="Q25" s="29" t="s">
        <v>39</v>
      </c>
      <c r="R25" s="1" t="s">
        <v>32</v>
      </c>
    </row>
    <row r="26" spans="2:18" ht="18.5" customHeight="1" x14ac:dyDescent="0.35">
      <c r="B26" s="2" t="s">
        <v>1382</v>
      </c>
      <c r="C26" s="2" t="s">
        <v>1383</v>
      </c>
      <c r="D26" s="2" t="s">
        <v>1369</v>
      </c>
      <c r="F26" s="1">
        <v>0</v>
      </c>
      <c r="G26" s="1">
        <v>0</v>
      </c>
      <c r="I26" s="24">
        <f>I20-1250</f>
        <v>1750</v>
      </c>
      <c r="J26" s="24">
        <f t="shared" ref="J26:J31" si="3">J20-5000</f>
        <v>10000</v>
      </c>
      <c r="K26" s="2" t="s">
        <v>1341</v>
      </c>
      <c r="L26" s="1">
        <v>1</v>
      </c>
      <c r="M26" s="3">
        <f t="shared" ca="1" si="0"/>
        <v>46277.79534675926</v>
      </c>
      <c r="N26" s="2" t="s">
        <v>40</v>
      </c>
      <c r="O26" s="3">
        <f t="shared" ca="1" si="1"/>
        <v>46277.79534675926</v>
      </c>
      <c r="P26" s="2" t="str">
        <f t="shared" si="2"/>
        <v>sys_operator</v>
      </c>
      <c r="Q26" s="29" t="s">
        <v>39</v>
      </c>
      <c r="R26" s="1" t="s">
        <v>32</v>
      </c>
    </row>
    <row r="27" spans="2:18" ht="18.5" customHeight="1" x14ac:dyDescent="0.35">
      <c r="B27" s="2" t="s">
        <v>1384</v>
      </c>
      <c r="C27" s="2" t="s">
        <v>1385</v>
      </c>
      <c r="D27" s="2" t="s">
        <v>1369</v>
      </c>
      <c r="F27" s="1">
        <v>0</v>
      </c>
      <c r="G27" s="1">
        <v>0</v>
      </c>
      <c r="I27" s="24">
        <f>I21-1250</f>
        <v>3750</v>
      </c>
      <c r="J27" s="24">
        <f t="shared" si="3"/>
        <v>15000</v>
      </c>
      <c r="K27" s="2" t="s">
        <v>1341</v>
      </c>
      <c r="L27" s="1">
        <v>1</v>
      </c>
      <c r="M27" s="3">
        <f t="shared" ca="1" si="0"/>
        <v>46277.79534675926</v>
      </c>
      <c r="N27" s="2" t="s">
        <v>40</v>
      </c>
      <c r="O27" s="3">
        <f t="shared" ca="1" si="1"/>
        <v>46277.79534675926</v>
      </c>
      <c r="P27" s="2" t="str">
        <f t="shared" si="2"/>
        <v>sys_operator</v>
      </c>
      <c r="Q27" s="29" t="s">
        <v>39</v>
      </c>
      <c r="R27" s="1" t="s">
        <v>32</v>
      </c>
    </row>
    <row r="28" spans="2:18" ht="18.5" customHeight="1" x14ac:dyDescent="0.35">
      <c r="B28" s="2" t="s">
        <v>1386</v>
      </c>
      <c r="C28" s="2" t="s">
        <v>1387</v>
      </c>
      <c r="D28" s="2" t="s">
        <v>1369</v>
      </c>
      <c r="F28" s="1">
        <v>0</v>
      </c>
      <c r="G28" s="1">
        <v>0</v>
      </c>
      <c r="I28" s="24">
        <f>I22-1250</f>
        <v>5750</v>
      </c>
      <c r="J28" s="24">
        <f t="shared" si="3"/>
        <v>20000</v>
      </c>
      <c r="K28" s="2" t="s">
        <v>1341</v>
      </c>
      <c r="L28" s="1">
        <v>1</v>
      </c>
      <c r="M28" s="3">
        <f t="shared" ca="1" si="0"/>
        <v>46277.79534675926</v>
      </c>
      <c r="N28" s="2" t="s">
        <v>40</v>
      </c>
      <c r="O28" s="3">
        <f t="shared" ca="1" si="1"/>
        <v>46277.79534675926</v>
      </c>
      <c r="P28" s="2" t="str">
        <f t="shared" si="2"/>
        <v>sys_operator</v>
      </c>
      <c r="Q28" s="29" t="s">
        <v>39</v>
      </c>
      <c r="R28" s="1" t="s">
        <v>32</v>
      </c>
    </row>
    <row r="29" spans="2:18" ht="37" customHeight="1" x14ac:dyDescent="0.35">
      <c r="B29" s="2" t="s">
        <v>1388</v>
      </c>
      <c r="C29" s="2" t="s">
        <v>1377</v>
      </c>
      <c r="D29" s="2" t="s">
        <v>1369</v>
      </c>
      <c r="F29" s="1">
        <v>1</v>
      </c>
      <c r="G29" s="1">
        <v>0</v>
      </c>
      <c r="I29" s="24">
        <f>I23-1200</f>
        <v>4800</v>
      </c>
      <c r="J29" s="24">
        <f t="shared" si="3"/>
        <v>15000</v>
      </c>
      <c r="K29" s="2" t="s">
        <v>1341</v>
      </c>
      <c r="L29" s="1">
        <v>1</v>
      </c>
      <c r="M29" s="3">
        <f t="shared" ca="1" si="0"/>
        <v>46277.79534675926</v>
      </c>
      <c r="N29" s="2" t="s">
        <v>40</v>
      </c>
      <c r="O29" s="3">
        <f t="shared" ca="1" si="1"/>
        <v>46277.79534675926</v>
      </c>
      <c r="P29" s="2" t="str">
        <f t="shared" si="2"/>
        <v>sys_operator</v>
      </c>
      <c r="Q29" s="29" t="s">
        <v>39</v>
      </c>
      <c r="R29" s="1" t="s">
        <v>32</v>
      </c>
    </row>
    <row r="30" spans="2:18" ht="37" customHeight="1" x14ac:dyDescent="0.35">
      <c r="B30" s="2" t="s">
        <v>1390</v>
      </c>
      <c r="C30" s="2" t="s">
        <v>1391</v>
      </c>
      <c r="D30" s="2" t="s">
        <v>1369</v>
      </c>
      <c r="F30" s="1">
        <v>1</v>
      </c>
      <c r="G30" s="1">
        <v>0</v>
      </c>
      <c r="I30" s="24">
        <f>I24-1200</f>
        <v>6800</v>
      </c>
      <c r="J30" s="24">
        <f t="shared" si="3"/>
        <v>25000</v>
      </c>
      <c r="K30" s="2" t="s">
        <v>1341</v>
      </c>
      <c r="L30" s="1">
        <v>1</v>
      </c>
      <c r="M30" s="3">
        <f t="shared" ca="1" si="0"/>
        <v>46277.79534675926</v>
      </c>
      <c r="N30" s="2" t="s">
        <v>40</v>
      </c>
      <c r="O30" s="3">
        <f t="shared" ca="1" si="1"/>
        <v>46277.79534675926</v>
      </c>
      <c r="P30" s="2" t="str">
        <f t="shared" si="2"/>
        <v>sys_operator</v>
      </c>
      <c r="Q30" s="29" t="s">
        <v>39</v>
      </c>
      <c r="R30" s="1" t="s">
        <v>32</v>
      </c>
    </row>
    <row r="31" spans="2:18" ht="37" customHeight="1" x14ac:dyDescent="0.35">
      <c r="B31" s="2" t="s">
        <v>1392</v>
      </c>
      <c r="C31" s="2" t="s">
        <v>1393</v>
      </c>
      <c r="D31" s="2" t="s">
        <v>1369</v>
      </c>
      <c r="F31" s="1">
        <v>1</v>
      </c>
      <c r="G31" s="1">
        <v>0</v>
      </c>
      <c r="I31" s="24">
        <f>I25-1200</f>
        <v>10800</v>
      </c>
      <c r="J31" s="24">
        <f t="shared" si="3"/>
        <v>35000</v>
      </c>
      <c r="K31" s="2" t="s">
        <v>1341</v>
      </c>
      <c r="L31" s="1">
        <v>1</v>
      </c>
      <c r="M31" s="3">
        <f t="shared" ca="1" si="0"/>
        <v>46277.79534675926</v>
      </c>
      <c r="N31" s="2" t="s">
        <v>40</v>
      </c>
      <c r="O31" s="3">
        <f t="shared" ca="1" si="1"/>
        <v>46277.79534675926</v>
      </c>
      <c r="P31" s="2" t="str">
        <f t="shared" si="2"/>
        <v>sys_operator</v>
      </c>
      <c r="Q31" s="29" t="s">
        <v>39</v>
      </c>
      <c r="R31" s="1" t="s">
        <v>32</v>
      </c>
    </row>
    <row r="32" spans="2:18" ht="29" customHeight="1" x14ac:dyDescent="0.35">
      <c r="B32" s="2" t="s">
        <v>1394</v>
      </c>
      <c r="C32" s="2" t="s">
        <v>1389</v>
      </c>
      <c r="D32" s="2" t="s">
        <v>1395</v>
      </c>
      <c r="F32" s="1">
        <v>1</v>
      </c>
      <c r="G32" s="1">
        <v>1</v>
      </c>
      <c r="H32" s="1">
        <v>30</v>
      </c>
      <c r="I32" s="24">
        <v>12500</v>
      </c>
      <c r="J32" s="24">
        <v>40000</v>
      </c>
      <c r="K32" s="2" t="s">
        <v>1341</v>
      </c>
      <c r="L32" s="1">
        <v>1</v>
      </c>
      <c r="M32" s="3">
        <f t="shared" ca="1" si="0"/>
        <v>46277.79534675926</v>
      </c>
      <c r="N32" s="2" t="s">
        <v>40</v>
      </c>
      <c r="O32" s="3">
        <f t="shared" ca="1" si="1"/>
        <v>46277.79534675926</v>
      </c>
      <c r="P32" s="2" t="str">
        <f t="shared" si="2"/>
        <v>sys_operator</v>
      </c>
      <c r="Q32" s="29" t="s">
        <v>39</v>
      </c>
      <c r="R32" s="1" t="s">
        <v>32</v>
      </c>
    </row>
    <row r="33" spans="2:18" ht="29" customHeight="1" x14ac:dyDescent="0.35">
      <c r="B33" s="2" t="s">
        <v>1397</v>
      </c>
      <c r="C33" s="2" t="s">
        <v>1396</v>
      </c>
      <c r="D33" s="2" t="s">
        <v>1395</v>
      </c>
      <c r="F33" s="1">
        <v>1</v>
      </c>
      <c r="G33" s="1">
        <v>1</v>
      </c>
      <c r="H33" s="1">
        <v>60</v>
      </c>
      <c r="I33" s="24">
        <v>15000</v>
      </c>
      <c r="J33" s="24">
        <v>50000</v>
      </c>
      <c r="K33" s="2" t="s">
        <v>1341</v>
      </c>
      <c r="L33" s="1">
        <v>1</v>
      </c>
      <c r="M33" s="3">
        <f t="shared" ca="1" si="0"/>
        <v>46277.79534675926</v>
      </c>
      <c r="N33" s="2" t="s">
        <v>40</v>
      </c>
      <c r="O33" s="3">
        <f t="shared" ca="1" si="1"/>
        <v>46277.79534675926</v>
      </c>
      <c r="P33" s="2" t="str">
        <f t="shared" si="2"/>
        <v>sys_operator</v>
      </c>
      <c r="Q33" s="29" t="s">
        <v>39</v>
      </c>
      <c r="R33" s="1" t="s">
        <v>32</v>
      </c>
    </row>
    <row r="34" spans="2:18" ht="29" customHeight="1" x14ac:dyDescent="0.35">
      <c r="B34" s="2" t="s">
        <v>1398</v>
      </c>
      <c r="C34" s="2" t="s">
        <v>1399</v>
      </c>
      <c r="D34" s="2" t="s">
        <v>1395</v>
      </c>
      <c r="F34" s="1">
        <v>1</v>
      </c>
      <c r="G34" s="1">
        <v>1</v>
      </c>
      <c r="H34" s="1">
        <v>120</v>
      </c>
      <c r="I34" s="24">
        <v>17500</v>
      </c>
      <c r="J34" s="24">
        <v>60000</v>
      </c>
      <c r="K34" s="2" t="s">
        <v>1341</v>
      </c>
      <c r="L34" s="1">
        <v>1</v>
      </c>
      <c r="M34" s="3">
        <f t="shared" ca="1" si="0"/>
        <v>46277.79534675926</v>
      </c>
      <c r="N34" s="2" t="s">
        <v>40</v>
      </c>
      <c r="O34" s="3">
        <f t="shared" ca="1" si="1"/>
        <v>46277.79534675926</v>
      </c>
      <c r="P34" s="2" t="str">
        <f t="shared" si="2"/>
        <v>sys_operator</v>
      </c>
      <c r="Q34" s="29" t="s">
        <v>39</v>
      </c>
      <c r="R34" s="1" t="s">
        <v>32</v>
      </c>
    </row>
    <row r="35" spans="2:18" ht="29" customHeight="1" x14ac:dyDescent="0.35">
      <c r="B35" s="2" t="s">
        <v>1400</v>
      </c>
      <c r="C35" s="2" t="s">
        <v>1401</v>
      </c>
      <c r="D35" s="2" t="s">
        <v>1395</v>
      </c>
      <c r="F35" s="1">
        <v>1</v>
      </c>
      <c r="G35" s="1">
        <v>1</v>
      </c>
      <c r="H35" s="1">
        <v>30</v>
      </c>
      <c r="I35" s="24">
        <f>I32-5000</f>
        <v>7500</v>
      </c>
      <c r="J35" s="24">
        <v>25000</v>
      </c>
      <c r="K35" s="2" t="s">
        <v>1341</v>
      </c>
      <c r="L35" s="1">
        <v>1</v>
      </c>
      <c r="M35" s="3">
        <f t="shared" ca="1" si="0"/>
        <v>46277.79534675926</v>
      </c>
      <c r="N35" s="2" t="s">
        <v>40</v>
      </c>
      <c r="O35" s="3">
        <f t="shared" ca="1" si="1"/>
        <v>46277.79534675926</v>
      </c>
      <c r="P35" s="2" t="str">
        <f t="shared" si="2"/>
        <v>sys_operator</v>
      </c>
      <c r="Q35" s="29" t="s">
        <v>39</v>
      </c>
      <c r="R35" s="1" t="s">
        <v>32</v>
      </c>
    </row>
    <row r="36" spans="2:18" ht="29" customHeight="1" x14ac:dyDescent="0.35">
      <c r="B36" s="2" t="s">
        <v>1402</v>
      </c>
      <c r="C36" s="2" t="s">
        <v>1403</v>
      </c>
      <c r="D36" s="2" t="s">
        <v>1395</v>
      </c>
      <c r="F36" s="1">
        <v>1</v>
      </c>
      <c r="G36" s="1">
        <v>1</v>
      </c>
      <c r="H36" s="1">
        <v>60</v>
      </c>
      <c r="I36" s="24">
        <f>I33-5000</f>
        <v>10000</v>
      </c>
      <c r="J36" s="24">
        <v>35000</v>
      </c>
      <c r="K36" s="2" t="s">
        <v>1341</v>
      </c>
      <c r="L36" s="1">
        <v>1</v>
      </c>
      <c r="M36" s="3">
        <f t="shared" ca="1" si="0"/>
        <v>46277.79534675926</v>
      </c>
      <c r="N36" s="2" t="s">
        <v>40</v>
      </c>
      <c r="O36" s="3">
        <f t="shared" ca="1" si="1"/>
        <v>46277.79534675926</v>
      </c>
      <c r="P36" s="2" t="str">
        <f t="shared" si="2"/>
        <v>sys_operator</v>
      </c>
      <c r="Q36" s="29" t="s">
        <v>39</v>
      </c>
      <c r="R36" s="1" t="s">
        <v>32</v>
      </c>
    </row>
    <row r="37" spans="2:18" ht="29" customHeight="1" x14ac:dyDescent="0.35">
      <c r="B37" s="2" t="s">
        <v>1404</v>
      </c>
      <c r="C37" s="2" t="s">
        <v>1405</v>
      </c>
      <c r="D37" s="2" t="s">
        <v>1395</v>
      </c>
      <c r="F37" s="1">
        <v>1</v>
      </c>
      <c r="G37" s="1">
        <v>1</v>
      </c>
      <c r="H37" s="1">
        <v>120</v>
      </c>
      <c r="I37" s="24">
        <f>I34-5000</f>
        <v>12500</v>
      </c>
      <c r="J37" s="24">
        <v>45000</v>
      </c>
      <c r="K37" s="2" t="s">
        <v>1341</v>
      </c>
      <c r="L37" s="1">
        <v>1</v>
      </c>
      <c r="M37" s="3">
        <f t="shared" ca="1" si="0"/>
        <v>46277.79534675926</v>
      </c>
      <c r="N37" s="2" t="s">
        <v>40</v>
      </c>
      <c r="O37" s="3">
        <f t="shared" ca="1" si="1"/>
        <v>46277.79534675926</v>
      </c>
      <c r="P37" s="2" t="str">
        <f t="shared" si="2"/>
        <v>sys_operator</v>
      </c>
      <c r="Q37" s="29" t="s">
        <v>39</v>
      </c>
      <c r="R37" s="1" t="s">
        <v>32</v>
      </c>
    </row>
  </sheetData>
  <phoneticPr fontId="2"/>
  <conditionalFormatting sqref="B7:P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zoomScale="85" zoomScaleNormal="85" workbookViewId="0">
      <pane xSplit="3" ySplit="7" topLeftCell="D8" activePane="bottomRight" state="frozenSplit"/>
      <selection activeCell="E17" sqref="E17"/>
      <selection pane="topRight"/>
      <selection pane="bottomLeft"/>
      <selection pane="bottomRight" activeCell="E17" sqref="E17"/>
    </sheetView>
  </sheetViews>
  <sheetFormatPr defaultColWidth="9.1796875" defaultRowHeight="14.5" x14ac:dyDescent="0.35"/>
  <cols>
    <col min="1" max="1" width="18.81640625" style="1" customWidth="1"/>
    <col min="2" max="2" width="24.81640625" style="2" customWidth="1"/>
    <col min="3" max="3" width="18.81640625" style="2" customWidth="1"/>
    <col min="4" max="5" width="50.81640625" style="2" customWidth="1"/>
    <col min="6" max="6" width="22.81640625" style="3" customWidth="1"/>
    <col min="7" max="7" width="30.81640625" style="2" customWidth="1"/>
    <col min="8" max="8" width="22.81640625" style="3" customWidth="1"/>
    <col min="9" max="9" width="30.81640625" style="2" customWidth="1"/>
    <col min="10" max="10" width="10.81640625" style="1" customWidth="1"/>
    <col min="11" max="11" width="48.81640625" style="1" customWidth="1"/>
    <col min="12" max="12" width="9.1796875" style="1" customWidth="1"/>
    <col min="13" max="16384" width="9.1796875" style="1"/>
  </cols>
  <sheetData>
    <row r="1" spans="1:11" s="4" customFormat="1" x14ac:dyDescent="0.35">
      <c r="A1" s="5" t="s">
        <v>0</v>
      </c>
      <c r="B1" s="6" t="s">
        <v>1406</v>
      </c>
      <c r="C1" s="7" t="s">
        <v>2</v>
      </c>
      <c r="D1" s="6" t="s">
        <v>1407</v>
      </c>
      <c r="E1" s="7" t="s">
        <v>4</v>
      </c>
      <c r="F1" s="32" t="s">
        <v>5</v>
      </c>
      <c r="G1" s="9"/>
      <c r="H1" s="8"/>
      <c r="I1" s="9"/>
    </row>
    <row r="2" spans="1:11" s="4" customFormat="1" x14ac:dyDescent="0.35">
      <c r="A2" s="5" t="s">
        <v>6</v>
      </c>
      <c r="B2" s="31"/>
      <c r="C2" s="9"/>
      <c r="D2" s="9"/>
      <c r="E2" s="9"/>
      <c r="F2" s="8"/>
      <c r="G2" s="9"/>
      <c r="H2" s="8"/>
      <c r="I2" s="9"/>
    </row>
    <row r="3" spans="1:11" s="4" customFormat="1" x14ac:dyDescent="0.35">
      <c r="A3" s="10" t="s">
        <v>7</v>
      </c>
      <c r="B3" s="11" t="s">
        <v>1408</v>
      </c>
      <c r="C3" s="11" t="s">
        <v>1409</v>
      </c>
      <c r="D3" s="12" t="s">
        <v>1410</v>
      </c>
      <c r="E3" s="12" t="s">
        <v>1411</v>
      </c>
      <c r="F3" s="13" t="s">
        <v>11</v>
      </c>
      <c r="G3" s="12" t="s">
        <v>12</v>
      </c>
      <c r="H3" s="13" t="s">
        <v>13</v>
      </c>
      <c r="I3" s="12" t="s">
        <v>14</v>
      </c>
      <c r="J3" s="14" t="s">
        <v>15</v>
      </c>
      <c r="K3" s="14" t="s">
        <v>16</v>
      </c>
    </row>
    <row r="4" spans="1:11" s="4" customFormat="1" x14ac:dyDescent="0.35">
      <c r="A4" s="10" t="s">
        <v>17</v>
      </c>
      <c r="B4" s="11" t="s">
        <v>1412</v>
      </c>
      <c r="C4" s="11" t="s">
        <v>1413</v>
      </c>
      <c r="D4" s="12" t="s">
        <v>1414</v>
      </c>
      <c r="E4" s="12" t="s">
        <v>1415</v>
      </c>
      <c r="F4" s="15" t="s">
        <v>21</v>
      </c>
      <c r="G4" s="12" t="s">
        <v>22</v>
      </c>
      <c r="H4" s="15" t="s">
        <v>23</v>
      </c>
      <c r="I4" s="12" t="s">
        <v>24</v>
      </c>
      <c r="J4" s="16"/>
      <c r="K4" s="16"/>
    </row>
    <row r="5" spans="1:11" s="4" customFormat="1" x14ac:dyDescent="0.35">
      <c r="A5" s="10" t="s">
        <v>25</v>
      </c>
      <c r="B5" s="11" t="s">
        <v>27</v>
      </c>
      <c r="C5" s="11" t="s">
        <v>27</v>
      </c>
      <c r="D5" s="12" t="s">
        <v>642</v>
      </c>
      <c r="E5" s="12" t="s">
        <v>1416</v>
      </c>
      <c r="F5" s="13" t="s">
        <v>28</v>
      </c>
      <c r="G5" s="12" t="s">
        <v>29</v>
      </c>
      <c r="H5" s="13" t="s">
        <v>28</v>
      </c>
      <c r="I5" s="12" t="s">
        <v>29</v>
      </c>
      <c r="J5" s="16"/>
      <c r="K5" s="16"/>
    </row>
    <row r="6" spans="1:11" s="4" customFormat="1" x14ac:dyDescent="0.35">
      <c r="A6" s="5" t="s">
        <v>30</v>
      </c>
      <c r="B6" s="11" t="s">
        <v>31</v>
      </c>
      <c r="C6" s="11" t="s">
        <v>31</v>
      </c>
      <c r="D6" s="12" t="s">
        <v>32</v>
      </c>
      <c r="E6" s="12" t="s">
        <v>33</v>
      </c>
      <c r="F6" s="13" t="s">
        <v>34</v>
      </c>
      <c r="G6" s="12" t="s">
        <v>32</v>
      </c>
      <c r="H6" s="13" t="s">
        <v>34</v>
      </c>
      <c r="I6" s="12" t="s">
        <v>32</v>
      </c>
      <c r="J6" s="16"/>
      <c r="K6" s="16"/>
    </row>
    <row r="7" spans="1:11" x14ac:dyDescent="0.35">
      <c r="A7" s="17" t="s">
        <v>35</v>
      </c>
      <c r="B7" s="18" t="s">
        <v>36</v>
      </c>
      <c r="C7" s="18" t="s">
        <v>36</v>
      </c>
      <c r="D7" s="19" t="s">
        <v>36</v>
      </c>
      <c r="E7" s="19" t="s">
        <v>36</v>
      </c>
      <c r="F7" s="20" t="s">
        <v>36</v>
      </c>
      <c r="G7" s="19" t="s">
        <v>36</v>
      </c>
      <c r="H7" s="20" t="s">
        <v>36</v>
      </c>
      <c r="I7" s="19" t="s">
        <v>36</v>
      </c>
      <c r="J7" s="21"/>
      <c r="K7" s="21"/>
    </row>
    <row r="8" spans="1:11" x14ac:dyDescent="0.35">
      <c r="B8" s="2" t="s">
        <v>1417</v>
      </c>
      <c r="C8" s="2" t="s">
        <v>1339</v>
      </c>
      <c r="D8" s="2" t="s">
        <v>1419</v>
      </c>
      <c r="E8" s="2" t="s">
        <v>1420</v>
      </c>
      <c r="F8" s="3">
        <f t="shared" ref="F8:F29" ca="1" si="0">NOW()</f>
        <v>46277.79534675926</v>
      </c>
      <c r="G8" s="2" t="s">
        <v>1418</v>
      </c>
      <c r="H8" s="3">
        <f t="shared" ref="H8:H29" ca="1" si="1">F8</f>
        <v>46277.79534675926</v>
      </c>
      <c r="I8" s="2" t="str">
        <f t="shared" ref="I8:I29" si="2">G8</f>
        <v>sys_admin</v>
      </c>
      <c r="J8" s="29" t="s">
        <v>39</v>
      </c>
      <c r="K8" s="1" t="s">
        <v>32</v>
      </c>
    </row>
    <row r="9" spans="1:11" ht="18" customHeight="1" x14ac:dyDescent="0.35">
      <c r="B9" s="2" t="s">
        <v>1417</v>
      </c>
      <c r="C9" s="2" t="s">
        <v>1344</v>
      </c>
      <c r="D9" s="2" t="s">
        <v>1421</v>
      </c>
      <c r="E9" s="2" t="s">
        <v>1422</v>
      </c>
      <c r="F9" s="3">
        <f t="shared" ca="1" si="0"/>
        <v>46277.79534675926</v>
      </c>
      <c r="G9" s="2" t="s">
        <v>1423</v>
      </c>
      <c r="H9" s="3">
        <f t="shared" ca="1" si="1"/>
        <v>46277.79534675926</v>
      </c>
      <c r="I9" s="2" t="str">
        <f t="shared" si="2"/>
        <v>sys_admin</v>
      </c>
      <c r="J9" s="29" t="s">
        <v>39</v>
      </c>
      <c r="K9" s="1" t="s">
        <v>32</v>
      </c>
    </row>
    <row r="10" spans="1:11" ht="26" customHeight="1" x14ac:dyDescent="0.35">
      <c r="B10" s="2" t="s">
        <v>1417</v>
      </c>
      <c r="C10" s="2" t="s">
        <v>1369</v>
      </c>
      <c r="D10" s="2" t="s">
        <v>1424</v>
      </c>
      <c r="E10" s="2" t="s">
        <v>1425</v>
      </c>
      <c r="F10" s="3">
        <f t="shared" ca="1" si="0"/>
        <v>46277.79534675926</v>
      </c>
      <c r="G10" s="2" t="s">
        <v>1423</v>
      </c>
      <c r="H10" s="3">
        <f t="shared" ca="1" si="1"/>
        <v>46277.79534675926</v>
      </c>
      <c r="I10" s="2" t="str">
        <f t="shared" si="2"/>
        <v>sys_admin</v>
      </c>
      <c r="J10" s="29" t="s">
        <v>39</v>
      </c>
      <c r="K10" s="1" t="s">
        <v>32</v>
      </c>
    </row>
    <row r="11" spans="1:11" ht="26" customHeight="1" x14ac:dyDescent="0.35">
      <c r="B11" s="2" t="s">
        <v>1417</v>
      </c>
      <c r="C11" s="2" t="s">
        <v>1395</v>
      </c>
      <c r="D11" s="2" t="s">
        <v>1427</v>
      </c>
      <c r="E11" s="2" t="s">
        <v>1428</v>
      </c>
      <c r="F11" s="3">
        <f t="shared" ca="1" si="0"/>
        <v>46277.79534675926</v>
      </c>
      <c r="G11" s="2" t="s">
        <v>1423</v>
      </c>
      <c r="H11" s="3">
        <f t="shared" ca="1" si="1"/>
        <v>46277.79534675926</v>
      </c>
      <c r="I11" s="2" t="str">
        <f t="shared" si="2"/>
        <v>sys_admin</v>
      </c>
      <c r="J11" s="29" t="s">
        <v>39</v>
      </c>
      <c r="K11" s="1" t="s">
        <v>32</v>
      </c>
    </row>
    <row r="12" spans="1:11" ht="27.5" customHeight="1" x14ac:dyDescent="0.35">
      <c r="B12" s="2" t="s">
        <v>1426</v>
      </c>
      <c r="C12" s="2" t="s">
        <v>1429</v>
      </c>
      <c r="D12" s="2" t="s">
        <v>1431</v>
      </c>
      <c r="E12" s="2" t="s">
        <v>1432</v>
      </c>
      <c r="F12" s="3">
        <f t="shared" ca="1" si="0"/>
        <v>46277.79534675926</v>
      </c>
      <c r="G12" s="2" t="s">
        <v>1423</v>
      </c>
      <c r="H12" s="3">
        <f t="shared" ca="1" si="1"/>
        <v>46277.79534675926</v>
      </c>
      <c r="I12" s="2" t="str">
        <f t="shared" si="2"/>
        <v>sys_admin</v>
      </c>
      <c r="J12" s="29" t="s">
        <v>39</v>
      </c>
      <c r="K12" s="1" t="s">
        <v>32</v>
      </c>
    </row>
    <row r="13" spans="1:11" ht="42" customHeight="1" x14ac:dyDescent="0.35">
      <c r="B13" s="2" t="s">
        <v>1317</v>
      </c>
      <c r="C13" s="2" t="s">
        <v>1430</v>
      </c>
      <c r="D13" s="2" t="s">
        <v>1434</v>
      </c>
      <c r="E13" s="2" t="s">
        <v>1435</v>
      </c>
      <c r="F13" s="3">
        <f t="shared" ca="1" si="0"/>
        <v>46277.79534675926</v>
      </c>
      <c r="G13" s="2" t="s">
        <v>1433</v>
      </c>
      <c r="H13" s="3">
        <f t="shared" ca="1" si="1"/>
        <v>46277.79534675926</v>
      </c>
      <c r="I13" s="2" t="str">
        <f t="shared" si="2"/>
        <v>sys_administrator</v>
      </c>
      <c r="J13" s="29" t="s">
        <v>39</v>
      </c>
      <c r="K13" s="1" t="s">
        <v>32</v>
      </c>
    </row>
    <row r="14" spans="1:11" ht="29" customHeight="1" x14ac:dyDescent="0.35">
      <c r="B14" s="2" t="s">
        <v>1318</v>
      </c>
      <c r="C14" s="2" t="s">
        <v>1429</v>
      </c>
      <c r="D14" s="2" t="s">
        <v>1436</v>
      </c>
      <c r="E14" s="2" t="s">
        <v>1437</v>
      </c>
      <c r="F14" s="3">
        <f t="shared" ca="1" si="0"/>
        <v>46277.79534675926</v>
      </c>
      <c r="G14" s="2" t="s">
        <v>1433</v>
      </c>
      <c r="H14" s="3">
        <f t="shared" ca="1" si="1"/>
        <v>46277.79534675926</v>
      </c>
      <c r="I14" s="2" t="str">
        <f t="shared" si="2"/>
        <v>sys_administrator</v>
      </c>
      <c r="J14" s="29" t="s">
        <v>39</v>
      </c>
      <c r="K14" s="1" t="s">
        <v>32</v>
      </c>
    </row>
    <row r="15" spans="1:11" ht="29" customHeight="1" x14ac:dyDescent="0.35">
      <c r="B15" s="2" t="s">
        <v>1318</v>
      </c>
      <c r="C15" s="2" t="s">
        <v>1430</v>
      </c>
      <c r="D15" s="2" t="s">
        <v>1438</v>
      </c>
      <c r="E15" s="2" t="s">
        <v>1439</v>
      </c>
      <c r="F15" s="3">
        <f t="shared" ca="1" si="0"/>
        <v>46277.79534675926</v>
      </c>
      <c r="G15" s="2" t="s">
        <v>1433</v>
      </c>
      <c r="H15" s="3">
        <f t="shared" ca="1" si="1"/>
        <v>46277.79534675926</v>
      </c>
      <c r="I15" s="2" t="str">
        <f t="shared" si="2"/>
        <v>sys_administrator</v>
      </c>
      <c r="J15" s="29" t="s">
        <v>39</v>
      </c>
      <c r="K15" s="1" t="s">
        <v>32</v>
      </c>
    </row>
    <row r="16" spans="1:11" x14ac:dyDescent="0.35">
      <c r="B16" s="2" t="s">
        <v>78</v>
      </c>
      <c r="C16" s="2" t="s">
        <v>1440</v>
      </c>
      <c r="D16" s="2" t="s">
        <v>1442</v>
      </c>
      <c r="E16" s="2" t="s">
        <v>1443</v>
      </c>
      <c r="F16" s="3">
        <f t="shared" ca="1" si="0"/>
        <v>46277.79534675926</v>
      </c>
      <c r="G16" s="2" t="s">
        <v>1433</v>
      </c>
      <c r="H16" s="3">
        <f t="shared" ca="1" si="1"/>
        <v>46277.79534675926</v>
      </c>
      <c r="I16" s="2" t="str">
        <f t="shared" si="2"/>
        <v>sys_administrator</v>
      </c>
      <c r="J16" s="29" t="s">
        <v>39</v>
      </c>
      <c r="K16" s="1" t="s">
        <v>32</v>
      </c>
    </row>
    <row r="17" spans="2:11" x14ac:dyDescent="0.35">
      <c r="B17" s="2" t="s">
        <v>78</v>
      </c>
      <c r="C17" s="2" t="s">
        <v>1441</v>
      </c>
      <c r="D17" s="2" t="s">
        <v>1445</v>
      </c>
      <c r="E17" s="2" t="s">
        <v>1444</v>
      </c>
      <c r="F17" s="3">
        <f t="shared" ca="1" si="0"/>
        <v>46277.79534675926</v>
      </c>
      <c r="G17" s="2" t="s">
        <v>1433</v>
      </c>
      <c r="H17" s="3">
        <f t="shared" ca="1" si="1"/>
        <v>46277.79534675926</v>
      </c>
      <c r="I17" s="2" t="str">
        <f t="shared" si="2"/>
        <v>sys_administrator</v>
      </c>
      <c r="J17" s="29" t="s">
        <v>39</v>
      </c>
      <c r="K17" s="1" t="s">
        <v>32</v>
      </c>
    </row>
    <row r="18" spans="2:11" x14ac:dyDescent="0.35">
      <c r="B18" s="30" t="s">
        <v>1446</v>
      </c>
      <c r="C18" s="2" t="s">
        <v>1429</v>
      </c>
      <c r="D18" s="2" t="s">
        <v>1447</v>
      </c>
      <c r="E18" s="2" t="s">
        <v>1448</v>
      </c>
      <c r="F18" s="3">
        <f t="shared" ca="1" si="0"/>
        <v>46277.79534675926</v>
      </c>
      <c r="G18" s="2" t="s">
        <v>1433</v>
      </c>
      <c r="H18" s="3">
        <f t="shared" ca="1" si="1"/>
        <v>46277.79534675926</v>
      </c>
      <c r="I18" s="2" t="str">
        <f t="shared" si="2"/>
        <v>sys_administrator</v>
      </c>
      <c r="J18" s="29" t="s">
        <v>39</v>
      </c>
      <c r="K18" s="1" t="s">
        <v>32</v>
      </c>
    </row>
    <row r="19" spans="2:11" ht="26" customHeight="1" x14ac:dyDescent="0.35">
      <c r="B19" s="30" t="s">
        <v>1446</v>
      </c>
      <c r="C19" s="2" t="s">
        <v>1449</v>
      </c>
      <c r="D19" s="2" t="s">
        <v>1450</v>
      </c>
      <c r="E19" s="2" t="s">
        <v>1452</v>
      </c>
      <c r="F19" s="3">
        <f t="shared" ca="1" si="0"/>
        <v>46277.79534675926</v>
      </c>
      <c r="G19" s="2" t="s">
        <v>1433</v>
      </c>
      <c r="H19" s="3">
        <f t="shared" ca="1" si="1"/>
        <v>46277.79534675926</v>
      </c>
      <c r="I19" s="2" t="str">
        <f t="shared" si="2"/>
        <v>sys_administrator</v>
      </c>
      <c r="J19" s="29" t="s">
        <v>39</v>
      </c>
      <c r="K19" s="1" t="s">
        <v>32</v>
      </c>
    </row>
    <row r="20" spans="2:11" x14ac:dyDescent="0.35">
      <c r="B20" s="30" t="s">
        <v>1451</v>
      </c>
      <c r="C20" s="2" t="s">
        <v>1430</v>
      </c>
      <c r="D20" s="2" t="s">
        <v>1454</v>
      </c>
      <c r="E20" s="2" t="s">
        <v>1455</v>
      </c>
      <c r="F20" s="3">
        <f t="shared" ca="1" si="0"/>
        <v>46277.79534675926</v>
      </c>
      <c r="G20" s="2" t="s">
        <v>1433</v>
      </c>
      <c r="H20" s="3">
        <f t="shared" ca="1" si="1"/>
        <v>46277.79534675926</v>
      </c>
      <c r="I20" s="2" t="str">
        <f t="shared" si="2"/>
        <v>sys_administrator</v>
      </c>
      <c r="J20" s="29" t="s">
        <v>39</v>
      </c>
      <c r="K20" s="1" t="s">
        <v>32</v>
      </c>
    </row>
    <row r="21" spans="2:11" x14ac:dyDescent="0.35">
      <c r="B21" s="30" t="s">
        <v>1451</v>
      </c>
      <c r="C21" s="2" t="s">
        <v>1429</v>
      </c>
      <c r="D21" s="2" t="s">
        <v>1456</v>
      </c>
      <c r="E21" s="2" t="s">
        <v>1453</v>
      </c>
      <c r="F21" s="3">
        <f t="shared" ca="1" si="0"/>
        <v>46277.79534675926</v>
      </c>
      <c r="G21" s="2" t="s">
        <v>1433</v>
      </c>
      <c r="H21" s="3">
        <f t="shared" ca="1" si="1"/>
        <v>46277.79534675926</v>
      </c>
      <c r="I21" s="2" t="str">
        <f t="shared" si="2"/>
        <v>sys_administrator</v>
      </c>
      <c r="J21" s="29" t="s">
        <v>39</v>
      </c>
      <c r="K21" s="1" t="s">
        <v>32</v>
      </c>
    </row>
    <row r="22" spans="2:11" x14ac:dyDescent="0.35">
      <c r="B22" s="30" t="s">
        <v>1451</v>
      </c>
      <c r="C22" s="2" t="s">
        <v>1449</v>
      </c>
      <c r="D22" s="2" t="s">
        <v>1458</v>
      </c>
      <c r="E22" s="2" t="s">
        <v>1457</v>
      </c>
      <c r="F22" s="3">
        <f t="shared" ca="1" si="0"/>
        <v>46277.79534675926</v>
      </c>
      <c r="G22" s="2" t="s">
        <v>1433</v>
      </c>
      <c r="H22" s="3">
        <f t="shared" ca="1" si="1"/>
        <v>46277.79534675926</v>
      </c>
      <c r="I22" s="2" t="str">
        <f t="shared" si="2"/>
        <v>sys_administrator</v>
      </c>
      <c r="J22" s="29" t="s">
        <v>39</v>
      </c>
      <c r="K22" s="1" t="s">
        <v>32</v>
      </c>
    </row>
    <row r="23" spans="2:11" ht="26" customHeight="1" x14ac:dyDescent="0.35">
      <c r="B23" s="30" t="s">
        <v>1451</v>
      </c>
      <c r="C23" s="2" t="s">
        <v>1460</v>
      </c>
      <c r="D23" s="2" t="s">
        <v>1461</v>
      </c>
      <c r="E23" s="2" t="s">
        <v>1462</v>
      </c>
      <c r="F23" s="3">
        <f t="shared" ca="1" si="0"/>
        <v>46277.79534675926</v>
      </c>
      <c r="G23" s="2" t="s">
        <v>1433</v>
      </c>
      <c r="H23" s="3">
        <f t="shared" ca="1" si="1"/>
        <v>46277.79534675926</v>
      </c>
      <c r="I23" s="2" t="str">
        <f t="shared" si="2"/>
        <v>sys_administrator</v>
      </c>
      <c r="J23" s="29" t="s">
        <v>39</v>
      </c>
      <c r="K23" s="1" t="s">
        <v>32</v>
      </c>
    </row>
    <row r="24" spans="2:11" x14ac:dyDescent="0.35">
      <c r="B24" s="30" t="s">
        <v>1451</v>
      </c>
      <c r="C24" s="2" t="s">
        <v>1463</v>
      </c>
      <c r="D24" s="2" t="s">
        <v>1464</v>
      </c>
      <c r="E24" s="2" t="s">
        <v>1459</v>
      </c>
      <c r="F24" s="3">
        <f t="shared" ca="1" si="0"/>
        <v>46277.79534675926</v>
      </c>
      <c r="G24" s="2" t="s">
        <v>1433</v>
      </c>
      <c r="H24" s="3">
        <f t="shared" ca="1" si="1"/>
        <v>46277.79534675926</v>
      </c>
      <c r="I24" s="2" t="str">
        <f t="shared" si="2"/>
        <v>sys_administrator</v>
      </c>
      <c r="J24" s="29" t="s">
        <v>39</v>
      </c>
      <c r="K24" s="1" t="s">
        <v>32</v>
      </c>
    </row>
    <row r="25" spans="2:11" x14ac:dyDescent="0.35">
      <c r="B25" s="30" t="s">
        <v>1451</v>
      </c>
      <c r="C25" s="2" t="s">
        <v>1466</v>
      </c>
      <c r="D25" s="2" t="s">
        <v>1465</v>
      </c>
      <c r="E25" s="2" t="s">
        <v>1467</v>
      </c>
      <c r="F25" s="3">
        <f t="shared" ca="1" si="0"/>
        <v>46277.79534675926</v>
      </c>
      <c r="G25" s="2" t="s">
        <v>1433</v>
      </c>
      <c r="H25" s="3">
        <f t="shared" ca="1" si="1"/>
        <v>46277.79534675926</v>
      </c>
      <c r="I25" s="2" t="str">
        <f t="shared" si="2"/>
        <v>sys_administrator</v>
      </c>
      <c r="J25" s="29" t="s">
        <v>39</v>
      </c>
      <c r="K25" s="1" t="s">
        <v>32</v>
      </c>
    </row>
    <row r="26" spans="2:11" x14ac:dyDescent="0.35">
      <c r="B26" s="30" t="s">
        <v>1451</v>
      </c>
      <c r="C26" s="2" t="s">
        <v>1469</v>
      </c>
      <c r="D26" s="2" t="s">
        <v>1470</v>
      </c>
      <c r="E26" s="2" t="s">
        <v>1468</v>
      </c>
      <c r="F26" s="3">
        <f t="shared" ca="1" si="0"/>
        <v>46277.79534675926</v>
      </c>
      <c r="G26" s="2" t="s">
        <v>1433</v>
      </c>
      <c r="H26" s="3">
        <f t="shared" ca="1" si="1"/>
        <v>46277.79534675926</v>
      </c>
      <c r="I26" s="2" t="str">
        <f t="shared" si="2"/>
        <v>sys_administrator</v>
      </c>
      <c r="J26" s="29" t="s">
        <v>39</v>
      </c>
      <c r="K26" s="1" t="s">
        <v>32</v>
      </c>
    </row>
    <row r="27" spans="2:11" x14ac:dyDescent="0.35">
      <c r="B27" s="30" t="s">
        <v>1451</v>
      </c>
      <c r="C27" s="2" t="s">
        <v>1472</v>
      </c>
      <c r="D27" s="2" t="s">
        <v>1471</v>
      </c>
      <c r="E27" s="2" t="s">
        <v>1473</v>
      </c>
      <c r="F27" s="3">
        <f t="shared" ca="1" si="0"/>
        <v>46277.79534675926</v>
      </c>
      <c r="G27" s="2" t="s">
        <v>1433</v>
      </c>
      <c r="H27" s="3">
        <f t="shared" ca="1" si="1"/>
        <v>46277.79534675926</v>
      </c>
      <c r="I27" s="2" t="str">
        <f t="shared" si="2"/>
        <v>sys_administrator</v>
      </c>
      <c r="J27" s="29" t="s">
        <v>39</v>
      </c>
      <c r="K27" s="1" t="s">
        <v>32</v>
      </c>
    </row>
    <row r="28" spans="2:11" ht="26" customHeight="1" x14ac:dyDescent="0.35">
      <c r="B28" s="30" t="s">
        <v>1451</v>
      </c>
      <c r="C28" s="2" t="s">
        <v>1475</v>
      </c>
      <c r="D28" s="2" t="s">
        <v>1476</v>
      </c>
      <c r="E28" s="2" t="s">
        <v>1474</v>
      </c>
      <c r="F28" s="3">
        <f t="shared" ca="1" si="0"/>
        <v>46277.79534675926</v>
      </c>
      <c r="G28" s="2" t="s">
        <v>1433</v>
      </c>
      <c r="H28" s="3">
        <f t="shared" ca="1" si="1"/>
        <v>46277.79534675926</v>
      </c>
      <c r="I28" s="2" t="str">
        <f t="shared" si="2"/>
        <v>sys_administrator</v>
      </c>
      <c r="J28" s="29" t="s">
        <v>39</v>
      </c>
      <c r="K28" s="1" t="s">
        <v>32</v>
      </c>
    </row>
    <row r="29" spans="2:11" x14ac:dyDescent="0.35">
      <c r="B29" s="30" t="s">
        <v>1451</v>
      </c>
      <c r="C29" s="2" t="s">
        <v>1478</v>
      </c>
      <c r="D29" s="2" t="s">
        <v>1477</v>
      </c>
      <c r="E29" s="2" t="s">
        <v>1479</v>
      </c>
      <c r="F29" s="3">
        <f t="shared" ca="1" si="0"/>
        <v>46277.79534675926</v>
      </c>
      <c r="G29" s="2" t="s">
        <v>1433</v>
      </c>
      <c r="H29" s="3">
        <f t="shared" ca="1" si="1"/>
        <v>46277.79534675926</v>
      </c>
      <c r="I29" s="2" t="str">
        <f t="shared" si="2"/>
        <v>sys_administrator</v>
      </c>
      <c r="J29" s="29" t="s">
        <v>39</v>
      </c>
      <c r="K29" s="1" t="s">
        <v>32</v>
      </c>
    </row>
  </sheetData>
  <phoneticPr fontId="2"/>
  <conditionalFormatting sqref="B7:I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departments</vt:lpstr>
      <vt:lpstr>employees</vt:lpstr>
      <vt:lpstr>clients</vt:lpstr>
      <vt:lpstr>services</vt:lpstr>
      <vt:lpstr>common_codes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2026-07-12T01:04:22Z</dcterms:created>
  <dcterms:modified xsi:type="dcterms:W3CDTF">2026-09-12T10:06:26Z</dcterms:modified>
</cp:coreProperties>
</file>