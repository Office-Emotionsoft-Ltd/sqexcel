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rc\content\docs\ja\images\large-scale\"/>
    </mc:Choice>
  </mc:AlternateContent>
  <xr:revisionPtr revIDLastSave="0" documentId="13_ncr:1_{88167516-4CE3-4D9E-827E-ED1FEE8F02E5}" xr6:coauthVersionLast="47" xr6:coauthVersionMax="47" xr10:uidLastSave="{00000000-0000-0000-0000-000000000000}"/>
  <bookViews>
    <workbookView xWindow="2660" yWindow="1360" windowWidth="20300" windowHeight="11920" xr2:uid="{00000000-000D-0000-FFFF-FFFF00000000}"/>
  </bookViews>
  <sheets>
    <sheet name="quotations" sheetId="1" r:id="rId1"/>
    <sheet name="quotation_details" sheetId="2" r:id="rId2"/>
    <sheet name="contracts" sheetId="3" r:id="rId3"/>
    <sheet name="contract_details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1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1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2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2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3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3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sharedStrings.xml><?xml version="1.0" encoding="utf-8"?>
<sst xmlns="http://schemas.openxmlformats.org/spreadsheetml/2006/main" count="398" uniqueCount="112">
  <si>
    <t>テーブル名</t>
  </si>
  <si>
    <t>sales.quotations</t>
  </si>
  <si>
    <t>論理名</t>
  </si>
  <si>
    <t>見積ヘッダー</t>
  </si>
  <si>
    <t>処理結果</t>
  </si>
  <si>
    <t/>
  </si>
  <si>
    <t>項目名</t>
  </si>
  <si>
    <t>項目論理名</t>
  </si>
  <si>
    <t>データ型</t>
  </si>
  <si>
    <t>項目属性</t>
  </si>
  <si>
    <t>入力対象</t>
  </si>
  <si>
    <t>quotation_id</t>
  </si>
  <si>
    <t>見積ID</t>
  </si>
  <si>
    <t>Char(12)</t>
  </si>
  <si>
    <t>K</t>
  </si>
  <si>
    <t>*</t>
  </si>
  <si>
    <t>client_id</t>
  </si>
  <si>
    <t>取引先ID（広告主）</t>
  </si>
  <si>
    <t>Char(8)</t>
  </si>
  <si>
    <t>site_operator_id</t>
  </si>
  <si>
    <t>サイト運営会社ID（広告表示先サイト運営会社）</t>
  </si>
  <si>
    <t>display_start_date</t>
  </si>
  <si>
    <t>広告表示開始日</t>
  </si>
  <si>
    <t>Date</t>
  </si>
  <si>
    <t>display_end_date</t>
  </si>
  <si>
    <t>広告表示終了日</t>
  </si>
  <si>
    <t>payment_terms</t>
  </si>
  <si>
    <t>決済条件</t>
  </si>
  <si>
    <t>VarChar(100)</t>
  </si>
  <si>
    <t>N</t>
  </si>
  <si>
    <t>billing_type</t>
  </si>
  <si>
    <t>請求種別（1=一括請求,2=月締め請求）</t>
  </si>
  <si>
    <t>Char(1)</t>
  </si>
  <si>
    <t>D</t>
  </si>
  <si>
    <t>currency_code</t>
  </si>
  <si>
    <t>通貨コード（ISO 4217）</t>
  </si>
  <si>
    <t>Char(3)</t>
  </si>
  <si>
    <t>total_amount_foreign</t>
  </si>
  <si>
    <t>外貨建て合計金額（外貨建て契約の場合）</t>
  </si>
  <si>
    <t>Decimal(18,2)</t>
  </si>
  <si>
    <t>total_amount_jpy</t>
  </si>
  <si>
    <t>円建て合計金額（円建て契約の場合）</t>
  </si>
  <si>
    <t>total_amount_jpy_est</t>
  </si>
  <si>
    <t>予想円換算合計金額（外貨建て契約の場合）</t>
  </si>
  <si>
    <t>employee_id</t>
  </si>
  <si>
    <t>担当者ID</t>
  </si>
  <si>
    <t>status</t>
  </si>
  <si>
    <t>見積状態（1=作成中,2=提出済,3=契約確定,9=失注）</t>
  </si>
  <si>
    <t>notes</t>
  </si>
  <si>
    <t>備考</t>
  </si>
  <si>
    <t>NVarChar(500)</t>
  </si>
  <si>
    <t>created_at</t>
  </si>
  <si>
    <t>作成日時</t>
  </si>
  <si>
    <t>DateTime</t>
  </si>
  <si>
    <t>created_by</t>
  </si>
  <si>
    <t>作成者ID</t>
  </si>
  <si>
    <t>VarChar(20)</t>
  </si>
  <si>
    <t>updated_at</t>
  </si>
  <si>
    <t>更新日時</t>
  </si>
  <si>
    <t>updated_by</t>
  </si>
  <si>
    <t>更新者ID</t>
  </si>
  <si>
    <t>処理成否</t>
  </si>
  <si>
    <t>処理失敗時メッセージ</t>
  </si>
  <si>
    <t>sales.quotation_details</t>
  </si>
  <si>
    <t>見積明細</t>
  </si>
  <si>
    <t>detail_id</t>
  </si>
  <si>
    <t>明細ID</t>
  </si>
  <si>
    <t>Char(15)</t>
  </si>
  <si>
    <t>line_no</t>
  </si>
  <si>
    <t>明細行番号</t>
  </si>
  <si>
    <t>Int</t>
  </si>
  <si>
    <t>site_url</t>
  </si>
  <si>
    <t>広告表示先URL</t>
  </si>
  <si>
    <t>VarChar(500)</t>
  </si>
  <si>
    <t>service_id</t>
  </si>
  <si>
    <t>サービスID</t>
  </si>
  <si>
    <t>display_weeks</t>
  </si>
  <si>
    <t>表示週数（週単位の場合）</t>
  </si>
  <si>
    <t>display_months</t>
  </si>
  <si>
    <t>表示月数（月単位の場合）</t>
  </si>
  <si>
    <t>unit_price_foreign</t>
  </si>
  <si>
    <t>外貨建て単価（外貨建て契約の場合）</t>
  </si>
  <si>
    <t>Decimal(15,2)</t>
  </si>
  <si>
    <t>amount_foreign</t>
  </si>
  <si>
    <t>外貨建て金額（外貨建て契約の場合）</t>
  </si>
  <si>
    <t>amount_jpy</t>
  </si>
  <si>
    <t>円建て金額（円建て契約の場合）</t>
  </si>
  <si>
    <t>amount_jpy_est</t>
  </si>
  <si>
    <t>予想円換算金額（外貨建て契約の場合）</t>
  </si>
  <si>
    <t>sales.contracts</t>
  </si>
  <si>
    <t>契約ヘッダー</t>
  </si>
  <si>
    <t>contract_id</t>
  </si>
  <si>
    <t>契約ID</t>
  </si>
  <si>
    <t>見積ID（契約確定元見積）</t>
  </si>
  <si>
    <t>取引先ID</t>
  </si>
  <si>
    <t>サイト運営会社ID</t>
  </si>
  <si>
    <t>外貨建て合計金額</t>
  </si>
  <si>
    <t>円建て合計金額</t>
  </si>
  <si>
    <t>契約状態（1=有効,2=完了,9=解約）</t>
  </si>
  <si>
    <t>sales.contract_details</t>
  </si>
  <si>
    <t>契約明細</t>
  </si>
  <si>
    <t>quotation_detail_id</t>
  </si>
  <si>
    <t>対応見積明細ID</t>
  </si>
  <si>
    <t>表示週数</t>
  </si>
  <si>
    <t>表示月数</t>
  </si>
  <si>
    <t>外貨建て単価</t>
  </si>
  <si>
    <t>外貨建て金額</t>
  </si>
  <si>
    <t>円建て金額</t>
  </si>
  <si>
    <t>C</t>
    <phoneticPr fontId="2"/>
  </si>
  <si>
    <t>202607100020, 202607100021, 202607100022</t>
    <phoneticPr fontId="2"/>
  </si>
  <si>
    <t>"202607100020","202607100021","202607100022"</t>
  </si>
  <si>
    <t>"202607100020","202607100021","202607100022"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</si>
</sst>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/mm/dd\ hh:mm:ss"/>
  </numFmts>
  <fonts count="3" x14ac:knownFonts="1">
    <font>
      <sz val="11"/>
      <color rgb="FF000000"/>
      <name val="Calibri"/>
      <family val="2"/>
    </font>
    <font>
      <sz val="9"/>
      <color rgb="FF000000"/>
      <name val="Tahoma"/>
      <family val="2"/>
    </font>
    <font>
      <sz val="6"/>
      <name val="ＭＳ 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6">
    <xf numFmtId="0" fontId="0" fillId="0" borderId="0" xfId="0"/>
    <xf numFmtId="0" fontId="0" fillId="0" borderId="0" xfId="0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176" fontId="0" fillId="0" borderId="0" xfId="0" applyNumberFormat="1" applyAlignment="1" applyProtection="1">
      <alignment vertical="top"/>
      <protection locked="0"/>
    </xf>
    <xf numFmtId="2" fontId="0" fillId="0" borderId="0" xfId="0" applyNumberFormat="1" applyAlignment="1" applyProtection="1">
      <alignment vertical="top"/>
      <protection locked="0"/>
    </xf>
    <xf numFmtId="177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3" borderId="0" xfId="0" applyNumberFormat="1" applyFill="1" applyAlignment="1">
      <alignment vertical="top"/>
    </xf>
    <xf numFmtId="49" fontId="0" fillId="2" borderId="0" xfId="0" applyNumberFormat="1" applyFill="1" applyAlignment="1">
      <alignment vertical="top"/>
    </xf>
    <xf numFmtId="176" fontId="0" fillId="0" borderId="0" xfId="0" applyNumberFormat="1" applyAlignment="1">
      <alignment vertical="top"/>
    </xf>
    <xf numFmtId="49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177" fontId="0" fillId="0" borderId="0" xfId="0" applyNumberFormat="1" applyAlignment="1">
      <alignment vertical="top"/>
    </xf>
    <xf numFmtId="49" fontId="0" fillId="0" borderId="0" xfId="0" applyNumberFormat="1" applyAlignment="1" applyProtection="1">
      <alignment vertical="top"/>
      <protection locked="0"/>
    </xf>
    <xf numFmtId="49" fontId="0" fillId="2" borderId="0" xfId="0" applyNumberFormat="1" applyFill="1" applyAlignment="1">
      <alignment vertical="top" wrapText="1"/>
    </xf>
    <xf numFmtId="49" fontId="0" fillId="4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176" fontId="0" fillId="5" borderId="0" xfId="0" applyNumberFormat="1" applyFill="1" applyAlignment="1">
      <alignment vertical="top" wrapText="1"/>
    </xf>
    <xf numFmtId="2" fontId="0" fillId="5" borderId="0" xfId="0" applyNumberFormat="1" applyFill="1" applyAlignment="1">
      <alignment vertical="top" wrapText="1"/>
    </xf>
    <xf numFmtId="177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176" fontId="0" fillId="5" borderId="0" xfId="0" applyNumberFormat="1" applyFill="1" applyAlignment="1">
      <alignment vertical="top"/>
    </xf>
    <xf numFmtId="2" fontId="0" fillId="5" borderId="0" xfId="0" applyNumberFormat="1" applyFill="1" applyAlignment="1">
      <alignment vertical="top"/>
    </xf>
    <xf numFmtId="177" fontId="0" fillId="5" borderId="0" xfId="0" applyNumberFormat="1" applyFill="1" applyAlignment="1">
      <alignment vertical="top"/>
    </xf>
    <xf numFmtId="0" fontId="0" fillId="5" borderId="0" xfId="0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49" fontId="0" fillId="4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2" fontId="0" fillId="5" borderId="0" xfId="0" applyNumberFormat="1" applyFill="1" applyAlignment="1" applyProtection="1">
      <alignment vertical="top"/>
      <protection locked="0"/>
    </xf>
    <xf numFmtId="177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0" fontId="0" fillId="3" borderId="0" xfId="0" applyFill="1" applyAlignment="1">
      <alignment vertical="top"/>
    </xf>
    <xf numFmtId="0" fontId="0" fillId="5" borderId="0" xfId="0" applyFill="1" applyAlignment="1">
      <alignment vertical="top" wrapText="1"/>
    </xf>
    <xf numFmtId="0" fontId="0" fillId="5" borderId="0" xfId="0" applyFill="1" applyAlignment="1" applyProtection="1">
      <alignment vertical="top"/>
      <protection locked="0"/>
    </xf>
  </cellXfs>
  <cellStyles count="1">
    <cellStyle name="標準" xfId="0" builtinId="0"/>
  </cellStyles>
  <dxfs count="16"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"/>
  <sheetViews>
    <sheetView tabSelected="1" workbookViewId="0">
      <selection activeCell="B8" sqref="B8"/>
    </sheetView>
  </sheetViews>
  <sheetFormatPr defaultColWidth="9.1796875" defaultRowHeight="14.5" x14ac:dyDescent="0.35"/>
  <cols>
    <col min="1" max="1" width="18.7265625" style="1" customWidth="1"/>
    <col min="2" max="2" width="23.1796875" style="2" customWidth="1"/>
    <col min="3" max="3" width="18.7265625" style="2" customWidth="1"/>
    <col min="4" max="4" width="16.7265625" style="2" customWidth="1"/>
    <col min="5" max="6" width="14.7265625" style="3" customWidth="1"/>
    <col min="7" max="7" width="30.54296875" style="2" customWidth="1"/>
    <col min="8" max="9" width="16.7265625" style="2" customWidth="1"/>
    <col min="10" max="12" width="28.7265625" style="4" customWidth="1"/>
    <col min="13" max="14" width="16.7265625" style="2" customWidth="1"/>
    <col min="15" max="15" width="50.7265625" style="2" customWidth="1"/>
    <col min="16" max="16" width="22.7265625" style="5" customWidth="1"/>
    <col min="17" max="17" width="30.7265625" style="2" customWidth="1"/>
    <col min="18" max="18" width="22.7265625" style="5" customWidth="1"/>
    <col min="19" max="19" width="30.7265625" style="2" customWidth="1"/>
    <col min="20" max="20" width="10.7265625" style="1" customWidth="1"/>
    <col min="21" max="21" width="48.7265625" style="1" customWidth="1"/>
    <col min="22" max="22" width="9.1796875" style="1" customWidth="1"/>
    <col min="23" max="16384" width="9.1796875" style="1"/>
  </cols>
  <sheetData>
    <row r="1" spans="1:21" s="6" customFormat="1" x14ac:dyDescent="0.35">
      <c r="A1" s="7" t="s">
        <v>0</v>
      </c>
      <c r="B1" s="8" t="s">
        <v>1</v>
      </c>
      <c r="C1" s="9" t="s">
        <v>2</v>
      </c>
      <c r="D1" s="8" t="s">
        <v>3</v>
      </c>
      <c r="E1" s="10"/>
      <c r="F1" s="10"/>
      <c r="G1" s="11"/>
      <c r="H1" s="11"/>
      <c r="I1" s="11"/>
      <c r="J1" s="12"/>
      <c r="K1" s="12"/>
      <c r="L1" s="12"/>
      <c r="M1" s="11"/>
      <c r="N1" s="11"/>
      <c r="O1" s="11"/>
      <c r="P1" s="13"/>
      <c r="Q1" s="11"/>
      <c r="R1" s="13"/>
      <c r="S1" s="11"/>
    </row>
    <row r="2" spans="1:21" s="6" customFormat="1" x14ac:dyDescent="0.35">
      <c r="A2" s="7" t="s">
        <v>4</v>
      </c>
      <c r="B2" s="14" t="s">
        <v>5</v>
      </c>
      <c r="C2" s="11"/>
      <c r="D2" s="11"/>
      <c r="E2" s="10"/>
      <c r="F2" s="10"/>
      <c r="G2" s="11"/>
      <c r="H2" s="11"/>
      <c r="I2" s="11"/>
      <c r="J2" s="12"/>
      <c r="K2" s="12"/>
      <c r="L2" s="12"/>
      <c r="M2" s="11"/>
      <c r="N2" s="11"/>
      <c r="O2" s="11"/>
      <c r="P2" s="13"/>
      <c r="Q2" s="11"/>
      <c r="R2" s="13"/>
      <c r="S2" s="11"/>
    </row>
    <row r="3" spans="1:21" s="6" customFormat="1" ht="29" x14ac:dyDescent="0.35">
      <c r="A3" s="15" t="s">
        <v>6</v>
      </c>
      <c r="B3" s="16" t="s">
        <v>11</v>
      </c>
      <c r="C3" s="17" t="s">
        <v>16</v>
      </c>
      <c r="D3" s="17" t="s">
        <v>19</v>
      </c>
      <c r="E3" s="18" t="s">
        <v>21</v>
      </c>
      <c r="F3" s="18" t="s">
        <v>24</v>
      </c>
      <c r="G3" s="17" t="s">
        <v>26</v>
      </c>
      <c r="H3" s="17" t="s">
        <v>30</v>
      </c>
      <c r="I3" s="17" t="s">
        <v>34</v>
      </c>
      <c r="J3" s="19" t="s">
        <v>37</v>
      </c>
      <c r="K3" s="19" t="s">
        <v>40</v>
      </c>
      <c r="L3" s="19" t="s">
        <v>42</v>
      </c>
      <c r="M3" s="17" t="s">
        <v>44</v>
      </c>
      <c r="N3" s="17" t="s">
        <v>46</v>
      </c>
      <c r="O3" s="17" t="s">
        <v>48</v>
      </c>
      <c r="P3" s="20" t="s">
        <v>51</v>
      </c>
      <c r="Q3" s="17" t="s">
        <v>54</v>
      </c>
      <c r="R3" s="20" t="s">
        <v>57</v>
      </c>
      <c r="S3" s="17" t="s">
        <v>59</v>
      </c>
      <c r="T3" s="21" t="s">
        <v>61</v>
      </c>
      <c r="U3" s="21" t="s">
        <v>62</v>
      </c>
    </row>
    <row r="4" spans="1:21" s="6" customFormat="1" x14ac:dyDescent="0.35">
      <c r="A4" s="15" t="s">
        <v>7</v>
      </c>
      <c r="B4" s="16" t="s">
        <v>12</v>
      </c>
      <c r="C4" s="17" t="s">
        <v>17</v>
      </c>
      <c r="D4" s="17" t="s">
        <v>20</v>
      </c>
      <c r="E4" s="22" t="s">
        <v>22</v>
      </c>
      <c r="F4" s="22" t="s">
        <v>25</v>
      </c>
      <c r="G4" s="17" t="s">
        <v>27</v>
      </c>
      <c r="H4" s="17" t="s">
        <v>31</v>
      </c>
      <c r="I4" s="17" t="s">
        <v>35</v>
      </c>
      <c r="J4" s="23" t="s">
        <v>38</v>
      </c>
      <c r="K4" s="23" t="s">
        <v>41</v>
      </c>
      <c r="L4" s="23" t="s">
        <v>43</v>
      </c>
      <c r="M4" s="17" t="s">
        <v>45</v>
      </c>
      <c r="N4" s="17" t="s">
        <v>47</v>
      </c>
      <c r="O4" s="17" t="s">
        <v>49</v>
      </c>
      <c r="P4" s="24" t="s">
        <v>52</v>
      </c>
      <c r="Q4" s="17" t="s">
        <v>55</v>
      </c>
      <c r="R4" s="24" t="s">
        <v>58</v>
      </c>
      <c r="S4" s="17" t="s">
        <v>60</v>
      </c>
      <c r="T4" s="25"/>
      <c r="U4" s="25"/>
    </row>
    <row r="5" spans="1:21" s="6" customFormat="1" x14ac:dyDescent="0.35">
      <c r="A5" s="15" t="s">
        <v>8</v>
      </c>
      <c r="B5" s="16" t="s">
        <v>13</v>
      </c>
      <c r="C5" s="17" t="s">
        <v>18</v>
      </c>
      <c r="D5" s="17" t="s">
        <v>18</v>
      </c>
      <c r="E5" s="18" t="s">
        <v>23</v>
      </c>
      <c r="F5" s="18" t="s">
        <v>23</v>
      </c>
      <c r="G5" s="17" t="s">
        <v>28</v>
      </c>
      <c r="H5" s="17" t="s">
        <v>32</v>
      </c>
      <c r="I5" s="17" t="s">
        <v>36</v>
      </c>
      <c r="J5" s="19" t="s">
        <v>39</v>
      </c>
      <c r="K5" s="19" t="s">
        <v>39</v>
      </c>
      <c r="L5" s="19" t="s">
        <v>39</v>
      </c>
      <c r="M5" s="17" t="s">
        <v>18</v>
      </c>
      <c r="N5" s="17" t="s">
        <v>32</v>
      </c>
      <c r="O5" s="17" t="s">
        <v>50</v>
      </c>
      <c r="P5" s="20" t="s">
        <v>53</v>
      </c>
      <c r="Q5" s="17" t="s">
        <v>56</v>
      </c>
      <c r="R5" s="20" t="s">
        <v>53</v>
      </c>
      <c r="S5" s="17" t="s">
        <v>56</v>
      </c>
      <c r="T5" s="25"/>
      <c r="U5" s="25"/>
    </row>
    <row r="6" spans="1:21" s="6" customFormat="1" x14ac:dyDescent="0.35">
      <c r="A6" s="7" t="s">
        <v>9</v>
      </c>
      <c r="B6" s="16" t="s">
        <v>14</v>
      </c>
      <c r="C6" s="17" t="s">
        <v>5</v>
      </c>
      <c r="D6" s="17" t="s">
        <v>5</v>
      </c>
      <c r="E6" s="18" t="s">
        <v>5</v>
      </c>
      <c r="F6" s="18" t="s">
        <v>5</v>
      </c>
      <c r="G6" s="17" t="s">
        <v>29</v>
      </c>
      <c r="H6" s="17" t="s">
        <v>33</v>
      </c>
      <c r="I6" s="17" t="s">
        <v>33</v>
      </c>
      <c r="J6" s="19" t="s">
        <v>29</v>
      </c>
      <c r="K6" s="19" t="s">
        <v>29</v>
      </c>
      <c r="L6" s="19" t="s">
        <v>29</v>
      </c>
      <c r="M6" s="17" t="s">
        <v>5</v>
      </c>
      <c r="N6" s="17" t="s">
        <v>33</v>
      </c>
      <c r="O6" s="17" t="s">
        <v>29</v>
      </c>
      <c r="P6" s="20" t="s">
        <v>33</v>
      </c>
      <c r="Q6" s="17" t="s">
        <v>5</v>
      </c>
      <c r="R6" s="20" t="s">
        <v>33</v>
      </c>
      <c r="S6" s="17" t="s">
        <v>5</v>
      </c>
      <c r="T6" s="25"/>
      <c r="U6" s="25"/>
    </row>
    <row r="7" spans="1:21" x14ac:dyDescent="0.35">
      <c r="A7" s="26" t="s">
        <v>10</v>
      </c>
      <c r="B7" s="27" t="s">
        <v>15</v>
      </c>
      <c r="C7" s="28" t="s">
        <v>15</v>
      </c>
      <c r="D7" s="28" t="s">
        <v>15</v>
      </c>
      <c r="E7" s="29" t="s">
        <v>15</v>
      </c>
      <c r="F7" s="29" t="s">
        <v>15</v>
      </c>
      <c r="G7" s="28" t="s">
        <v>15</v>
      </c>
      <c r="H7" s="28" t="s">
        <v>15</v>
      </c>
      <c r="I7" s="28" t="s">
        <v>15</v>
      </c>
      <c r="J7" s="30" t="s">
        <v>15</v>
      </c>
      <c r="K7" s="30" t="s">
        <v>15</v>
      </c>
      <c r="L7" s="30" t="s">
        <v>15</v>
      </c>
      <c r="M7" s="28" t="s">
        <v>15</v>
      </c>
      <c r="N7" s="28" t="s">
        <v>15</v>
      </c>
      <c r="O7" s="28" t="s">
        <v>15</v>
      </c>
      <c r="P7" s="31" t="s">
        <v>15</v>
      </c>
      <c r="Q7" s="28" t="s">
        <v>15</v>
      </c>
      <c r="R7" s="31" t="s">
        <v>15</v>
      </c>
      <c r="S7" s="28" t="s">
        <v>15</v>
      </c>
      <c r="T7" s="32"/>
      <c r="U7" s="32"/>
    </row>
    <row r="8" spans="1:21" ht="43.5" x14ac:dyDescent="0.35">
      <c r="A8" s="1" t="s">
        <v>108</v>
      </c>
      <c r="B8" s="2" t="s">
        <v>111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S7">
    <cfRule type="expression" dxfId="15" priority="1">
      <formula>AND(ISNUMBER(FIND("K",B6)),B7="*")</formula>
    </cfRule>
    <cfRule type="expression" dxfId="14" priority="2">
      <formula>AND(ISNUMBER(FIND("N",B6)),B7="*")</formula>
    </cfRule>
    <cfRule type="expression" dxfId="13" priority="3">
      <formula>B7="*"</formula>
    </cfRule>
    <cfRule type="expression" dxfId="12" priority="4">
      <formula>B7=""</formula>
    </cfRule>
  </conditionalFormatting>
  <dataValidations count="1">
    <dataValidation type="list" allowBlank="1" showInputMessage="1" showErrorMessage="1" sqref="B7:S7" xr:uid="{00000000-0002-0000-0000-000000000000}">
      <formula1>"*,"</formula1>
    </dataValidation>
  </dataValidations>
  <pageMargins left="0.75" right="0.75" top="0.75" bottom="0.5" header="0.5" footer="0.7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workbookViewId="0">
      <selection activeCell="C8" sqref="C8"/>
    </sheetView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14.7265625" style="1" customWidth="1"/>
    <col min="5" max="5" width="50.7265625" style="2" customWidth="1"/>
    <col min="6" max="6" width="16.7265625" style="2" customWidth="1"/>
    <col min="7" max="8" width="14.7265625" style="1" customWidth="1"/>
    <col min="9" max="12" width="28.7265625" style="4" customWidth="1"/>
    <col min="13" max="13" width="22.7265625" style="5" customWidth="1"/>
    <col min="14" max="14" width="30.7265625" style="2" customWidth="1"/>
    <col min="15" max="15" width="22.7265625" style="5" customWidth="1"/>
    <col min="16" max="16" width="30.7265625" style="2" customWidth="1"/>
    <col min="17" max="17" width="10.7265625" style="1" customWidth="1"/>
    <col min="18" max="18" width="48.7265625" style="1" customWidth="1"/>
    <col min="19" max="19" width="9.1796875" style="1" customWidth="1"/>
    <col min="20" max="16384" width="9.1796875" style="1"/>
  </cols>
  <sheetData>
    <row r="1" spans="1:18" s="6" customFormat="1" x14ac:dyDescent="0.35">
      <c r="A1" s="7" t="s">
        <v>0</v>
      </c>
      <c r="B1" s="8" t="s">
        <v>63</v>
      </c>
      <c r="C1" s="9" t="s">
        <v>2</v>
      </c>
      <c r="D1" s="33" t="s">
        <v>64</v>
      </c>
      <c r="E1" s="11"/>
      <c r="F1" s="11"/>
      <c r="I1" s="12"/>
      <c r="J1" s="12"/>
      <c r="K1" s="12"/>
      <c r="L1" s="12"/>
      <c r="M1" s="13"/>
      <c r="N1" s="11"/>
      <c r="O1" s="13"/>
      <c r="P1" s="11"/>
    </row>
    <row r="2" spans="1:18" s="6" customFormat="1" x14ac:dyDescent="0.35">
      <c r="A2" s="7" t="s">
        <v>4</v>
      </c>
      <c r="B2" s="14" t="s">
        <v>5</v>
      </c>
      <c r="C2" s="11"/>
      <c r="E2" s="11"/>
      <c r="F2" s="11"/>
      <c r="I2" s="12"/>
      <c r="J2" s="12"/>
      <c r="K2" s="12"/>
      <c r="L2" s="12"/>
      <c r="M2" s="13"/>
      <c r="N2" s="11"/>
      <c r="O2" s="13"/>
      <c r="P2" s="11"/>
    </row>
    <row r="3" spans="1:18" s="6" customFormat="1" x14ac:dyDescent="0.35">
      <c r="A3" s="15" t="s">
        <v>6</v>
      </c>
      <c r="B3" s="16" t="s">
        <v>65</v>
      </c>
      <c r="C3" s="17" t="s">
        <v>11</v>
      </c>
      <c r="D3" s="34" t="s">
        <v>68</v>
      </c>
      <c r="E3" s="17" t="s">
        <v>71</v>
      </c>
      <c r="F3" s="17" t="s">
        <v>74</v>
      </c>
      <c r="G3" s="34" t="s">
        <v>76</v>
      </c>
      <c r="H3" s="34" t="s">
        <v>78</v>
      </c>
      <c r="I3" s="19" t="s">
        <v>80</v>
      </c>
      <c r="J3" s="19" t="s">
        <v>83</v>
      </c>
      <c r="K3" s="19" t="s">
        <v>85</v>
      </c>
      <c r="L3" s="19" t="s">
        <v>87</v>
      </c>
      <c r="M3" s="20" t="s">
        <v>51</v>
      </c>
      <c r="N3" s="17" t="s">
        <v>54</v>
      </c>
      <c r="O3" s="20" t="s">
        <v>57</v>
      </c>
      <c r="P3" s="17" t="s">
        <v>59</v>
      </c>
      <c r="Q3" s="21" t="s">
        <v>61</v>
      </c>
      <c r="R3" s="21" t="s">
        <v>62</v>
      </c>
    </row>
    <row r="4" spans="1:18" s="6" customFormat="1" x14ac:dyDescent="0.35">
      <c r="A4" s="15" t="s">
        <v>7</v>
      </c>
      <c r="B4" s="16" t="s">
        <v>66</v>
      </c>
      <c r="C4" s="17" t="s">
        <v>12</v>
      </c>
      <c r="D4" s="25" t="s">
        <v>69</v>
      </c>
      <c r="E4" s="17" t="s">
        <v>72</v>
      </c>
      <c r="F4" s="17" t="s">
        <v>75</v>
      </c>
      <c r="G4" s="25" t="s">
        <v>77</v>
      </c>
      <c r="H4" s="25" t="s">
        <v>79</v>
      </c>
      <c r="I4" s="23" t="s">
        <v>81</v>
      </c>
      <c r="J4" s="23" t="s">
        <v>84</v>
      </c>
      <c r="K4" s="23" t="s">
        <v>86</v>
      </c>
      <c r="L4" s="23" t="s">
        <v>88</v>
      </c>
      <c r="M4" s="24" t="s">
        <v>52</v>
      </c>
      <c r="N4" s="17" t="s">
        <v>55</v>
      </c>
      <c r="O4" s="24" t="s">
        <v>58</v>
      </c>
      <c r="P4" s="17" t="s">
        <v>60</v>
      </c>
      <c r="Q4" s="25"/>
      <c r="R4" s="25"/>
    </row>
    <row r="5" spans="1:18" s="6" customFormat="1" x14ac:dyDescent="0.35">
      <c r="A5" s="15" t="s">
        <v>8</v>
      </c>
      <c r="B5" s="16" t="s">
        <v>67</v>
      </c>
      <c r="C5" s="17" t="s">
        <v>13</v>
      </c>
      <c r="D5" s="34" t="s">
        <v>70</v>
      </c>
      <c r="E5" s="17" t="s">
        <v>73</v>
      </c>
      <c r="F5" s="17" t="s">
        <v>18</v>
      </c>
      <c r="G5" s="34" t="s">
        <v>70</v>
      </c>
      <c r="H5" s="34" t="s">
        <v>70</v>
      </c>
      <c r="I5" s="19" t="s">
        <v>82</v>
      </c>
      <c r="J5" s="19" t="s">
        <v>39</v>
      </c>
      <c r="K5" s="19" t="s">
        <v>39</v>
      </c>
      <c r="L5" s="19" t="s">
        <v>39</v>
      </c>
      <c r="M5" s="20" t="s">
        <v>53</v>
      </c>
      <c r="N5" s="17" t="s">
        <v>56</v>
      </c>
      <c r="O5" s="20" t="s">
        <v>53</v>
      </c>
      <c r="P5" s="17" t="s">
        <v>56</v>
      </c>
      <c r="Q5" s="25"/>
      <c r="R5" s="25"/>
    </row>
    <row r="6" spans="1:18" s="6" customFormat="1" x14ac:dyDescent="0.35">
      <c r="A6" s="7" t="s">
        <v>9</v>
      </c>
      <c r="B6" s="16" t="s">
        <v>14</v>
      </c>
      <c r="C6" s="17" t="s">
        <v>5</v>
      </c>
      <c r="D6" s="34" t="s">
        <v>5</v>
      </c>
      <c r="E6" s="17" t="s">
        <v>5</v>
      </c>
      <c r="F6" s="17" t="s">
        <v>5</v>
      </c>
      <c r="G6" s="34" t="s">
        <v>29</v>
      </c>
      <c r="H6" s="34" t="s">
        <v>29</v>
      </c>
      <c r="I6" s="19" t="s">
        <v>29</v>
      </c>
      <c r="J6" s="19" t="s">
        <v>29</v>
      </c>
      <c r="K6" s="19" t="s">
        <v>29</v>
      </c>
      <c r="L6" s="19" t="s">
        <v>29</v>
      </c>
      <c r="M6" s="20" t="s">
        <v>33</v>
      </c>
      <c r="N6" s="17" t="s">
        <v>5</v>
      </c>
      <c r="O6" s="20" t="s">
        <v>33</v>
      </c>
      <c r="P6" s="17" t="s">
        <v>5</v>
      </c>
      <c r="Q6" s="25"/>
      <c r="R6" s="25"/>
    </row>
    <row r="7" spans="1:18" x14ac:dyDescent="0.35">
      <c r="A7" s="26" t="s">
        <v>10</v>
      </c>
      <c r="B7" s="27" t="s">
        <v>15</v>
      </c>
      <c r="C7" s="28" t="s">
        <v>15</v>
      </c>
      <c r="D7" s="35" t="s">
        <v>15</v>
      </c>
      <c r="E7" s="28" t="s">
        <v>15</v>
      </c>
      <c r="F7" s="28" t="s">
        <v>15</v>
      </c>
      <c r="G7" s="35" t="s">
        <v>15</v>
      </c>
      <c r="H7" s="35" t="s">
        <v>15</v>
      </c>
      <c r="I7" s="30" t="s">
        <v>15</v>
      </c>
      <c r="J7" s="30" t="s">
        <v>15</v>
      </c>
      <c r="K7" s="30" t="s">
        <v>15</v>
      </c>
      <c r="L7" s="30" t="s">
        <v>15</v>
      </c>
      <c r="M7" s="31" t="s">
        <v>15</v>
      </c>
      <c r="N7" s="28" t="s">
        <v>15</v>
      </c>
      <c r="O7" s="31" t="s">
        <v>15</v>
      </c>
      <c r="P7" s="28" t="s">
        <v>15</v>
      </c>
      <c r="Q7" s="32"/>
      <c r="R7" s="32"/>
    </row>
    <row r="8" spans="1:18" ht="43.5" x14ac:dyDescent="0.35">
      <c r="A8" s="1" t="s">
        <v>108</v>
      </c>
      <c r="C8" s="2" t="s">
        <v>109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P7">
    <cfRule type="expression" dxfId="11" priority="1">
      <formula>AND(ISNUMBER(FIND("K",B6)),B7="*")</formula>
    </cfRule>
    <cfRule type="expression" dxfId="10" priority="2">
      <formula>AND(ISNUMBER(FIND("N",B6)),B7="*")</formula>
    </cfRule>
    <cfRule type="expression" dxfId="9" priority="3">
      <formula>B7="*"</formula>
    </cfRule>
    <cfRule type="expression" dxfId="8" priority="4">
      <formula>B7=""</formula>
    </cfRule>
  </conditionalFormatting>
  <dataValidations count="1">
    <dataValidation type="list" allowBlank="1" showInputMessage="1" showErrorMessage="1" sqref="B7:P7" xr:uid="{00000000-0002-0000-0100-000000000000}">
      <formula1>"*,"</formula1>
    </dataValidation>
  </dataValidations>
  <pageMargins left="0.75" right="0.75" top="0.75" bottom="0.5" header="0.5" footer="0.7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8"/>
  <sheetViews>
    <sheetView workbookViewId="0">
      <selection activeCell="C8" sqref="C8"/>
    </sheetView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5" width="16.7265625" style="2" customWidth="1"/>
    <col min="6" max="7" width="14.7265625" style="3" customWidth="1"/>
    <col min="8" max="8" width="50.7265625" style="2" customWidth="1"/>
    <col min="9" max="10" width="16.7265625" style="2" customWidth="1"/>
    <col min="11" max="13" width="28.7265625" style="4" customWidth="1"/>
    <col min="14" max="15" width="16.7265625" style="2" customWidth="1"/>
    <col min="16" max="16" width="50.7265625" style="2" customWidth="1"/>
    <col min="17" max="17" width="22.7265625" style="5" customWidth="1"/>
    <col min="18" max="18" width="30.7265625" style="2" customWidth="1"/>
    <col min="19" max="19" width="22.7265625" style="5" customWidth="1"/>
    <col min="20" max="20" width="30.7265625" style="2" customWidth="1"/>
    <col min="21" max="21" width="10.7265625" style="1" customWidth="1"/>
    <col min="22" max="22" width="48.7265625" style="1" customWidth="1"/>
    <col min="23" max="23" width="9.1796875" style="1" customWidth="1"/>
    <col min="24" max="16384" width="9.1796875" style="1"/>
  </cols>
  <sheetData>
    <row r="1" spans="1:22" s="6" customFormat="1" x14ac:dyDescent="0.35">
      <c r="A1" s="7" t="s">
        <v>0</v>
      </c>
      <c r="B1" s="8" t="s">
        <v>89</v>
      </c>
      <c r="C1" s="9" t="s">
        <v>2</v>
      </c>
      <c r="D1" s="8" t="s">
        <v>90</v>
      </c>
      <c r="E1" s="11"/>
      <c r="F1" s="10"/>
      <c r="G1" s="10"/>
      <c r="H1" s="11"/>
      <c r="I1" s="11"/>
      <c r="J1" s="11"/>
      <c r="K1" s="12"/>
      <c r="L1" s="12"/>
      <c r="M1" s="12"/>
      <c r="N1" s="11"/>
      <c r="O1" s="11"/>
      <c r="P1" s="11"/>
      <c r="Q1" s="13"/>
      <c r="R1" s="11"/>
      <c r="S1" s="13"/>
      <c r="T1" s="11"/>
    </row>
    <row r="2" spans="1:22" s="6" customFormat="1" x14ac:dyDescent="0.35">
      <c r="A2" s="7" t="s">
        <v>4</v>
      </c>
      <c r="B2" s="14" t="s">
        <v>5</v>
      </c>
      <c r="C2" s="11"/>
      <c r="D2" s="11"/>
      <c r="E2" s="11"/>
      <c r="F2" s="10"/>
      <c r="G2" s="10"/>
      <c r="H2" s="11"/>
      <c r="I2" s="11"/>
      <c r="J2" s="11"/>
      <c r="K2" s="12"/>
      <c r="L2" s="12"/>
      <c r="M2" s="12"/>
      <c r="N2" s="11"/>
      <c r="O2" s="11"/>
      <c r="P2" s="11"/>
      <c r="Q2" s="13"/>
      <c r="R2" s="11"/>
      <c r="S2" s="13"/>
      <c r="T2" s="11"/>
    </row>
    <row r="3" spans="1:22" s="6" customFormat="1" ht="29" x14ac:dyDescent="0.35">
      <c r="A3" s="15" t="s">
        <v>6</v>
      </c>
      <c r="B3" s="16" t="s">
        <v>91</v>
      </c>
      <c r="C3" s="17" t="s">
        <v>11</v>
      </c>
      <c r="D3" s="17" t="s">
        <v>16</v>
      </c>
      <c r="E3" s="17" t="s">
        <v>19</v>
      </c>
      <c r="F3" s="18" t="s">
        <v>21</v>
      </c>
      <c r="G3" s="18" t="s">
        <v>24</v>
      </c>
      <c r="H3" s="17" t="s">
        <v>26</v>
      </c>
      <c r="I3" s="17" t="s">
        <v>30</v>
      </c>
      <c r="J3" s="17" t="s">
        <v>34</v>
      </c>
      <c r="K3" s="19" t="s">
        <v>37</v>
      </c>
      <c r="L3" s="19" t="s">
        <v>40</v>
      </c>
      <c r="M3" s="19" t="s">
        <v>42</v>
      </c>
      <c r="N3" s="17" t="s">
        <v>44</v>
      </c>
      <c r="O3" s="17" t="s">
        <v>46</v>
      </c>
      <c r="P3" s="17" t="s">
        <v>48</v>
      </c>
      <c r="Q3" s="20" t="s">
        <v>51</v>
      </c>
      <c r="R3" s="17" t="s">
        <v>54</v>
      </c>
      <c r="S3" s="20" t="s">
        <v>57</v>
      </c>
      <c r="T3" s="17" t="s">
        <v>59</v>
      </c>
      <c r="U3" s="21" t="s">
        <v>61</v>
      </c>
      <c r="V3" s="21" t="s">
        <v>62</v>
      </c>
    </row>
    <row r="4" spans="1:22" s="6" customFormat="1" x14ac:dyDescent="0.35">
      <c r="A4" s="15" t="s">
        <v>7</v>
      </c>
      <c r="B4" s="16" t="s">
        <v>92</v>
      </c>
      <c r="C4" s="17" t="s">
        <v>93</v>
      </c>
      <c r="D4" s="17" t="s">
        <v>94</v>
      </c>
      <c r="E4" s="17" t="s">
        <v>95</v>
      </c>
      <c r="F4" s="22" t="s">
        <v>22</v>
      </c>
      <c r="G4" s="22" t="s">
        <v>25</v>
      </c>
      <c r="H4" s="17" t="s">
        <v>27</v>
      </c>
      <c r="I4" s="17" t="s">
        <v>31</v>
      </c>
      <c r="J4" s="17" t="s">
        <v>35</v>
      </c>
      <c r="K4" s="23" t="s">
        <v>96</v>
      </c>
      <c r="L4" s="23" t="s">
        <v>97</v>
      </c>
      <c r="M4" s="23" t="s">
        <v>43</v>
      </c>
      <c r="N4" s="17" t="s">
        <v>45</v>
      </c>
      <c r="O4" s="17" t="s">
        <v>98</v>
      </c>
      <c r="P4" s="17" t="s">
        <v>49</v>
      </c>
      <c r="Q4" s="24" t="s">
        <v>52</v>
      </c>
      <c r="R4" s="17" t="s">
        <v>55</v>
      </c>
      <c r="S4" s="24" t="s">
        <v>58</v>
      </c>
      <c r="T4" s="17" t="s">
        <v>60</v>
      </c>
      <c r="U4" s="25"/>
      <c r="V4" s="25"/>
    </row>
    <row r="5" spans="1:22" s="6" customFormat="1" x14ac:dyDescent="0.35">
      <c r="A5" s="15" t="s">
        <v>8</v>
      </c>
      <c r="B5" s="16" t="s">
        <v>13</v>
      </c>
      <c r="C5" s="17" t="s">
        <v>13</v>
      </c>
      <c r="D5" s="17" t="s">
        <v>18</v>
      </c>
      <c r="E5" s="17" t="s">
        <v>18</v>
      </c>
      <c r="F5" s="18" t="s">
        <v>23</v>
      </c>
      <c r="G5" s="18" t="s">
        <v>23</v>
      </c>
      <c r="H5" s="17" t="s">
        <v>28</v>
      </c>
      <c r="I5" s="17" t="s">
        <v>32</v>
      </c>
      <c r="J5" s="17" t="s">
        <v>36</v>
      </c>
      <c r="K5" s="19" t="s">
        <v>39</v>
      </c>
      <c r="L5" s="19" t="s">
        <v>39</v>
      </c>
      <c r="M5" s="19" t="s">
        <v>39</v>
      </c>
      <c r="N5" s="17" t="s">
        <v>18</v>
      </c>
      <c r="O5" s="17" t="s">
        <v>32</v>
      </c>
      <c r="P5" s="17" t="s">
        <v>50</v>
      </c>
      <c r="Q5" s="20" t="s">
        <v>53</v>
      </c>
      <c r="R5" s="17" t="s">
        <v>56</v>
      </c>
      <c r="S5" s="20" t="s">
        <v>53</v>
      </c>
      <c r="T5" s="17" t="s">
        <v>56</v>
      </c>
      <c r="U5" s="25"/>
      <c r="V5" s="25"/>
    </row>
    <row r="6" spans="1:22" s="6" customFormat="1" x14ac:dyDescent="0.35">
      <c r="A6" s="7" t="s">
        <v>9</v>
      </c>
      <c r="B6" s="16" t="s">
        <v>14</v>
      </c>
      <c r="C6" s="17" t="s">
        <v>5</v>
      </c>
      <c r="D6" s="17" t="s">
        <v>5</v>
      </c>
      <c r="E6" s="17" t="s">
        <v>5</v>
      </c>
      <c r="F6" s="18" t="s">
        <v>5</v>
      </c>
      <c r="G6" s="18" t="s">
        <v>5</v>
      </c>
      <c r="H6" s="17" t="s">
        <v>29</v>
      </c>
      <c r="I6" s="17" t="s">
        <v>33</v>
      </c>
      <c r="J6" s="17" t="s">
        <v>33</v>
      </c>
      <c r="K6" s="19" t="s">
        <v>29</v>
      </c>
      <c r="L6" s="19" t="s">
        <v>29</v>
      </c>
      <c r="M6" s="19" t="s">
        <v>29</v>
      </c>
      <c r="N6" s="17" t="s">
        <v>5</v>
      </c>
      <c r="O6" s="17" t="s">
        <v>33</v>
      </c>
      <c r="P6" s="17" t="s">
        <v>29</v>
      </c>
      <c r="Q6" s="20" t="s">
        <v>33</v>
      </c>
      <c r="R6" s="17" t="s">
        <v>5</v>
      </c>
      <c r="S6" s="20" t="s">
        <v>33</v>
      </c>
      <c r="T6" s="17" t="s">
        <v>5</v>
      </c>
      <c r="U6" s="25"/>
      <c r="V6" s="25"/>
    </row>
    <row r="7" spans="1:22" x14ac:dyDescent="0.35">
      <c r="A7" s="26" t="s">
        <v>10</v>
      </c>
      <c r="B7" s="27" t="s">
        <v>15</v>
      </c>
      <c r="C7" s="28" t="s">
        <v>15</v>
      </c>
      <c r="D7" s="28" t="s">
        <v>15</v>
      </c>
      <c r="E7" s="28" t="s">
        <v>15</v>
      </c>
      <c r="F7" s="29" t="s">
        <v>15</v>
      </c>
      <c r="G7" s="29" t="s">
        <v>15</v>
      </c>
      <c r="H7" s="28" t="s">
        <v>15</v>
      </c>
      <c r="I7" s="28" t="s">
        <v>15</v>
      </c>
      <c r="J7" s="28" t="s">
        <v>15</v>
      </c>
      <c r="K7" s="30" t="s">
        <v>15</v>
      </c>
      <c r="L7" s="30" t="s">
        <v>15</v>
      </c>
      <c r="M7" s="30" t="s">
        <v>15</v>
      </c>
      <c r="N7" s="28" t="s">
        <v>15</v>
      </c>
      <c r="O7" s="28" t="s">
        <v>15</v>
      </c>
      <c r="P7" s="28" t="s">
        <v>15</v>
      </c>
      <c r="Q7" s="31" t="s">
        <v>15</v>
      </c>
      <c r="R7" s="28" t="s">
        <v>15</v>
      </c>
      <c r="S7" s="31" t="s">
        <v>15</v>
      </c>
      <c r="T7" s="28" t="s">
        <v>15</v>
      </c>
      <c r="U7" s="32"/>
      <c r="V7" s="32"/>
    </row>
    <row r="8" spans="1:22" ht="43.5" x14ac:dyDescent="0.35">
      <c r="A8" s="1" t="s">
        <v>108</v>
      </c>
      <c r="C8" s="2" t="s">
        <v>110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T7">
    <cfRule type="expression" dxfId="7" priority="1">
      <formula>AND(ISNUMBER(FIND("K",B6)),B7="*")</formula>
    </cfRule>
    <cfRule type="expression" dxfId="6" priority="2">
      <formula>AND(ISNUMBER(FIND("N",B6)),B7="*")</formula>
    </cfRule>
    <cfRule type="expression" dxfId="5" priority="3">
      <formula>B7="*"</formula>
    </cfRule>
    <cfRule type="expression" dxfId="4" priority="4">
      <formula>B7=""</formula>
    </cfRule>
  </conditionalFormatting>
  <dataValidations count="1">
    <dataValidation type="list" allowBlank="1" showInputMessage="1" showErrorMessage="1" sqref="B7:T7" xr:uid="{00000000-0002-0000-0200-000000000000}">
      <formula1>"*,"</formula1>
    </dataValidation>
  </dataValidations>
  <pageMargins left="0.75" right="0.75" top="0.75" bottom="0.5" header="0.5" footer="0.7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"/>
  <sheetViews>
    <sheetView workbookViewId="0"/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30.7265625" style="2" customWidth="1"/>
    <col min="5" max="5" width="14.7265625" style="1" customWidth="1"/>
    <col min="6" max="6" width="50.7265625" style="2" customWidth="1"/>
    <col min="7" max="7" width="16.7265625" style="2" customWidth="1"/>
    <col min="8" max="9" width="14.7265625" style="1" customWidth="1"/>
    <col min="10" max="13" width="28.7265625" style="4" customWidth="1"/>
    <col min="14" max="14" width="22.7265625" style="5" customWidth="1"/>
    <col min="15" max="15" width="30.7265625" style="2" customWidth="1"/>
    <col min="16" max="16" width="22.7265625" style="5" customWidth="1"/>
    <col min="17" max="17" width="30.7265625" style="2" customWidth="1"/>
    <col min="18" max="18" width="10.7265625" style="1" customWidth="1"/>
    <col min="19" max="19" width="48.7265625" style="1" customWidth="1"/>
    <col min="20" max="20" width="9.1796875" style="1" customWidth="1"/>
    <col min="21" max="16384" width="9.1796875" style="1"/>
  </cols>
  <sheetData>
    <row r="1" spans="1:19" s="6" customFormat="1" x14ac:dyDescent="0.35">
      <c r="A1" s="7" t="s">
        <v>0</v>
      </c>
      <c r="B1" s="8" t="s">
        <v>99</v>
      </c>
      <c r="C1" s="9" t="s">
        <v>2</v>
      </c>
      <c r="D1" s="8" t="s">
        <v>100</v>
      </c>
      <c r="F1" s="11"/>
      <c r="G1" s="11"/>
      <c r="J1" s="12"/>
      <c r="K1" s="12"/>
      <c r="L1" s="12"/>
      <c r="M1" s="12"/>
      <c r="N1" s="13"/>
      <c r="O1" s="11"/>
      <c r="P1" s="13"/>
      <c r="Q1" s="11"/>
    </row>
    <row r="2" spans="1:19" s="6" customFormat="1" x14ac:dyDescent="0.35">
      <c r="A2" s="7" t="s">
        <v>4</v>
      </c>
      <c r="B2" s="14" t="s">
        <v>5</v>
      </c>
      <c r="C2" s="11"/>
      <c r="D2" s="11"/>
      <c r="F2" s="11"/>
      <c r="G2" s="11"/>
      <c r="J2" s="12"/>
      <c r="K2" s="12"/>
      <c r="L2" s="12"/>
      <c r="M2" s="12"/>
      <c r="N2" s="13"/>
      <c r="O2" s="11"/>
      <c r="P2" s="13"/>
      <c r="Q2" s="11"/>
    </row>
    <row r="3" spans="1:19" s="6" customFormat="1" x14ac:dyDescent="0.35">
      <c r="A3" s="15" t="s">
        <v>6</v>
      </c>
      <c r="B3" s="16" t="s">
        <v>65</v>
      </c>
      <c r="C3" s="17" t="s">
        <v>91</v>
      </c>
      <c r="D3" s="17" t="s">
        <v>101</v>
      </c>
      <c r="E3" s="34" t="s">
        <v>68</v>
      </c>
      <c r="F3" s="17" t="s">
        <v>71</v>
      </c>
      <c r="G3" s="17" t="s">
        <v>74</v>
      </c>
      <c r="H3" s="34" t="s">
        <v>76</v>
      </c>
      <c r="I3" s="34" t="s">
        <v>78</v>
      </c>
      <c r="J3" s="19" t="s">
        <v>80</v>
      </c>
      <c r="K3" s="19" t="s">
        <v>83</v>
      </c>
      <c r="L3" s="19" t="s">
        <v>85</v>
      </c>
      <c r="M3" s="19" t="s">
        <v>87</v>
      </c>
      <c r="N3" s="20" t="s">
        <v>51</v>
      </c>
      <c r="O3" s="17" t="s">
        <v>54</v>
      </c>
      <c r="P3" s="20" t="s">
        <v>57</v>
      </c>
      <c r="Q3" s="17" t="s">
        <v>59</v>
      </c>
      <c r="R3" s="21" t="s">
        <v>61</v>
      </c>
      <c r="S3" s="21" t="s">
        <v>62</v>
      </c>
    </row>
    <row r="4" spans="1:19" s="6" customFormat="1" x14ac:dyDescent="0.35">
      <c r="A4" s="15" t="s">
        <v>7</v>
      </c>
      <c r="B4" s="16" t="s">
        <v>66</v>
      </c>
      <c r="C4" s="17" t="s">
        <v>92</v>
      </c>
      <c r="D4" s="17" t="s">
        <v>102</v>
      </c>
      <c r="E4" s="25" t="s">
        <v>69</v>
      </c>
      <c r="F4" s="17" t="s">
        <v>72</v>
      </c>
      <c r="G4" s="17" t="s">
        <v>75</v>
      </c>
      <c r="H4" s="25" t="s">
        <v>103</v>
      </c>
      <c r="I4" s="25" t="s">
        <v>104</v>
      </c>
      <c r="J4" s="23" t="s">
        <v>105</v>
      </c>
      <c r="K4" s="23" t="s">
        <v>106</v>
      </c>
      <c r="L4" s="23" t="s">
        <v>107</v>
      </c>
      <c r="M4" s="23" t="s">
        <v>88</v>
      </c>
      <c r="N4" s="24" t="s">
        <v>52</v>
      </c>
      <c r="O4" s="17" t="s">
        <v>55</v>
      </c>
      <c r="P4" s="24" t="s">
        <v>58</v>
      </c>
      <c r="Q4" s="17" t="s">
        <v>60</v>
      </c>
      <c r="R4" s="25"/>
      <c r="S4" s="25"/>
    </row>
    <row r="5" spans="1:19" s="6" customFormat="1" x14ac:dyDescent="0.35">
      <c r="A5" s="15" t="s">
        <v>8</v>
      </c>
      <c r="B5" s="16" t="s">
        <v>67</v>
      </c>
      <c r="C5" s="17" t="s">
        <v>13</v>
      </c>
      <c r="D5" s="17" t="s">
        <v>67</v>
      </c>
      <c r="E5" s="34" t="s">
        <v>70</v>
      </c>
      <c r="F5" s="17" t="s">
        <v>73</v>
      </c>
      <c r="G5" s="17" t="s">
        <v>18</v>
      </c>
      <c r="H5" s="34" t="s">
        <v>70</v>
      </c>
      <c r="I5" s="34" t="s">
        <v>70</v>
      </c>
      <c r="J5" s="19" t="s">
        <v>82</v>
      </c>
      <c r="K5" s="19" t="s">
        <v>39</v>
      </c>
      <c r="L5" s="19" t="s">
        <v>39</v>
      </c>
      <c r="M5" s="19" t="s">
        <v>39</v>
      </c>
      <c r="N5" s="20" t="s">
        <v>53</v>
      </c>
      <c r="O5" s="17" t="s">
        <v>56</v>
      </c>
      <c r="P5" s="20" t="s">
        <v>53</v>
      </c>
      <c r="Q5" s="17" t="s">
        <v>56</v>
      </c>
      <c r="R5" s="25"/>
      <c r="S5" s="25"/>
    </row>
    <row r="6" spans="1:19" s="6" customFormat="1" x14ac:dyDescent="0.35">
      <c r="A6" s="7" t="s">
        <v>9</v>
      </c>
      <c r="B6" s="16" t="s">
        <v>14</v>
      </c>
      <c r="C6" s="17" t="s">
        <v>5</v>
      </c>
      <c r="D6" s="17" t="s">
        <v>29</v>
      </c>
      <c r="E6" s="34" t="s">
        <v>5</v>
      </c>
      <c r="F6" s="17" t="s">
        <v>5</v>
      </c>
      <c r="G6" s="17" t="s">
        <v>5</v>
      </c>
      <c r="H6" s="34" t="s">
        <v>29</v>
      </c>
      <c r="I6" s="34" t="s">
        <v>29</v>
      </c>
      <c r="J6" s="19" t="s">
        <v>29</v>
      </c>
      <c r="K6" s="19" t="s">
        <v>29</v>
      </c>
      <c r="L6" s="19" t="s">
        <v>29</v>
      </c>
      <c r="M6" s="19" t="s">
        <v>29</v>
      </c>
      <c r="N6" s="20" t="s">
        <v>33</v>
      </c>
      <c r="O6" s="17" t="s">
        <v>5</v>
      </c>
      <c r="P6" s="20" t="s">
        <v>33</v>
      </c>
      <c r="Q6" s="17" t="s">
        <v>5</v>
      </c>
      <c r="R6" s="25"/>
      <c r="S6" s="25"/>
    </row>
    <row r="7" spans="1:19" x14ac:dyDescent="0.35">
      <c r="A7" s="26" t="s">
        <v>10</v>
      </c>
      <c r="B7" s="27" t="s">
        <v>15</v>
      </c>
      <c r="C7" s="28" t="s">
        <v>15</v>
      </c>
      <c r="D7" s="28" t="s">
        <v>15</v>
      </c>
      <c r="E7" s="35" t="s">
        <v>15</v>
      </c>
      <c r="F7" s="28" t="s">
        <v>15</v>
      </c>
      <c r="G7" s="28" t="s">
        <v>15</v>
      </c>
      <c r="H7" s="35" t="s">
        <v>15</v>
      </c>
      <c r="I7" s="35" t="s">
        <v>15</v>
      </c>
      <c r="J7" s="30" t="s">
        <v>15</v>
      </c>
      <c r="K7" s="30" t="s">
        <v>15</v>
      </c>
      <c r="L7" s="30" t="s">
        <v>15</v>
      </c>
      <c r="M7" s="30" t="s">
        <v>15</v>
      </c>
      <c r="N7" s="31" t="s">
        <v>15</v>
      </c>
      <c r="O7" s="28" t="s">
        <v>15</v>
      </c>
      <c r="P7" s="31" t="s">
        <v>15</v>
      </c>
      <c r="Q7" s="28" t="s">
        <v>15</v>
      </c>
      <c r="R7" s="32"/>
      <c r="S7" s="32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Q7">
    <cfRule type="expression" dxfId="3" priority="1">
      <formula>AND(ISNUMBER(FIND("K",B6)),B7="*")</formula>
    </cfRule>
    <cfRule type="expression" dxfId="2" priority="2">
      <formula>AND(ISNUMBER(FIND("N",B6)),B7="*")</formula>
    </cfRule>
    <cfRule type="expression" dxfId="1" priority="3">
      <formula>B7="*"</formula>
    </cfRule>
    <cfRule type="expression" dxfId="0" priority="4">
      <formula>B7=""</formula>
    </cfRule>
  </conditionalFormatting>
  <dataValidations count="1">
    <dataValidation type="list" allowBlank="1" showInputMessage="1" showErrorMessage="1" sqref="B7:Q7" xr:uid="{00000000-0002-0000-03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quotations</vt:lpstr>
      <vt:lpstr>quotation_details</vt:lpstr>
      <vt:lpstr>contracts</vt:lpstr>
      <vt:lpstr>contract_details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雅俊 古谷</cp:lastModifiedBy>
  <dcterms:created xsi:type="dcterms:W3CDTF">2026-07-25T13:54:21Z</dcterms:created>
  <dcterms:modified xsi:type="dcterms:W3CDTF">2026-07-25T14:33:53Z</dcterms:modified>
</cp:coreProperties>
</file>