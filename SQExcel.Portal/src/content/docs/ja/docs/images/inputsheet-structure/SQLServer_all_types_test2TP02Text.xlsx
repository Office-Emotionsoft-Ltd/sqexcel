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Repos_GitEms\sqexcel\SQExcel.Portal\src\content\docs\ja\docs\images\inputsheet-structure\"/>
    </mc:Choice>
  </mc:AlternateContent>
  <xr:revisionPtr revIDLastSave="0" documentId="13_ncr:1_{7F84DEBA-FB68-41EF-8E9F-4B91C6680CCD}" xr6:coauthVersionLast="47" xr6:coauthVersionMax="47" xr10:uidLastSave="{00000000-0000-0000-0000-000000000000}"/>
  <bookViews>
    <workbookView xWindow="4668" yWindow="4536" windowWidth="23160" windowHeight="11256" xr2:uid="{00000000-000D-0000-FFFF-FFFF00000000}"/>
  </bookViews>
  <sheets>
    <sheet name="all_types_test2" sheetId="1" r:id="rId1"/>
  </sheets>
  <definedNames>
    <definedName name="ALs1BAlphaL">all_types_test2!$A$86</definedName>
    <definedName name="ALs1BAlphaS">all_types_test2!$A$87</definedName>
    <definedName name="ALs1BKana">all_types_test2!$A$85</definedName>
    <definedName name="ALs1BNum">all_types_test2!$A$88</definedName>
    <definedName name="ALs2BAlphaL">all_types_test2!$A$82</definedName>
    <definedName name="ALs2BAlphaS">all_types_test2!$A$83</definedName>
    <definedName name="ALs2BHirakana">all_types_test2!$A$90</definedName>
    <definedName name="ALs2BKana">all_types_test2!$A$81</definedName>
    <definedName name="ALs2BKanji">all_types_test2!$A$89</definedName>
    <definedName name="ALs2BNum">all_types_test2!$A$84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79" i="1" l="1"/>
  <c r="AB78" i="1"/>
  <c r="AB77" i="1"/>
  <c r="AB76" i="1"/>
  <c r="AB75" i="1"/>
  <c r="AB74" i="1"/>
  <c r="AA74" i="1"/>
  <c r="AC74" i="1" s="1"/>
  <c r="AB73" i="1"/>
  <c r="AB72" i="1"/>
  <c r="AA72" i="1"/>
  <c r="AB71" i="1"/>
  <c r="AA71" i="1"/>
  <c r="AC71" i="1" s="1"/>
  <c r="AB70" i="1"/>
  <c r="AA70" i="1"/>
  <c r="AC70" i="1" s="1"/>
  <c r="AB69" i="1"/>
  <c r="AB68" i="1"/>
  <c r="AB67" i="1"/>
  <c r="AB66" i="1"/>
  <c r="AA66" i="1"/>
  <c r="AC66" i="1" s="1"/>
  <c r="AB65" i="1"/>
  <c r="AA65" i="1"/>
  <c r="AB64" i="1"/>
  <c r="AB63" i="1"/>
  <c r="AB62" i="1"/>
  <c r="AA62" i="1"/>
  <c r="AC62" i="1" s="1"/>
  <c r="AB61" i="1"/>
  <c r="AA61" i="1"/>
  <c r="AC61" i="1" s="1"/>
  <c r="AB60" i="1"/>
  <c r="N79" i="1"/>
  <c r="M79" i="1"/>
  <c r="L79" i="1"/>
  <c r="K79" i="1"/>
  <c r="N78" i="1"/>
  <c r="M78" i="1"/>
  <c r="L78" i="1"/>
  <c r="K78" i="1"/>
  <c r="N77" i="1"/>
  <c r="M77" i="1"/>
  <c r="L77" i="1"/>
  <c r="K77" i="1"/>
  <c r="N76" i="1"/>
  <c r="M76" i="1"/>
  <c r="L76" i="1"/>
  <c r="K76" i="1"/>
  <c r="N75" i="1"/>
  <c r="M75" i="1"/>
  <c r="L75" i="1"/>
  <c r="K75" i="1"/>
  <c r="N74" i="1"/>
  <c r="M74" i="1"/>
  <c r="L74" i="1"/>
  <c r="K74" i="1"/>
  <c r="N73" i="1"/>
  <c r="M73" i="1"/>
  <c r="L73" i="1"/>
  <c r="K73" i="1"/>
  <c r="N72" i="1"/>
  <c r="M72" i="1"/>
  <c r="L72" i="1"/>
  <c r="K72" i="1"/>
  <c r="N71" i="1"/>
  <c r="M71" i="1"/>
  <c r="L71" i="1"/>
  <c r="K71" i="1"/>
  <c r="N70" i="1"/>
  <c r="M70" i="1"/>
  <c r="L70" i="1"/>
  <c r="K70" i="1"/>
  <c r="N69" i="1"/>
  <c r="M69" i="1"/>
  <c r="L69" i="1"/>
  <c r="K69" i="1"/>
  <c r="N68" i="1"/>
  <c r="M68" i="1"/>
  <c r="L68" i="1"/>
  <c r="K68" i="1"/>
  <c r="N67" i="1"/>
  <c r="M67" i="1"/>
  <c r="L67" i="1"/>
  <c r="K67" i="1"/>
  <c r="N66" i="1"/>
  <c r="M66" i="1"/>
  <c r="L66" i="1"/>
  <c r="K66" i="1"/>
  <c r="N65" i="1"/>
  <c r="M65" i="1"/>
  <c r="L65" i="1"/>
  <c r="K65" i="1"/>
  <c r="N64" i="1"/>
  <c r="M64" i="1"/>
  <c r="L64" i="1"/>
  <c r="K64" i="1"/>
  <c r="N63" i="1"/>
  <c r="M63" i="1"/>
  <c r="L63" i="1"/>
  <c r="K63" i="1"/>
  <c r="N62" i="1"/>
  <c r="M62" i="1"/>
  <c r="L62" i="1"/>
  <c r="K62" i="1"/>
  <c r="N61" i="1"/>
  <c r="M61" i="1"/>
  <c r="L61" i="1"/>
  <c r="K61" i="1"/>
  <c r="N60" i="1"/>
  <c r="M60" i="1"/>
  <c r="K60" i="1"/>
  <c r="L6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AA79" i="1"/>
  <c r="AC79" i="1" s="1"/>
  <c r="AA78" i="1"/>
  <c r="AA73" i="1"/>
  <c r="AA69" i="1"/>
  <c r="AA68" i="1"/>
  <c r="AA67" i="1"/>
  <c r="AA64" i="1"/>
  <c r="AC64" i="1" s="1"/>
  <c r="AA63" i="1"/>
  <c r="AC63" i="1" s="1"/>
  <c r="AA60" i="1"/>
  <c r="AC60" i="1" s="1"/>
  <c r="AA77" i="1"/>
  <c r="AC77" i="1" s="1"/>
  <c r="AA76" i="1"/>
  <c r="AC76" i="1" s="1"/>
  <c r="AA75" i="1"/>
  <c r="AC75" i="1" s="1"/>
  <c r="AC73" i="1" l="1"/>
  <c r="AC78" i="1"/>
  <c r="AC67" i="1"/>
  <c r="AC68" i="1"/>
  <c r="AC69" i="1"/>
  <c r="AC65" i="1"/>
  <c r="AC72" i="1"/>
  <c r="B8" i="1"/>
  <c r="AA8" i="1"/>
  <c r="AB8" i="1"/>
  <c r="B9" i="1"/>
  <c r="AA9" i="1"/>
  <c r="AB9" i="1"/>
  <c r="AC9" i="1" s="1"/>
  <c r="B10" i="1"/>
  <c r="AA10" i="1"/>
  <c r="AB10" i="1"/>
  <c r="B11" i="1"/>
  <c r="AA11" i="1"/>
  <c r="AB11" i="1"/>
  <c r="AC11" i="1"/>
  <c r="B12" i="1"/>
  <c r="AA12" i="1"/>
  <c r="AB12" i="1"/>
  <c r="B13" i="1"/>
  <c r="AA13" i="1"/>
  <c r="AB13" i="1"/>
  <c r="B14" i="1"/>
  <c r="AA14" i="1"/>
  <c r="AB14" i="1"/>
  <c r="B15" i="1"/>
  <c r="AA15" i="1"/>
  <c r="AB15" i="1"/>
  <c r="AC15" i="1"/>
  <c r="B16" i="1"/>
  <c r="AA16" i="1"/>
  <c r="AB16" i="1"/>
  <c r="AC16" i="1"/>
  <c r="B17" i="1"/>
  <c r="AA17" i="1"/>
  <c r="AB17" i="1"/>
  <c r="B18" i="1"/>
  <c r="AA18" i="1"/>
  <c r="AB18" i="1"/>
  <c r="B19" i="1"/>
  <c r="AA19" i="1"/>
  <c r="AB19" i="1"/>
  <c r="B20" i="1"/>
  <c r="AA20" i="1"/>
  <c r="AB20" i="1"/>
  <c r="AC20" i="1" s="1"/>
  <c r="B21" i="1"/>
  <c r="AA21" i="1"/>
  <c r="AB21" i="1"/>
  <c r="AC21" i="1"/>
  <c r="B22" i="1"/>
  <c r="AA22" i="1"/>
  <c r="AB22" i="1"/>
  <c r="AC22" i="1"/>
  <c r="B23" i="1"/>
  <c r="AA23" i="1"/>
  <c r="AB23" i="1"/>
  <c r="B24" i="1"/>
  <c r="AA24" i="1"/>
  <c r="AB24" i="1"/>
  <c r="B25" i="1"/>
  <c r="AA25" i="1"/>
  <c r="AB25" i="1"/>
  <c r="AC25" i="1"/>
  <c r="B26" i="1"/>
  <c r="AA26" i="1"/>
  <c r="AB26" i="1"/>
  <c r="B27" i="1"/>
  <c r="AA27" i="1"/>
  <c r="AB27" i="1"/>
  <c r="AC27" i="1" s="1"/>
  <c r="B28" i="1"/>
  <c r="AA28" i="1"/>
  <c r="AB28" i="1"/>
  <c r="B29" i="1"/>
  <c r="AA29" i="1"/>
  <c r="AB29" i="1"/>
  <c r="B30" i="1"/>
  <c r="AA30" i="1"/>
  <c r="AB30" i="1"/>
  <c r="B31" i="1"/>
  <c r="AA31" i="1"/>
  <c r="AB31" i="1"/>
  <c r="AC31" i="1"/>
  <c r="B32" i="1"/>
  <c r="AA32" i="1"/>
  <c r="AB32" i="1"/>
  <c r="B33" i="1"/>
  <c r="AA33" i="1"/>
  <c r="AB33" i="1"/>
  <c r="B34" i="1"/>
  <c r="AA34" i="1"/>
  <c r="AB34" i="1"/>
  <c r="B35" i="1"/>
  <c r="AA35" i="1"/>
  <c r="AB35" i="1"/>
  <c r="B36" i="1"/>
  <c r="AA36" i="1"/>
  <c r="AB36" i="1"/>
  <c r="B37" i="1"/>
  <c r="AA37" i="1"/>
  <c r="AB37" i="1"/>
  <c r="AC37" i="1"/>
  <c r="B38" i="1"/>
  <c r="AA38" i="1"/>
  <c r="AB38" i="1"/>
  <c r="B39" i="1"/>
  <c r="AA39" i="1"/>
  <c r="AB39" i="1"/>
  <c r="B40" i="1"/>
  <c r="AA40" i="1"/>
  <c r="AB40" i="1"/>
  <c r="B41" i="1"/>
  <c r="AA41" i="1"/>
  <c r="AB41" i="1"/>
  <c r="B42" i="1"/>
  <c r="AA42" i="1"/>
  <c r="AB42" i="1"/>
  <c r="B43" i="1"/>
  <c r="AA43" i="1"/>
  <c r="AB43" i="1"/>
  <c r="B44" i="1"/>
  <c r="AA44" i="1"/>
  <c r="AB44" i="1"/>
  <c r="B45" i="1"/>
  <c r="AA45" i="1"/>
  <c r="AB45" i="1"/>
  <c r="AC45" i="1"/>
  <c r="B46" i="1"/>
  <c r="AA46" i="1"/>
  <c r="AB46" i="1"/>
  <c r="AC46" i="1"/>
  <c r="B47" i="1"/>
  <c r="AA47" i="1"/>
  <c r="AB47" i="1"/>
  <c r="B48" i="1"/>
  <c r="AA48" i="1"/>
  <c r="AB48" i="1"/>
  <c r="B49" i="1"/>
  <c r="AA49" i="1"/>
  <c r="AB49" i="1"/>
  <c r="B50" i="1"/>
  <c r="AA50" i="1"/>
  <c r="AB50" i="1"/>
  <c r="AC50" i="1"/>
  <c r="B51" i="1"/>
  <c r="AA51" i="1"/>
  <c r="AB51" i="1"/>
  <c r="B52" i="1"/>
  <c r="AA52" i="1"/>
  <c r="AB52" i="1"/>
  <c r="AC52" i="1" s="1"/>
  <c r="B53" i="1"/>
  <c r="AA53" i="1"/>
  <c r="AB53" i="1"/>
  <c r="B54" i="1"/>
  <c r="AA54" i="1"/>
  <c r="AB54" i="1"/>
  <c r="B55" i="1"/>
  <c r="AA55" i="1"/>
  <c r="AB55" i="1"/>
  <c r="AC55" i="1" s="1"/>
  <c r="B56" i="1"/>
  <c r="AA56" i="1"/>
  <c r="AB56" i="1"/>
  <c r="AC56" i="1"/>
  <c r="B57" i="1"/>
  <c r="AA57" i="1"/>
  <c r="AB57" i="1"/>
  <c r="B58" i="1"/>
  <c r="AA58" i="1"/>
  <c r="AB58" i="1"/>
  <c r="B59" i="1"/>
  <c r="AA59" i="1"/>
  <c r="AB59" i="1"/>
  <c r="AC35" i="1" l="1"/>
  <c r="AC47" i="1"/>
  <c r="AC40" i="1"/>
  <c r="AC51" i="1"/>
  <c r="AC10" i="1"/>
  <c r="AC26" i="1"/>
  <c r="AC36" i="1"/>
  <c r="AC42" i="1"/>
  <c r="AC57" i="1"/>
  <c r="AC32" i="1"/>
  <c r="AC41" i="1"/>
  <c r="AC30" i="1"/>
  <c r="AC14" i="1"/>
  <c r="AC19" i="1"/>
  <c r="AC44" i="1"/>
  <c r="AC38" i="1"/>
  <c r="AC49" i="1"/>
  <c r="AC43" i="1"/>
  <c r="AC18" i="1"/>
  <c r="AC58" i="1"/>
  <c r="AC12" i="1"/>
  <c r="AC8" i="1"/>
  <c r="AC48" i="1"/>
  <c r="AC13" i="1"/>
  <c r="AC53" i="1"/>
  <c r="AC17" i="1"/>
  <c r="AC29" i="1"/>
  <c r="AC23" i="1"/>
  <c r="AC34" i="1"/>
  <c r="AC28" i="1"/>
  <c r="AC39" i="1"/>
  <c r="AC54" i="1"/>
  <c r="AC59" i="1"/>
  <c r="AC24" i="1"/>
  <c r="AC3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Masatoshi</author>
  </authors>
  <commentList>
    <comment ref="A6" authorId="0" shapeId="0" xr:uid="{00000000-0006-0000-0000-000001000000}">
      <text>
        <r>
          <rPr>
            <sz val="11"/>
            <color rgb="FF000000"/>
            <rFont val="Calibri"/>
            <family val="2"/>
          </rPr>
          <t>K=キー項目
A=自動設定項目
N=NULL許容項目
D=既定値設定あり</t>
        </r>
      </text>
    </comment>
    <comment ref="A7" authorId="0" shapeId="0" xr:uid="{00000000-0006-0000-0000-000002000000}">
      <text>
        <r>
          <rPr>
            <sz val="11"/>
            <color rgb="FF000000"/>
            <rFont val="Calibri"/>
            <family val="2"/>
          </rPr>
          <t>入力対象とする場合は「*」をセットする。
空白にすると入力対象から外される。</t>
        </r>
      </text>
    </comment>
  </commentList>
</comments>
</file>

<file path=xl/sharedStrings.xml><?xml version="1.0" encoding="utf-8"?>
<sst xmlns="http://schemas.openxmlformats.org/spreadsheetml/2006/main" count="1610" uniqueCount="127">
  <si>
    <t>テーブル名</t>
  </si>
  <si>
    <r>
      <rPr>
        <sz val="11"/>
        <color rgb="FF000000"/>
        <rFont val="Calibri"/>
        <family val="2"/>
      </rPr>
      <t>applog.all_types_test2</t>
    </r>
    <phoneticPr fontId="0"/>
  </si>
  <si>
    <t>論理名</t>
  </si>
  <si>
    <t>全データ型テストテーブル（SQL Server用）</t>
  </si>
  <si>
    <t>処理結果</t>
  </si>
  <si>
    <t>項目名</t>
  </si>
  <si>
    <t>id</t>
  </si>
  <si>
    <t>col_tinyint</t>
  </si>
  <si>
    <t>col_smallint</t>
  </si>
  <si>
    <t>col_int</t>
  </si>
  <si>
    <t>col_bigint</t>
  </si>
  <si>
    <t>col_decimal</t>
  </si>
  <si>
    <t>col_numeric</t>
  </si>
  <si>
    <t>col_float</t>
  </si>
  <si>
    <t>col_real</t>
  </si>
  <si>
    <t>col_char</t>
  </si>
  <si>
    <t>col_nchar</t>
  </si>
  <si>
    <t>col_varchar</t>
  </si>
  <si>
    <t>col_nvarchar</t>
  </si>
  <si>
    <t>col_date</t>
  </si>
  <si>
    <t>col_time</t>
  </si>
  <si>
    <t>col_datetime</t>
  </si>
  <si>
    <t>col_datetime2</t>
  </si>
  <si>
    <t>col_bit</t>
  </si>
  <si>
    <t>col_binary</t>
  </si>
  <si>
    <t>col_varbinary</t>
  </si>
  <si>
    <t>col_uniqueidentifier</t>
  </si>
  <si>
    <t>col_xml</t>
  </si>
  <si>
    <t>処理成否</t>
  </si>
  <si>
    <t>処理失敗時メッセージ</t>
  </si>
  <si>
    <t>項目論理名</t>
  </si>
  <si>
    <t>テスト行ID</t>
  </si>
  <si>
    <t>TinyInt型テスト列（使用DB: SQ/MY/MA）</t>
  </si>
  <si>
    <t>SmallInt型テスト列（使用DB: SQ/PS/MY/MA/OR）</t>
  </si>
  <si>
    <t>Int型テスト列（使用DB: SQ/PS/MY/MA/LT/OR）</t>
  </si>
  <si>
    <t>BigInt型テスト列（使用DB: SQ/PS/MY/MA/LT/OR）</t>
  </si>
  <si>
    <t>Decimal型テスト列（使用DB: SQ/PS/MY/MA/LT/OR）</t>
  </si>
  <si>
    <t>Numeric型テスト列（使用DB: SQ/PS/MY/MA/LT/OR）</t>
  </si>
  <si>
    <t>Float型テスト列（使用DB: SQ/PS/MY/MA/OR）</t>
  </si>
  <si>
    <t>Real型テスト列（使用DB: SQ/PS/MY/MA/LT/OR）</t>
  </si>
  <si>
    <t>Char型テスト列（使用DB: SQ/PS/MY/MA/LT/OR）</t>
  </si>
  <si>
    <t>NChar型テスト列（使用DB: SQ/OR）</t>
  </si>
  <si>
    <t>VarChar型テスト列（使用DB: SQ/PS/MY/MA/LT/OR）</t>
  </si>
  <si>
    <t>NVarChar型テスト列（使用DB: SQ/OR）</t>
  </si>
  <si>
    <t>Date型テスト列（使用DB: SQ/PS/MY/MA/LT/OR）</t>
  </si>
  <si>
    <t>Time型テスト列（使用DB: SQ/PS/MY/MA/LT）</t>
  </si>
  <si>
    <t>DateTime型テスト列（使用DB: SQ/MY/MA）</t>
  </si>
  <si>
    <t>DateTime2型テスト列（使用DB: SQ のみ）</t>
  </si>
  <si>
    <t>Bit型テスト列（使用DB: SQ のみ）</t>
  </si>
  <si>
    <t>Binary型テスト列（使用DB: SQ/MY/MA）</t>
  </si>
  <si>
    <t>VarBinary型テスト列（使用DB: SQ/MY/MA）</t>
  </si>
  <si>
    <t>UniqueIdentifier型テスト列（使用DB: SQ のみ）</t>
  </si>
  <si>
    <t>Xml型テスト列（使用DB: SQ/OR）</t>
  </si>
  <si>
    <t>データ型</t>
  </si>
  <si>
    <t>Int</t>
  </si>
  <si>
    <t>TinyInt</t>
  </si>
  <si>
    <t>SmallInt</t>
  </si>
  <si>
    <t>BigInt</t>
  </si>
  <si>
    <t>Decimal(18,4)</t>
  </si>
  <si>
    <t>Float</t>
  </si>
  <si>
    <t>Real</t>
  </si>
  <si>
    <t>Char(10)</t>
  </si>
  <si>
    <t>NChar(10)</t>
  </si>
  <si>
    <t>VarChar(255)</t>
  </si>
  <si>
    <t>NVarChar(255)</t>
  </si>
  <si>
    <t>Date</t>
  </si>
  <si>
    <t>Time</t>
  </si>
  <si>
    <t>DateTime</t>
  </si>
  <si>
    <t>DateTime2</t>
  </si>
  <si>
    <t>Bit</t>
  </si>
  <si>
    <t>UniqueIdentifier</t>
  </si>
  <si>
    <t>Xml</t>
  </si>
  <si>
    <t>項目属性</t>
  </si>
  <si>
    <t>KA</t>
  </si>
  <si>
    <t>N</t>
  </si>
  <si>
    <t>入力対象</t>
  </si>
  <si>
    <t>*</t>
  </si>
  <si>
    <r>
      <rPr>
        <sz val="11"/>
        <color rgb="FF000000"/>
        <rFont val="Noto Sans JP"/>
        <family val="2"/>
        <charset val="128"/>
      </rPr>
      <t>齟齬の原因</t>
    </r>
    <rPh sb="0" eb="2">
      <t>ソゴ</t>
    </rPh>
    <rPh sb="3" eb="5">
      <t>ゲンイン</t>
    </rPh>
    <phoneticPr fontId="0"/>
  </si>
  <si>
    <r>
      <rPr>
        <sz val="11"/>
        <color rgb="FF000000"/>
        <rFont val="Calibri"/>
        <family val="2"/>
      </rPr>
      <t>エラー予想</t>
    </r>
    <rPh sb="3" eb="5">
      <t>ヨソウ</t>
    </rPh>
    <phoneticPr fontId="0"/>
  </si>
  <si>
    <r>
      <rPr>
        <sz val="11"/>
        <color rgb="FF000000"/>
        <rFont val="Noto Sans JP"/>
        <family val="2"/>
        <charset val="128"/>
      </rPr>
      <t>実エラー</t>
    </r>
    <rPh sb="0" eb="1">
      <t>ジツ</t>
    </rPh>
    <phoneticPr fontId="0"/>
  </si>
  <si>
    <r>
      <rPr>
        <sz val="11"/>
        <color rgb="FF000000"/>
        <rFont val="Noto Sans JP"/>
        <family val="2"/>
        <charset val="128"/>
      </rPr>
      <t>齟齬</t>
    </r>
    <rPh sb="0" eb="2">
      <t>ソゴ</t>
    </rPh>
    <phoneticPr fontId="0"/>
  </si>
  <si>
    <t>(null)</t>
  </si>
  <si>
    <t>1234567890</t>
  </si>
  <si>
    <t/>
  </si>
  <si>
    <t>abcdefghij</t>
  </si>
  <si>
    <t>ｱｲｳｴｵｶｷｸｹｺ</t>
  </si>
  <si>
    <t>abc123xyz0</t>
  </si>
  <si>
    <t>aｱ1ｲbｳ2ｴcｵ</t>
  </si>
  <si>
    <t>Ａあア
亜字</t>
  </si>
  <si>
    <t>Ａあア亜字以</t>
  </si>
  <si>
    <r>
      <rPr>
        <sz val="11"/>
        <color rgb="FF000000"/>
        <rFont val="Noto Sans JP"/>
        <family val="2"/>
        <charset val="128"/>
      </rPr>
      <t>Ａあア亜字以ｱｲｳab</t>
    </r>
    <phoneticPr fontId="0"/>
  </si>
  <si>
    <r>
      <rPr>
        <sz val="11"/>
        <color rgb="FF000000"/>
        <rFont val="Noto Sans JP"/>
        <family val="2"/>
        <charset val="128"/>
      </rPr>
      <t>Ａあアｱｲｳab
亜字</t>
    </r>
    <phoneticPr fontId="0"/>
  </si>
  <si>
    <t>He"hi"ij!</t>
  </si>
  <si>
    <t>it's ok!!</t>
  </si>
  <si>
    <t>a\b\c\d!!</t>
  </si>
  <si>
    <r>
      <rPr>
        <sz val="11"/>
        <color rgb="FF000000"/>
        <rFont val="Noto Sans JP"/>
        <family val="2"/>
        <charset val="128"/>
      </rPr>
      <t>Ａあア亜字以宇江尾甲</t>
    </r>
    <r>
      <rPr>
        <sz val="11"/>
        <color rgb="FF000000"/>
        <rFont val="Calibri"/>
        <family val="2"/>
        <charset val="128"/>
      </rPr>
      <t>a</t>
    </r>
    <phoneticPr fontId="0"/>
  </si>
  <si>
    <t>0</t>
  </si>
  <si>
    <t>abcdefghijklmnopqrstu</t>
  </si>
  <si>
    <t>ｱｲｳｴｵｶｷｸｹｺｻｼｽｾｿﾀﾁﾂﾃﾄ</t>
  </si>
  <si>
    <t>abc123XYZ456def789</t>
  </si>
  <si>
    <t>aｱ1ｲbｳ2ｴcｵ3ｶdｷ4ｸeｹ</t>
  </si>
  <si>
    <t>Ａａ１あいうアイウ亜以宇江尾</t>
  </si>
  <si>
    <t>Ａａ１あいう
アイウ亜以宇
江尾</t>
  </si>
  <si>
    <t>He said "hello world" to me in Japanese "日本語"</t>
  </si>
  <si>
    <t>it's a test, don't worry about it's value</t>
  </si>
  <si>
    <t>C:\path\to\file, D:\data\file\test.txt</t>
  </si>
  <si>
    <r>
      <rPr>
        <sz val="11"/>
        <color rgb="FF000000"/>
        <rFont val="Calibri"/>
        <family val="2"/>
      </rPr>
      <t>\(null)</t>
    </r>
    <phoneticPr fontId="0"/>
  </si>
  <si>
    <r>
      <rPr>
        <sz val="11"/>
        <color rgb="FF000000"/>
        <rFont val="Calibri"/>
        <family val="2"/>
      </rPr>
      <t>\(NULL)</t>
    </r>
    <phoneticPr fontId="0"/>
  </si>
  <si>
    <r>
      <rPr>
        <sz val="11"/>
        <color rgb="FF000000"/>
        <rFont val="Calibri"/>
        <family val="2"/>
      </rPr>
      <t>null</t>
    </r>
    <phoneticPr fontId="0"/>
  </si>
  <si>
    <r>
      <rPr>
        <sz val="11"/>
        <color rgb="FF000000"/>
        <rFont val="Calibri"/>
        <family val="2"/>
      </rPr>
      <t>NULL</t>
    </r>
    <phoneticPr fontId="0"/>
  </si>
  <si>
    <r>
      <rPr>
        <sz val="11"/>
        <color rgb="FF000000"/>
        <rFont val="Calibri"/>
        <family val="2"/>
      </rPr>
      <t>(Null)</t>
    </r>
    <phoneticPr fontId="0"/>
  </si>
  <si>
    <r>
      <rPr>
        <sz val="11"/>
        <color rgb="FF000000"/>
        <rFont val="Calibri"/>
        <family val="2"/>
      </rPr>
      <t>'(null)</t>
    </r>
    <phoneticPr fontId="0"/>
  </si>
  <si>
    <r>
      <rPr>
        <sz val="11"/>
        <color rgb="FF000000"/>
        <rFont val="Calibri"/>
        <family val="2"/>
      </rPr>
      <t>'(null)'</t>
    </r>
    <phoneticPr fontId="0"/>
  </si>
  <si>
    <r>
      <rPr>
        <sz val="11"/>
        <color rgb="FF000000"/>
        <rFont val="Calibri"/>
        <family val="2"/>
      </rPr>
      <t>"(null)</t>
    </r>
    <phoneticPr fontId="0"/>
  </si>
  <si>
    <r>
      <rPr>
        <sz val="11"/>
        <color rgb="FF000000"/>
        <rFont val="Calibri"/>
        <family val="2"/>
      </rPr>
      <t>"(null)"</t>
    </r>
    <phoneticPr fontId="0"/>
  </si>
  <si>
    <t>AAAAAAAAAAAAAAAAAAAAAAAAAAAAAAAAAAAAAAAAAAAAAAAAAAAAAAAAAAAAAAAAAAAAAAAAAAAAAAAAAAAAAAAAAAAAAAAAAAAAAAAAAAAAAAAAAAAAAAAAAAAAAAAAAAAAAAAAAAAAAAAAAAAAAAAAAAAAAAAAAAAAAAAAAAAAAAAAAAAAAAAAAAAAAAAAAAAAAAAAAAAAAAAAAAAAAAAAAAAAAAAAAAAAAAAAAAAAAAAAAAAAAAAAAAAAAAA</t>
  </si>
  <si>
    <t>AAAAAAAAAAAAAAAAAAAAAAAAAAAAAAAAAAAAAAAAAAAAAAAAAAAAAAAAAAAAAAAAAAAAAAAAAAAAAAAAAAAAAAAAAAAAAAAAAAAAAAAAAAAAAAAAAAAAAAAAAAAAAAAAAAAAAAAAAAAAAAAAAAAAAAAAAAAAAAAAAAAAAAAAAAAAAAAAAAAAAAAAAAAAAAAAAAAAAAAAAAAAAAAAAAAAAAAAAAAAAAAAAAAAAAAAAAAAAAAAAAAAAAAAAAAAAAAA</t>
  </si>
  <si>
    <t>A</t>
  </si>
  <si>
    <t>Binary(10)</t>
  </si>
  <si>
    <t>VarBinary(255)</t>
  </si>
  <si>
    <t>\(null)</t>
  </si>
  <si>
    <t>\(NULL)</t>
  </si>
  <si>
    <t>null</t>
  </si>
  <si>
    <t>NULL</t>
  </si>
  <si>
    <t>(Null)</t>
  </si>
  <si>
    <t>"(null)"</t>
  </si>
  <si>
    <t>Ａａ１あいう
アイウ亜以宇江尾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</si>
</sst>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00"/>
    <numFmt numFmtId="177" formatCode="yyyy/mm/dd"/>
    <numFmt numFmtId="178" formatCode="hh:mm:ss"/>
    <numFmt numFmtId="179" formatCode="yyyy/mm/dd\ hh:mm:ss"/>
  </numFmts>
  <fonts count="7" x14ac:knownFonts="1">
    <font>
      <sz val="11"/>
      <color rgb="FF000000"/>
      <name val="Calibri"/>
      <family val="2"/>
    </font>
    <font>
      <sz val="6"/>
      <name val="ＭＳ ゴシック"/>
      <family val="3"/>
      <charset val="128"/>
    </font>
    <font>
      <sz val="11"/>
      <color rgb="FF000000"/>
      <name val="Noto Sans JP"/>
      <family val="2"/>
      <charset val="128"/>
    </font>
    <font>
      <sz val="11"/>
      <color rgb="FF000000"/>
      <name val="Calibri"/>
      <family val="2"/>
      <charset val="128"/>
    </font>
    <font>
      <b/>
      <sz val="11"/>
      <color rgb="FF0000FF"/>
      <name val="Calibri"/>
      <family val="2"/>
    </font>
    <font>
      <sz val="11"/>
      <color rgb="FF000000"/>
      <name val="ＭＳ ゴシック"/>
      <family val="2"/>
      <charset val="128"/>
    </font>
    <font>
      <sz val="11"/>
      <color rgb="FF000000"/>
      <name val="ＭＳ 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2F2F2"/>
      </patternFill>
    </fill>
    <fill>
      <patternFill patternType="solid">
        <fgColor rgb="FFBDD7EE"/>
      </patternFill>
    </fill>
    <fill>
      <patternFill patternType="solid">
        <fgColor rgb="FFC0C0C0"/>
      </patternFill>
    </fill>
    <fill>
      <patternFill patternType="solid">
        <fgColor rgb="FFD9E1F2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0" borderId="0" xfId="0" applyAlignment="1" applyProtection="1">
      <alignment vertical="top"/>
      <protection locked="0"/>
    </xf>
    <xf numFmtId="176" fontId="0" fillId="0" borderId="0" xfId="0" applyNumberFormat="1" applyAlignment="1" applyProtection="1">
      <alignment vertical="top"/>
      <protection locked="0"/>
    </xf>
    <xf numFmtId="49" fontId="0" fillId="0" borderId="0" xfId="0" applyNumberFormat="1" applyAlignment="1" applyProtection="1">
      <alignment vertical="top" wrapText="1"/>
      <protection locked="0"/>
    </xf>
    <xf numFmtId="177" fontId="0" fillId="0" borderId="0" xfId="0" applyNumberFormat="1" applyAlignment="1" applyProtection="1">
      <alignment vertical="top"/>
      <protection locked="0"/>
    </xf>
    <xf numFmtId="178" fontId="0" fillId="0" borderId="0" xfId="0" applyNumberFormat="1" applyAlignment="1" applyProtection="1">
      <alignment vertical="top"/>
      <protection locked="0"/>
    </xf>
    <xf numFmtId="179" fontId="0" fillId="0" borderId="0" xfId="0" applyNumberFormat="1" applyAlignment="1" applyProtection="1">
      <alignment vertical="top"/>
      <protection locked="0"/>
    </xf>
    <xf numFmtId="0" fontId="0" fillId="0" borderId="0" xfId="0" applyAlignment="1">
      <alignment vertical="top"/>
    </xf>
    <xf numFmtId="0" fontId="0" fillId="2" borderId="0" xfId="0" applyFill="1" applyAlignment="1">
      <alignment vertical="top"/>
    </xf>
    <xf numFmtId="176" fontId="0" fillId="0" borderId="0" xfId="0" applyNumberFormat="1" applyAlignment="1">
      <alignment vertical="top"/>
    </xf>
    <xf numFmtId="177" fontId="0" fillId="0" borderId="0" xfId="0" applyNumberFormat="1" applyAlignment="1">
      <alignment vertical="top"/>
    </xf>
    <xf numFmtId="178" fontId="0" fillId="0" borderId="0" xfId="0" applyNumberFormat="1" applyAlignment="1">
      <alignment vertical="top"/>
    </xf>
    <xf numFmtId="179" fontId="0" fillId="0" borderId="0" xfId="0" applyNumberFormat="1" applyAlignment="1">
      <alignment vertical="top"/>
    </xf>
    <xf numFmtId="49" fontId="0" fillId="2" borderId="0" xfId="0" applyNumberFormat="1" applyFill="1" applyAlignment="1">
      <alignment vertical="top" wrapText="1"/>
    </xf>
    <xf numFmtId="0" fontId="0" fillId="4" borderId="0" xfId="0" applyFill="1" applyAlignment="1">
      <alignment vertical="top" wrapText="1"/>
    </xf>
    <xf numFmtId="0" fontId="0" fillId="5" borderId="0" xfId="0" applyFill="1" applyAlignment="1">
      <alignment vertical="top" wrapText="1"/>
    </xf>
    <xf numFmtId="176" fontId="0" fillId="5" borderId="0" xfId="0" applyNumberFormat="1" applyFill="1" applyAlignment="1">
      <alignment vertical="top" wrapText="1"/>
    </xf>
    <xf numFmtId="49" fontId="0" fillId="5" borderId="0" xfId="0" applyNumberFormat="1" applyFill="1" applyAlignment="1">
      <alignment vertical="top" wrapText="1"/>
    </xf>
    <xf numFmtId="177" fontId="0" fillId="5" borderId="0" xfId="0" applyNumberFormat="1" applyFill="1" applyAlignment="1">
      <alignment vertical="top" wrapText="1"/>
    </xf>
    <xf numFmtId="178" fontId="0" fillId="5" borderId="0" xfId="0" applyNumberFormat="1" applyFill="1" applyAlignment="1">
      <alignment vertical="top" wrapText="1"/>
    </xf>
    <xf numFmtId="179" fontId="0" fillId="5" borderId="0" xfId="0" applyNumberFormat="1" applyFill="1" applyAlignment="1">
      <alignment vertical="top" wrapText="1"/>
    </xf>
    <xf numFmtId="0" fontId="0" fillId="5" borderId="0" xfId="0" applyFill="1" applyAlignment="1">
      <alignment vertical="top"/>
    </xf>
    <xf numFmtId="0" fontId="0" fillId="2" borderId="0" xfId="0" applyFill="1" applyAlignment="1" applyProtection="1">
      <alignment vertical="top"/>
      <protection locked="0"/>
    </xf>
    <xf numFmtId="0" fontId="0" fillId="4" borderId="0" xfId="0" applyFill="1" applyAlignment="1" applyProtection="1">
      <alignment vertical="top"/>
      <protection locked="0"/>
    </xf>
    <xf numFmtId="0" fontId="0" fillId="5" borderId="0" xfId="0" applyFill="1" applyAlignment="1" applyProtection="1">
      <alignment vertical="top"/>
      <protection locked="0"/>
    </xf>
    <xf numFmtId="176" fontId="0" fillId="5" borderId="0" xfId="0" applyNumberFormat="1" applyFill="1" applyAlignment="1" applyProtection="1">
      <alignment vertical="top"/>
      <protection locked="0"/>
    </xf>
    <xf numFmtId="49" fontId="0" fillId="5" borderId="0" xfId="0" applyNumberFormat="1" applyFill="1" applyAlignment="1" applyProtection="1">
      <alignment vertical="top" wrapText="1"/>
      <protection locked="0"/>
    </xf>
    <xf numFmtId="177" fontId="0" fillId="5" borderId="0" xfId="0" applyNumberFormat="1" applyFill="1" applyAlignment="1" applyProtection="1">
      <alignment vertical="top"/>
      <protection locked="0"/>
    </xf>
    <xf numFmtId="178" fontId="0" fillId="5" borderId="0" xfId="0" applyNumberFormat="1" applyFill="1" applyAlignment="1" applyProtection="1">
      <alignment vertical="top"/>
      <protection locked="0"/>
    </xf>
    <xf numFmtId="179" fontId="0" fillId="5" borderId="0" xfId="0" applyNumberFormat="1" applyFill="1" applyAlignment="1" applyProtection="1">
      <alignment vertical="top"/>
      <protection locked="0"/>
    </xf>
    <xf numFmtId="0" fontId="0" fillId="6" borderId="0" xfId="0" applyFill="1" applyAlignment="1" applyProtection="1">
      <alignment vertical="top"/>
      <protection locked="0"/>
    </xf>
    <xf numFmtId="0" fontId="0" fillId="0" borderId="0" xfId="0" applyAlignment="1" applyProtection="1">
      <alignment vertical="top" wrapText="1"/>
      <protection locked="0"/>
    </xf>
    <xf numFmtId="0" fontId="0" fillId="3" borderId="0" xfId="0" applyFill="1" applyAlignment="1">
      <alignment vertical="top"/>
    </xf>
    <xf numFmtId="49" fontId="0" fillId="0" borderId="0" xfId="0" applyNumberFormat="1" applyAlignment="1">
      <alignment vertical="top"/>
    </xf>
    <xf numFmtId="49" fontId="0" fillId="2" borderId="0" xfId="0" applyNumberFormat="1" applyFill="1" applyAlignment="1">
      <alignment vertical="top"/>
    </xf>
    <xf numFmtId="0" fontId="0" fillId="4" borderId="0" xfId="0" applyFill="1" applyAlignment="1">
      <alignment vertical="top"/>
    </xf>
    <xf numFmtId="176" fontId="0" fillId="5" borderId="0" xfId="0" applyNumberFormat="1" applyFill="1" applyAlignment="1">
      <alignment vertical="top"/>
    </xf>
    <xf numFmtId="49" fontId="0" fillId="5" borderId="0" xfId="0" applyNumberFormat="1" applyFill="1" applyAlignment="1">
      <alignment vertical="top"/>
    </xf>
    <xf numFmtId="177" fontId="0" fillId="5" borderId="0" xfId="0" applyNumberFormat="1" applyFill="1" applyAlignment="1">
      <alignment vertical="top"/>
    </xf>
    <xf numFmtId="178" fontId="0" fillId="5" borderId="0" xfId="0" applyNumberFormat="1" applyFill="1" applyAlignment="1">
      <alignment vertical="top"/>
    </xf>
    <xf numFmtId="179" fontId="0" fillId="5" borderId="0" xfId="0" applyNumberFormat="1" applyFill="1" applyAlignment="1">
      <alignment vertical="top"/>
    </xf>
    <xf numFmtId="0" fontId="0" fillId="0" borderId="0" xfId="0" applyAlignment="1">
      <alignment vertical="center"/>
    </xf>
    <xf numFmtId="0" fontId="0" fillId="0" borderId="0" xfId="0" applyAlignment="1" applyProtection="1">
      <alignment vertical="center"/>
      <protection locked="0"/>
    </xf>
    <xf numFmtId="0" fontId="0" fillId="6" borderId="0" xfId="0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0" fillId="0" borderId="0" xfId="0" applyAlignment="1">
      <alignment vertical="top" wrapText="1"/>
    </xf>
    <xf numFmtId="0" fontId="0" fillId="8" borderId="0" xfId="0" applyFill="1" applyAlignment="1">
      <alignment vertical="top"/>
    </xf>
    <xf numFmtId="0" fontId="0" fillId="8" borderId="0" xfId="0" applyFill="1" applyAlignment="1" applyProtection="1">
      <alignment vertical="top"/>
      <protection locked="0"/>
    </xf>
    <xf numFmtId="0" fontId="0" fillId="8" borderId="0" xfId="0" applyFill="1" applyAlignment="1">
      <alignment vertical="top" wrapText="1"/>
    </xf>
    <xf numFmtId="0" fontId="0" fillId="8" borderId="0" xfId="0" quotePrefix="1" applyFill="1" applyAlignment="1">
      <alignment vertical="top" wrapText="1"/>
    </xf>
    <xf numFmtId="0" fontId="4" fillId="0" borderId="0" xfId="0" applyFont="1" applyAlignment="1" applyProtection="1">
      <alignment vertical="top"/>
      <protection locked="0"/>
    </xf>
    <xf numFmtId="0" fontId="4" fillId="0" borderId="0" xfId="0" applyFont="1" applyAlignment="1" applyProtection="1">
      <alignment vertical="top" wrapText="1"/>
      <protection locked="0"/>
    </xf>
    <xf numFmtId="0" fontId="3" fillId="0" borderId="0" xfId="0" applyFont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1" xfId="0" applyBorder="1" applyAlignment="1" applyProtection="1">
      <alignment vertical="top"/>
      <protection locked="0"/>
    </xf>
    <xf numFmtId="0" fontId="0" fillId="0" borderId="1" xfId="0" applyBorder="1" applyAlignment="1">
      <alignment vertical="top" wrapText="1"/>
    </xf>
    <xf numFmtId="0" fontId="4" fillId="0" borderId="1" xfId="0" applyFont="1" applyBorder="1" applyAlignment="1" applyProtection="1">
      <alignment vertical="top"/>
      <protection locked="0"/>
    </xf>
    <xf numFmtId="0" fontId="0" fillId="0" borderId="1" xfId="0" applyBorder="1" applyAlignment="1">
      <alignment vertical="center"/>
    </xf>
    <xf numFmtId="0" fontId="0" fillId="0" borderId="1" xfId="0" applyBorder="1" applyAlignment="1" applyProtection="1">
      <alignment vertical="top" wrapText="1"/>
      <protection locked="0"/>
    </xf>
    <xf numFmtId="0" fontId="0" fillId="0" borderId="2" xfId="0" applyBorder="1" applyAlignment="1" applyProtection="1">
      <alignment vertical="top"/>
      <protection locked="0"/>
    </xf>
    <xf numFmtId="176" fontId="0" fillId="0" borderId="2" xfId="0" applyNumberFormat="1" applyBorder="1" applyAlignment="1" applyProtection="1">
      <alignment vertical="top"/>
      <protection locked="0"/>
    </xf>
    <xf numFmtId="49" fontId="0" fillId="0" borderId="2" xfId="0" applyNumberFormat="1" applyBorder="1" applyAlignment="1" applyProtection="1">
      <alignment vertical="top" wrapText="1"/>
      <protection locked="0"/>
    </xf>
    <xf numFmtId="177" fontId="0" fillId="0" borderId="2" xfId="0" applyNumberFormat="1" applyBorder="1" applyAlignment="1" applyProtection="1">
      <alignment vertical="top"/>
      <protection locked="0"/>
    </xf>
    <xf numFmtId="178" fontId="0" fillId="0" borderId="2" xfId="0" applyNumberFormat="1" applyBorder="1" applyAlignment="1" applyProtection="1">
      <alignment vertical="top"/>
      <protection locked="0"/>
    </xf>
    <xf numFmtId="179" fontId="0" fillId="0" borderId="2" xfId="0" applyNumberFormat="1" applyBorder="1" applyAlignment="1" applyProtection="1">
      <alignment vertical="top"/>
      <protection locked="0"/>
    </xf>
    <xf numFmtId="0" fontId="0" fillId="0" borderId="2" xfId="0" applyBorder="1" applyAlignment="1" applyProtection="1">
      <alignment vertical="center"/>
      <protection locked="0"/>
    </xf>
    <xf numFmtId="49" fontId="5" fillId="0" borderId="0" xfId="0" applyNumberFormat="1" applyFont="1" applyAlignment="1" applyProtection="1">
      <alignment vertical="top" wrapText="1"/>
      <protection locked="0"/>
    </xf>
    <xf numFmtId="0" fontId="0" fillId="0" borderId="2" xfId="0" applyBorder="1" applyAlignment="1" applyProtection="1">
      <alignment vertical="top" wrapText="1"/>
      <protection locked="0"/>
    </xf>
    <xf numFmtId="0" fontId="0" fillId="0" borderId="0" xfId="0" applyFill="1" applyAlignment="1">
      <alignment vertical="top"/>
    </xf>
    <xf numFmtId="0" fontId="0" fillId="0" borderId="0" xfId="0" applyFill="1" applyAlignment="1" applyProtection="1">
      <alignment vertical="top"/>
      <protection locked="0"/>
    </xf>
    <xf numFmtId="0" fontId="0" fillId="0" borderId="0" xfId="0" applyFill="1" applyAlignment="1">
      <alignment vertical="top" wrapText="1"/>
    </xf>
    <xf numFmtId="0" fontId="2" fillId="0" borderId="0" xfId="0" applyFont="1" applyFill="1" applyAlignment="1">
      <alignment vertical="top" wrapText="1"/>
    </xf>
    <xf numFmtId="0" fontId="4" fillId="0" borderId="0" xfId="0" applyFont="1" applyFill="1" applyAlignment="1" applyProtection="1">
      <alignment vertical="top"/>
      <protection locked="0"/>
    </xf>
    <xf numFmtId="0" fontId="0" fillId="0" borderId="0" xfId="0" applyFill="1" applyAlignment="1">
      <alignment vertical="center"/>
    </xf>
    <xf numFmtId="0" fontId="0" fillId="0" borderId="0" xfId="0" applyFill="1" applyAlignment="1" applyProtection="1">
      <alignment vertical="top" wrapText="1"/>
      <protection locked="0"/>
    </xf>
    <xf numFmtId="0" fontId="6" fillId="0" borderId="0" xfId="0" applyFont="1" applyAlignment="1">
      <alignment vertical="top" wrapText="1"/>
    </xf>
  </cellXfs>
  <cellStyles count="1">
    <cellStyle name="標準" xfId="0" builtinId="0"/>
  </cellStyles>
  <dxfs count="10">
    <dxf>
      <font>
        <color theme="0" tint="-0.14996795556505021"/>
      </font>
    </dxf>
    <dxf>
      <font>
        <color theme="0"/>
      </font>
      <fill>
        <patternFill patternType="solid">
          <fgColor auto="1"/>
          <bgColor rgb="FFFF0000"/>
        </patternFill>
      </fill>
    </dxf>
    <dxf>
      <font>
        <color theme="0" tint="-0.24994659260841701"/>
      </font>
    </dxf>
    <dxf>
      <fill>
        <patternFill patternType="solid">
          <fgColor auto="1"/>
          <bgColor rgb="FFFFC000"/>
        </patternFill>
      </fill>
    </dxf>
    <dxf>
      <font>
        <color theme="0" tint="-0.34998626667073579"/>
      </font>
    </dxf>
    <dxf>
      <fill>
        <patternFill patternType="solid">
          <fgColor auto="1"/>
          <bgColor theme="9" tint="0.39994506668294322"/>
        </patternFill>
      </fill>
    </dxf>
    <dxf>
      <fill>
        <patternFill patternType="solid">
          <fgColor auto="1"/>
          <bgColor rgb="FFFFFF99"/>
        </patternFill>
      </fill>
    </dxf>
    <dxf>
      <fill>
        <patternFill patternType="solid">
          <fgColor auto="1"/>
          <bgColor rgb="FFDDEBF7"/>
        </patternFill>
      </fill>
    </dxf>
    <dxf>
      <fill>
        <patternFill patternType="solid">
          <fgColor auto="1"/>
          <bgColor rgb="FFCCFF99"/>
        </patternFill>
      </fill>
    </dxf>
    <dxf>
      <fill>
        <patternFill patternType="solid">
          <fgColor auto="1"/>
          <bgColor rgb="FFBDD7EE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93"/>
  <sheetViews>
    <sheetView tabSelected="1" zoomScale="85" zoomScaleNormal="85" workbookViewId="0">
      <pane xSplit="2076" ySplit="2520" topLeftCell="B8" activePane="bottomRight"/>
      <selection pane="topRight"/>
      <selection pane="bottomLeft" activeCell="A15" sqref="A15:XFD17"/>
      <selection pane="bottomRight" activeCell="N22" sqref="N22"/>
    </sheetView>
  </sheetViews>
  <sheetFormatPr defaultColWidth="9.21875" defaultRowHeight="14.4" outlineLevelCol="1" x14ac:dyDescent="0.3"/>
  <cols>
    <col min="1" max="1" width="18.77734375" style="1" customWidth="1"/>
    <col min="2" max="2" width="22.77734375" style="1" customWidth="1"/>
    <col min="3" max="5" width="14.77734375" style="1" hidden="1" customWidth="1" outlineLevel="1"/>
    <col min="6" max="6" width="16.77734375" style="1" hidden="1" customWidth="1" outlineLevel="1"/>
    <col min="7" max="8" width="28.77734375" style="2" hidden="1" customWidth="1" outlineLevel="1"/>
    <col min="9" max="10" width="14.77734375" style="1" hidden="1" customWidth="1" outlineLevel="1"/>
    <col min="11" max="11" width="16.77734375" style="3" customWidth="1" collapsed="1"/>
    <col min="12" max="12" width="21.33203125" style="3" customWidth="1"/>
    <col min="13" max="13" width="70" style="3" customWidth="1"/>
    <col min="14" max="14" width="85.5546875" style="3" customWidth="1"/>
    <col min="15" max="15" width="14.77734375" style="4" customWidth="1" outlineLevel="1"/>
    <col min="16" max="16" width="14.77734375" style="5" customWidth="1" outlineLevel="1"/>
    <col min="17" max="18" width="22.77734375" style="6" customWidth="1" outlineLevel="1"/>
    <col min="19" max="19" width="14.77734375" style="1" customWidth="1" outlineLevel="1"/>
    <col min="20" max="21" width="50.77734375" style="3" customWidth="1" outlineLevel="1"/>
    <col min="22" max="22" width="36.77734375" style="3" customWidth="1" outlineLevel="1"/>
    <col min="23" max="23" width="50.77734375" style="3" customWidth="1" outlineLevel="1"/>
    <col min="24" max="24" width="10.77734375" style="1" customWidth="1"/>
    <col min="25" max="25" width="48.77734375" style="1" customWidth="1"/>
    <col min="26" max="26" width="2.77734375" style="1" customWidth="1"/>
    <col min="27" max="29" width="10.77734375" style="42" customWidth="1"/>
    <col min="30" max="30" width="55.5546875" style="1" customWidth="1"/>
    <col min="31" max="31" width="9.21875" style="1" customWidth="1"/>
    <col min="32" max="16384" width="9.21875" style="1"/>
  </cols>
  <sheetData>
    <row r="1" spans="1:30" s="7" customFormat="1" x14ac:dyDescent="0.3">
      <c r="A1" s="8" t="s">
        <v>0</v>
      </c>
      <c r="B1" s="32" t="s">
        <v>1</v>
      </c>
      <c r="C1" s="8" t="s">
        <v>2</v>
      </c>
      <c r="D1" s="32" t="s">
        <v>3</v>
      </c>
      <c r="G1" s="9"/>
      <c r="H1" s="9"/>
      <c r="K1" s="33"/>
      <c r="L1" s="33"/>
      <c r="M1" s="33"/>
      <c r="N1" s="33"/>
      <c r="O1" s="10"/>
      <c r="P1" s="11"/>
      <c r="Q1" s="12"/>
      <c r="R1" s="12"/>
      <c r="T1" s="33"/>
      <c r="U1" s="33"/>
      <c r="V1" s="33"/>
      <c r="W1" s="33"/>
      <c r="AA1" s="41"/>
      <c r="AB1" s="41"/>
      <c r="AC1" s="41"/>
    </row>
    <row r="2" spans="1:30" s="7" customFormat="1" x14ac:dyDescent="0.3">
      <c r="A2" s="8" t="s">
        <v>4</v>
      </c>
      <c r="B2" s="52"/>
      <c r="G2" s="9"/>
      <c r="H2" s="9"/>
      <c r="K2" s="33"/>
      <c r="L2" s="33"/>
      <c r="M2" s="33"/>
      <c r="N2" s="33"/>
      <c r="O2" s="10"/>
      <c r="P2" s="11"/>
      <c r="Q2" s="12"/>
      <c r="R2" s="12"/>
      <c r="T2" s="33"/>
      <c r="U2" s="33"/>
      <c r="V2" s="33"/>
      <c r="W2" s="33"/>
      <c r="AA2" s="41"/>
      <c r="AB2" s="41"/>
      <c r="AC2" s="41"/>
    </row>
    <row r="3" spans="1:30" s="7" customFormat="1" x14ac:dyDescent="0.3">
      <c r="A3" s="34" t="s">
        <v>5</v>
      </c>
      <c r="B3" s="35" t="s">
        <v>6</v>
      </c>
      <c r="C3" s="21" t="s">
        <v>7</v>
      </c>
      <c r="D3" s="21" t="s">
        <v>8</v>
      </c>
      <c r="E3" s="21" t="s">
        <v>9</v>
      </c>
      <c r="F3" s="21" t="s">
        <v>10</v>
      </c>
      <c r="G3" s="36" t="s">
        <v>11</v>
      </c>
      <c r="H3" s="36" t="s">
        <v>12</v>
      </c>
      <c r="I3" s="21" t="s">
        <v>13</v>
      </c>
      <c r="J3" s="21" t="s">
        <v>14</v>
      </c>
      <c r="K3" s="37" t="s">
        <v>15</v>
      </c>
      <c r="L3" s="37" t="s">
        <v>16</v>
      </c>
      <c r="M3" s="37" t="s">
        <v>17</v>
      </c>
      <c r="N3" s="37" t="s">
        <v>18</v>
      </c>
      <c r="O3" s="38" t="s">
        <v>19</v>
      </c>
      <c r="P3" s="39" t="s">
        <v>20</v>
      </c>
      <c r="Q3" s="40" t="s">
        <v>21</v>
      </c>
      <c r="R3" s="40" t="s">
        <v>22</v>
      </c>
      <c r="S3" s="21" t="s">
        <v>23</v>
      </c>
      <c r="T3" s="37" t="s">
        <v>24</v>
      </c>
      <c r="U3" s="37" t="s">
        <v>25</v>
      </c>
      <c r="V3" s="37" t="s">
        <v>26</v>
      </c>
      <c r="W3" s="37" t="s">
        <v>27</v>
      </c>
      <c r="X3" s="37" t="s">
        <v>28</v>
      </c>
      <c r="Y3" s="37" t="s">
        <v>29</v>
      </c>
      <c r="AA3" s="41"/>
      <c r="AB3" s="41"/>
      <c r="AC3" s="41"/>
    </row>
    <row r="4" spans="1:30" s="7" customFormat="1" x14ac:dyDescent="0.3">
      <c r="A4" s="34" t="s">
        <v>30</v>
      </c>
      <c r="B4" s="35" t="s">
        <v>31</v>
      </c>
      <c r="C4" s="21" t="s">
        <v>32</v>
      </c>
      <c r="D4" s="21" t="s">
        <v>33</v>
      </c>
      <c r="E4" s="21" t="s">
        <v>34</v>
      </c>
      <c r="F4" s="21" t="s">
        <v>35</v>
      </c>
      <c r="G4" s="36" t="s">
        <v>36</v>
      </c>
      <c r="H4" s="36" t="s">
        <v>37</v>
      </c>
      <c r="I4" s="21" t="s">
        <v>38</v>
      </c>
      <c r="J4" s="21" t="s">
        <v>39</v>
      </c>
      <c r="K4" s="37" t="s">
        <v>40</v>
      </c>
      <c r="L4" s="37" t="s">
        <v>41</v>
      </c>
      <c r="M4" s="37" t="s">
        <v>42</v>
      </c>
      <c r="N4" s="37" t="s">
        <v>43</v>
      </c>
      <c r="O4" s="38" t="s">
        <v>44</v>
      </c>
      <c r="P4" s="39" t="s">
        <v>45</v>
      </c>
      <c r="Q4" s="40" t="s">
        <v>46</v>
      </c>
      <c r="R4" s="40" t="s">
        <v>47</v>
      </c>
      <c r="S4" s="21" t="s">
        <v>48</v>
      </c>
      <c r="T4" s="37" t="s">
        <v>49</v>
      </c>
      <c r="U4" s="37" t="s">
        <v>50</v>
      </c>
      <c r="V4" s="37" t="s">
        <v>51</v>
      </c>
      <c r="W4" s="37" t="s">
        <v>52</v>
      </c>
      <c r="X4" s="21"/>
      <c r="Y4" s="21"/>
      <c r="AA4" s="41"/>
      <c r="AB4" s="41"/>
      <c r="AC4" s="41"/>
    </row>
    <row r="5" spans="1:30" s="7" customFormat="1" x14ac:dyDescent="0.3">
      <c r="A5" s="13" t="s">
        <v>53</v>
      </c>
      <c r="B5" s="14" t="s">
        <v>54</v>
      </c>
      <c r="C5" s="15" t="s">
        <v>55</v>
      </c>
      <c r="D5" s="15" t="s">
        <v>56</v>
      </c>
      <c r="E5" s="15" t="s">
        <v>54</v>
      </c>
      <c r="F5" s="15" t="s">
        <v>57</v>
      </c>
      <c r="G5" s="16" t="s">
        <v>58</v>
      </c>
      <c r="H5" s="16" t="s">
        <v>58</v>
      </c>
      <c r="I5" s="15" t="s">
        <v>59</v>
      </c>
      <c r="J5" s="15" t="s">
        <v>60</v>
      </c>
      <c r="K5" s="17" t="s">
        <v>61</v>
      </c>
      <c r="L5" s="17" t="s">
        <v>62</v>
      </c>
      <c r="M5" s="17" t="s">
        <v>63</v>
      </c>
      <c r="N5" s="17" t="s">
        <v>64</v>
      </c>
      <c r="O5" s="18" t="s">
        <v>65</v>
      </c>
      <c r="P5" s="19" t="s">
        <v>66</v>
      </c>
      <c r="Q5" s="20" t="s">
        <v>67</v>
      </c>
      <c r="R5" s="20" t="s">
        <v>68</v>
      </c>
      <c r="S5" s="15" t="s">
        <v>69</v>
      </c>
      <c r="T5" s="17" t="s">
        <v>118</v>
      </c>
      <c r="U5" s="17" t="s">
        <v>119</v>
      </c>
      <c r="V5" s="17" t="s">
        <v>70</v>
      </c>
      <c r="W5" s="17" t="s">
        <v>71</v>
      </c>
      <c r="X5" s="21"/>
      <c r="Y5" s="21"/>
      <c r="AA5" s="41"/>
      <c r="AB5" s="41"/>
      <c r="AC5" s="41"/>
    </row>
    <row r="6" spans="1:30" s="7" customFormat="1" x14ac:dyDescent="0.3">
      <c r="A6" s="8" t="s">
        <v>72</v>
      </c>
      <c r="B6" s="14" t="s">
        <v>73</v>
      </c>
      <c r="C6" s="15" t="s">
        <v>74</v>
      </c>
      <c r="D6" s="15" t="s">
        <v>74</v>
      </c>
      <c r="E6" s="15" t="s">
        <v>74</v>
      </c>
      <c r="F6" s="15" t="s">
        <v>74</v>
      </c>
      <c r="G6" s="16" t="s">
        <v>74</v>
      </c>
      <c r="H6" s="16" t="s">
        <v>74</v>
      </c>
      <c r="I6" s="15" t="s">
        <v>74</v>
      </c>
      <c r="J6" s="15" t="s">
        <v>74</v>
      </c>
      <c r="K6" s="17" t="s">
        <v>74</v>
      </c>
      <c r="L6" s="17" t="s">
        <v>74</v>
      </c>
      <c r="M6" s="17" t="s">
        <v>74</v>
      </c>
      <c r="N6" s="17" t="s">
        <v>74</v>
      </c>
      <c r="O6" s="18" t="s">
        <v>74</v>
      </c>
      <c r="P6" s="19" t="s">
        <v>74</v>
      </c>
      <c r="Q6" s="20" t="s">
        <v>74</v>
      </c>
      <c r="R6" s="20" t="s">
        <v>74</v>
      </c>
      <c r="S6" s="15" t="s">
        <v>74</v>
      </c>
      <c r="T6" s="17" t="s">
        <v>74</v>
      </c>
      <c r="U6" s="17" t="s">
        <v>74</v>
      </c>
      <c r="V6" s="17" t="s">
        <v>74</v>
      </c>
      <c r="W6" s="17" t="s">
        <v>74</v>
      </c>
      <c r="X6" s="21"/>
      <c r="Y6" s="21"/>
      <c r="AA6" s="41"/>
      <c r="AB6" s="41"/>
      <c r="AC6" s="41"/>
    </row>
    <row r="7" spans="1:30" ht="18" x14ac:dyDescent="0.3">
      <c r="A7" s="22" t="s">
        <v>75</v>
      </c>
      <c r="B7" s="23" t="s">
        <v>76</v>
      </c>
      <c r="C7" s="24" t="s">
        <v>76</v>
      </c>
      <c r="D7" s="24" t="s">
        <v>76</v>
      </c>
      <c r="E7" s="24" t="s">
        <v>76</v>
      </c>
      <c r="F7" s="24" t="s">
        <v>76</v>
      </c>
      <c r="G7" s="25" t="s">
        <v>76</v>
      </c>
      <c r="H7" s="25" t="s">
        <v>76</v>
      </c>
      <c r="I7" s="24" t="s">
        <v>76</v>
      </c>
      <c r="J7" s="24" t="s">
        <v>76</v>
      </c>
      <c r="K7" s="26" t="s">
        <v>76</v>
      </c>
      <c r="L7" s="26" t="s">
        <v>76</v>
      </c>
      <c r="M7" s="26" t="s">
        <v>76</v>
      </c>
      <c r="N7" s="26" t="s">
        <v>76</v>
      </c>
      <c r="O7" s="27" t="s">
        <v>76</v>
      </c>
      <c r="P7" s="28" t="s">
        <v>76</v>
      </c>
      <c r="Q7" s="29" t="s">
        <v>76</v>
      </c>
      <c r="R7" s="29" t="s">
        <v>76</v>
      </c>
      <c r="S7" s="24" t="s">
        <v>76</v>
      </c>
      <c r="T7" s="26" t="s">
        <v>76</v>
      </c>
      <c r="U7" s="26" t="s">
        <v>76</v>
      </c>
      <c r="V7" s="26" t="s">
        <v>76</v>
      </c>
      <c r="W7" s="26" t="s">
        <v>76</v>
      </c>
      <c r="X7" s="30"/>
      <c r="Y7" s="30"/>
      <c r="AA7" s="43" t="s">
        <v>78</v>
      </c>
      <c r="AB7" s="44" t="s">
        <v>79</v>
      </c>
      <c r="AC7" s="44" t="s">
        <v>80</v>
      </c>
      <c r="AD7" s="45" t="s">
        <v>77</v>
      </c>
    </row>
    <row r="8" spans="1:30" x14ac:dyDescent="0.3">
      <c r="A8" s="7"/>
      <c r="B8" s="1">
        <f t="shared" ref="B8:B21" si="0">100+ROW(B8)-7</f>
        <v>101</v>
      </c>
      <c r="C8" s="7" t="s">
        <v>81</v>
      </c>
      <c r="D8" s="7" t="s">
        <v>81</v>
      </c>
      <c r="E8" s="7" t="s">
        <v>81</v>
      </c>
      <c r="F8" s="7" t="s">
        <v>81</v>
      </c>
      <c r="G8" s="7" t="s">
        <v>81</v>
      </c>
      <c r="H8" s="7" t="s">
        <v>81</v>
      </c>
      <c r="I8" s="7" t="s">
        <v>81</v>
      </c>
      <c r="J8" s="7" t="s">
        <v>81</v>
      </c>
      <c r="K8" s="46" t="s">
        <v>81</v>
      </c>
      <c r="L8" s="46" t="s">
        <v>82</v>
      </c>
      <c r="M8" s="46" t="s">
        <v>97</v>
      </c>
      <c r="N8" s="46" t="s">
        <v>96</v>
      </c>
      <c r="O8" s="7" t="s">
        <v>81</v>
      </c>
      <c r="P8" s="7" t="s">
        <v>81</v>
      </c>
      <c r="Q8" s="7" t="s">
        <v>81</v>
      </c>
      <c r="R8" s="7" t="s">
        <v>81</v>
      </c>
      <c r="S8" s="7" t="s">
        <v>81</v>
      </c>
      <c r="T8" s="7" t="s">
        <v>81</v>
      </c>
      <c r="U8" s="7" t="s">
        <v>81</v>
      </c>
      <c r="V8" s="7" t="s">
        <v>81</v>
      </c>
      <c r="W8" s="7" t="s">
        <v>81</v>
      </c>
      <c r="X8" s="51"/>
      <c r="Y8" s="1" t="s">
        <v>83</v>
      </c>
      <c r="AA8" s="41" t="b">
        <f t="shared" ref="AA8:AA21" si="1">NOT(ISERROR(FIND("エラー",A8, 1)))</f>
        <v>0</v>
      </c>
      <c r="AB8" s="41" t="str">
        <f t="shared" ref="AB8:AB21" si="2">IF(X8&lt;&gt;"", NOT(X8), "")</f>
        <v/>
      </c>
      <c r="AC8" s="41" t="str">
        <f t="shared" ref="AC8:AC21" si="3">IF(AND(AA8&lt;&gt;"", AB8&lt;&gt;""), AA8&lt;&gt;AB8, "")</f>
        <v/>
      </c>
      <c r="AD8" s="31"/>
    </row>
    <row r="9" spans="1:30" x14ac:dyDescent="0.3">
      <c r="A9" s="7"/>
      <c r="B9" s="1">
        <f t="shared" si="0"/>
        <v>102</v>
      </c>
      <c r="C9" s="7" t="s">
        <v>81</v>
      </c>
      <c r="D9" s="7" t="s">
        <v>81</v>
      </c>
      <c r="E9" s="7" t="s">
        <v>81</v>
      </c>
      <c r="F9" s="7" t="s">
        <v>81</v>
      </c>
      <c r="G9" s="7" t="s">
        <v>81</v>
      </c>
      <c r="H9" s="7" t="s">
        <v>81</v>
      </c>
      <c r="I9" s="7" t="s">
        <v>81</v>
      </c>
      <c r="J9" s="7" t="s">
        <v>81</v>
      </c>
      <c r="K9" s="46" t="s">
        <v>81</v>
      </c>
      <c r="L9" s="46" t="s">
        <v>84</v>
      </c>
      <c r="M9" s="46" t="s">
        <v>98</v>
      </c>
      <c r="N9" s="46" t="s">
        <v>97</v>
      </c>
      <c r="O9" s="7" t="s">
        <v>81</v>
      </c>
      <c r="P9" s="7" t="s">
        <v>81</v>
      </c>
      <c r="Q9" s="7" t="s">
        <v>81</v>
      </c>
      <c r="R9" s="7" t="s">
        <v>81</v>
      </c>
      <c r="S9" s="7" t="s">
        <v>81</v>
      </c>
      <c r="T9" s="7" t="s">
        <v>81</v>
      </c>
      <c r="U9" s="7" t="s">
        <v>81</v>
      </c>
      <c r="V9" s="7" t="s">
        <v>81</v>
      </c>
      <c r="W9" s="7" t="s">
        <v>81</v>
      </c>
      <c r="X9" s="51"/>
      <c r="Y9" s="1" t="s">
        <v>83</v>
      </c>
      <c r="AA9" s="41" t="b">
        <f t="shared" si="1"/>
        <v>0</v>
      </c>
      <c r="AB9" s="41" t="str">
        <f t="shared" si="2"/>
        <v/>
      </c>
      <c r="AC9" s="41" t="str">
        <f t="shared" si="3"/>
        <v/>
      </c>
      <c r="AD9" s="31"/>
    </row>
    <row r="10" spans="1:30" x14ac:dyDescent="0.3">
      <c r="A10" s="7"/>
      <c r="B10" s="1">
        <f t="shared" si="0"/>
        <v>103</v>
      </c>
      <c r="C10" s="7" t="s">
        <v>81</v>
      </c>
      <c r="D10" s="7" t="s">
        <v>81</v>
      </c>
      <c r="E10" s="7" t="s">
        <v>81</v>
      </c>
      <c r="F10" s="7" t="s">
        <v>81</v>
      </c>
      <c r="G10" s="7" t="s">
        <v>81</v>
      </c>
      <c r="H10" s="7" t="s">
        <v>81</v>
      </c>
      <c r="I10" s="7" t="s">
        <v>81</v>
      </c>
      <c r="J10" s="7" t="s">
        <v>81</v>
      </c>
      <c r="K10" s="46" t="s">
        <v>81</v>
      </c>
      <c r="L10" s="46" t="s">
        <v>85</v>
      </c>
      <c r="M10" s="46" t="s">
        <v>99</v>
      </c>
      <c r="N10" s="46" t="s">
        <v>98</v>
      </c>
      <c r="O10" s="7" t="s">
        <v>81</v>
      </c>
      <c r="P10" s="7" t="s">
        <v>81</v>
      </c>
      <c r="Q10" s="7" t="s">
        <v>81</v>
      </c>
      <c r="R10" s="7" t="s">
        <v>81</v>
      </c>
      <c r="S10" s="7" t="s">
        <v>81</v>
      </c>
      <c r="T10" s="7" t="s">
        <v>81</v>
      </c>
      <c r="U10" s="7" t="s">
        <v>81</v>
      </c>
      <c r="V10" s="7" t="s">
        <v>81</v>
      </c>
      <c r="W10" s="7" t="s">
        <v>81</v>
      </c>
      <c r="X10" s="51"/>
      <c r="Y10" s="1" t="s">
        <v>83</v>
      </c>
      <c r="AA10" s="41" t="b">
        <f t="shared" si="1"/>
        <v>0</v>
      </c>
      <c r="AB10" s="41" t="str">
        <f t="shared" si="2"/>
        <v/>
      </c>
      <c r="AC10" s="41" t="str">
        <f t="shared" si="3"/>
        <v/>
      </c>
      <c r="AD10" s="31"/>
    </row>
    <row r="11" spans="1:30" x14ac:dyDescent="0.3">
      <c r="A11" s="7"/>
      <c r="B11" s="1">
        <f t="shared" si="0"/>
        <v>104</v>
      </c>
      <c r="C11" s="7" t="s">
        <v>81</v>
      </c>
      <c r="D11" s="7" t="s">
        <v>81</v>
      </c>
      <c r="E11" s="7" t="s">
        <v>81</v>
      </c>
      <c r="F11" s="7" t="s">
        <v>81</v>
      </c>
      <c r="G11" s="7" t="s">
        <v>81</v>
      </c>
      <c r="H11" s="7" t="s">
        <v>81</v>
      </c>
      <c r="I11" s="7" t="s">
        <v>81</v>
      </c>
      <c r="J11" s="7" t="s">
        <v>81</v>
      </c>
      <c r="K11" s="46" t="s">
        <v>81</v>
      </c>
      <c r="L11" s="46" t="s">
        <v>86</v>
      </c>
      <c r="M11" s="46" t="s">
        <v>100</v>
      </c>
      <c r="N11" s="46" t="s">
        <v>99</v>
      </c>
      <c r="O11" s="7" t="s">
        <v>81</v>
      </c>
      <c r="P11" s="7" t="s">
        <v>81</v>
      </c>
      <c r="Q11" s="7" t="s">
        <v>81</v>
      </c>
      <c r="R11" s="7" t="s">
        <v>81</v>
      </c>
      <c r="S11" s="7" t="s">
        <v>81</v>
      </c>
      <c r="T11" s="7" t="s">
        <v>81</v>
      </c>
      <c r="U11" s="7" t="s">
        <v>81</v>
      </c>
      <c r="V11" s="7" t="s">
        <v>81</v>
      </c>
      <c r="W11" s="7" t="s">
        <v>81</v>
      </c>
      <c r="X11" s="51"/>
      <c r="Y11" s="1" t="s">
        <v>83</v>
      </c>
      <c r="AA11" s="41" t="b">
        <f t="shared" si="1"/>
        <v>0</v>
      </c>
      <c r="AB11" s="41" t="str">
        <f t="shared" si="2"/>
        <v/>
      </c>
      <c r="AC11" s="41" t="str">
        <f t="shared" si="3"/>
        <v/>
      </c>
      <c r="AD11" s="31"/>
    </row>
    <row r="12" spans="1:30" x14ac:dyDescent="0.3">
      <c r="A12" s="7"/>
      <c r="B12" s="1">
        <f t="shared" si="0"/>
        <v>105</v>
      </c>
      <c r="C12" s="7" t="s">
        <v>81</v>
      </c>
      <c r="D12" s="7" t="s">
        <v>81</v>
      </c>
      <c r="E12" s="7" t="s">
        <v>81</v>
      </c>
      <c r="F12" s="7" t="s">
        <v>81</v>
      </c>
      <c r="G12" s="7" t="s">
        <v>81</v>
      </c>
      <c r="H12" s="7" t="s">
        <v>81</v>
      </c>
      <c r="I12" s="7" t="s">
        <v>81</v>
      </c>
      <c r="J12" s="7" t="s">
        <v>81</v>
      </c>
      <c r="K12" s="46" t="s">
        <v>81</v>
      </c>
      <c r="L12" s="46" t="s">
        <v>87</v>
      </c>
      <c r="M12" s="46" t="s">
        <v>101</v>
      </c>
      <c r="N12" s="46" t="s">
        <v>100</v>
      </c>
      <c r="O12" s="7" t="s">
        <v>81</v>
      </c>
      <c r="P12" s="7" t="s">
        <v>81</v>
      </c>
      <c r="Q12" s="7" t="s">
        <v>81</v>
      </c>
      <c r="R12" s="7" t="s">
        <v>81</v>
      </c>
      <c r="S12" s="7" t="s">
        <v>81</v>
      </c>
      <c r="T12" s="7" t="s">
        <v>81</v>
      </c>
      <c r="U12" s="7" t="s">
        <v>81</v>
      </c>
      <c r="V12" s="7" t="s">
        <v>81</v>
      </c>
      <c r="W12" s="7" t="s">
        <v>81</v>
      </c>
      <c r="X12" s="51"/>
      <c r="Y12" s="1" t="s">
        <v>83</v>
      </c>
      <c r="AA12" s="41" t="b">
        <f t="shared" si="1"/>
        <v>0</v>
      </c>
      <c r="AB12" s="41" t="str">
        <f t="shared" si="2"/>
        <v/>
      </c>
      <c r="AC12" s="41" t="str">
        <f t="shared" si="3"/>
        <v/>
      </c>
      <c r="AD12" s="31"/>
    </row>
    <row r="13" spans="1:30" ht="26.4" x14ac:dyDescent="0.3">
      <c r="A13" s="7"/>
      <c r="B13" s="1">
        <f t="shared" si="0"/>
        <v>106</v>
      </c>
      <c r="C13" s="7" t="s">
        <v>81</v>
      </c>
      <c r="D13" s="7" t="s">
        <v>81</v>
      </c>
      <c r="E13" s="7" t="s">
        <v>81</v>
      </c>
      <c r="F13" s="7" t="s">
        <v>81</v>
      </c>
      <c r="G13" s="7" t="s">
        <v>81</v>
      </c>
      <c r="H13" s="7" t="s">
        <v>81</v>
      </c>
      <c r="I13" s="7" t="s">
        <v>81</v>
      </c>
      <c r="J13" s="7" t="s">
        <v>81</v>
      </c>
      <c r="K13" s="46" t="s">
        <v>81</v>
      </c>
      <c r="L13" s="46" t="s">
        <v>89</v>
      </c>
      <c r="M13" s="76" t="s">
        <v>126</v>
      </c>
      <c r="N13" s="46" t="s">
        <v>101</v>
      </c>
      <c r="O13" s="7" t="s">
        <v>81</v>
      </c>
      <c r="P13" s="7" t="s">
        <v>81</v>
      </c>
      <c r="Q13" s="7" t="s">
        <v>81</v>
      </c>
      <c r="R13" s="7" t="s">
        <v>81</v>
      </c>
      <c r="S13" s="7" t="s">
        <v>81</v>
      </c>
      <c r="T13" s="7" t="s">
        <v>81</v>
      </c>
      <c r="U13" s="7" t="s">
        <v>81</v>
      </c>
      <c r="V13" s="7" t="s">
        <v>81</v>
      </c>
      <c r="W13" s="7" t="s">
        <v>81</v>
      </c>
      <c r="X13" s="51"/>
      <c r="Y13" s="1" t="s">
        <v>83</v>
      </c>
      <c r="AA13" s="41" t="b">
        <f t="shared" si="1"/>
        <v>0</v>
      </c>
      <c r="AB13" s="41" t="str">
        <f t="shared" si="2"/>
        <v/>
      </c>
      <c r="AC13" s="41" t="str">
        <f t="shared" si="3"/>
        <v/>
      </c>
      <c r="AD13" s="31"/>
    </row>
    <row r="14" spans="1:30" ht="28.8" x14ac:dyDescent="0.3">
      <c r="A14" s="7"/>
      <c r="B14" s="1">
        <f t="shared" si="0"/>
        <v>107</v>
      </c>
      <c r="C14" s="7" t="s">
        <v>81</v>
      </c>
      <c r="D14" s="7" t="s">
        <v>81</v>
      </c>
      <c r="E14" s="7" t="s">
        <v>81</v>
      </c>
      <c r="F14" s="7" t="s">
        <v>81</v>
      </c>
      <c r="G14" s="7" t="s">
        <v>81</v>
      </c>
      <c r="H14" s="7" t="s">
        <v>81</v>
      </c>
      <c r="I14" s="7" t="s">
        <v>81</v>
      </c>
      <c r="J14" s="7" t="s">
        <v>81</v>
      </c>
      <c r="K14" s="46" t="s">
        <v>81</v>
      </c>
      <c r="L14" s="46" t="s">
        <v>88</v>
      </c>
      <c r="M14" s="46" t="s">
        <v>103</v>
      </c>
      <c r="N14" s="76" t="s">
        <v>126</v>
      </c>
      <c r="O14" s="7" t="s">
        <v>81</v>
      </c>
      <c r="P14" s="7" t="s">
        <v>81</v>
      </c>
      <c r="Q14" s="7" t="s">
        <v>81</v>
      </c>
      <c r="R14" s="7" t="s">
        <v>81</v>
      </c>
      <c r="S14" s="7" t="s">
        <v>81</v>
      </c>
      <c r="T14" s="7" t="s">
        <v>81</v>
      </c>
      <c r="U14" s="7" t="s">
        <v>81</v>
      </c>
      <c r="V14" s="7" t="s">
        <v>81</v>
      </c>
      <c r="W14" s="7" t="s">
        <v>81</v>
      </c>
      <c r="X14" s="51"/>
      <c r="Y14" s="1" t="s">
        <v>83</v>
      </c>
      <c r="AA14" s="41" t="b">
        <f t="shared" si="1"/>
        <v>0</v>
      </c>
      <c r="AB14" s="41" t="str">
        <f t="shared" si="2"/>
        <v/>
      </c>
      <c r="AC14" s="41" t="str">
        <f t="shared" si="3"/>
        <v/>
      </c>
      <c r="AD14" s="31"/>
    </row>
    <row r="15" spans="1:30" s="70" customFormat="1" ht="18" x14ac:dyDescent="0.3">
      <c r="A15" s="69"/>
      <c r="B15" s="70">
        <f t="shared" si="0"/>
        <v>108</v>
      </c>
      <c r="C15" s="69" t="s">
        <v>81</v>
      </c>
      <c r="D15" s="69" t="s">
        <v>81</v>
      </c>
      <c r="E15" s="69" t="s">
        <v>81</v>
      </c>
      <c r="F15" s="69" t="s">
        <v>81</v>
      </c>
      <c r="G15" s="69" t="s">
        <v>81</v>
      </c>
      <c r="H15" s="69" t="s">
        <v>81</v>
      </c>
      <c r="I15" s="69" t="s">
        <v>81</v>
      </c>
      <c r="J15" s="69" t="s">
        <v>81</v>
      </c>
      <c r="K15" s="71" t="s">
        <v>81</v>
      </c>
      <c r="L15" s="72" t="s">
        <v>90</v>
      </c>
      <c r="M15" s="71" t="s">
        <v>104</v>
      </c>
      <c r="N15" s="71" t="s">
        <v>103</v>
      </c>
      <c r="O15" s="69" t="s">
        <v>81</v>
      </c>
      <c r="P15" s="69" t="s">
        <v>81</v>
      </c>
      <c r="Q15" s="69" t="s">
        <v>81</v>
      </c>
      <c r="R15" s="69" t="s">
        <v>81</v>
      </c>
      <c r="S15" s="69" t="s">
        <v>81</v>
      </c>
      <c r="T15" s="69" t="s">
        <v>81</v>
      </c>
      <c r="U15" s="69" t="s">
        <v>81</v>
      </c>
      <c r="V15" s="69" t="s">
        <v>81</v>
      </c>
      <c r="W15" s="69" t="s">
        <v>81</v>
      </c>
      <c r="X15" s="73"/>
      <c r="Y15" s="70" t="s">
        <v>83</v>
      </c>
      <c r="AA15" s="74" t="b">
        <f t="shared" si="1"/>
        <v>0</v>
      </c>
      <c r="AB15" s="74" t="str">
        <f t="shared" si="2"/>
        <v/>
      </c>
      <c r="AC15" s="74" t="str">
        <f t="shared" si="3"/>
        <v/>
      </c>
      <c r="AD15" s="75"/>
    </row>
    <row r="16" spans="1:30" s="70" customFormat="1" ht="36" x14ac:dyDescent="0.3">
      <c r="A16" s="69"/>
      <c r="B16" s="70">
        <f t="shared" si="0"/>
        <v>109</v>
      </c>
      <c r="C16" s="69" t="s">
        <v>81</v>
      </c>
      <c r="D16" s="69" t="s">
        <v>81</v>
      </c>
      <c r="E16" s="69" t="s">
        <v>81</v>
      </c>
      <c r="F16" s="69" t="s">
        <v>81</v>
      </c>
      <c r="G16" s="69" t="s">
        <v>81</v>
      </c>
      <c r="H16" s="69" t="s">
        <v>81</v>
      </c>
      <c r="I16" s="69" t="s">
        <v>81</v>
      </c>
      <c r="J16" s="69" t="s">
        <v>81</v>
      </c>
      <c r="K16" s="71" t="s">
        <v>81</v>
      </c>
      <c r="L16" s="72" t="s">
        <v>91</v>
      </c>
      <c r="M16" s="71" t="s">
        <v>105</v>
      </c>
      <c r="N16" s="71" t="s">
        <v>104</v>
      </c>
      <c r="O16" s="69" t="s">
        <v>81</v>
      </c>
      <c r="P16" s="69" t="s">
        <v>81</v>
      </c>
      <c r="Q16" s="69" t="s">
        <v>81</v>
      </c>
      <c r="R16" s="69" t="s">
        <v>81</v>
      </c>
      <c r="S16" s="69" t="s">
        <v>81</v>
      </c>
      <c r="T16" s="69" t="s">
        <v>81</v>
      </c>
      <c r="U16" s="69" t="s">
        <v>81</v>
      </c>
      <c r="V16" s="69" t="s">
        <v>81</v>
      </c>
      <c r="W16" s="69" t="s">
        <v>81</v>
      </c>
      <c r="X16" s="73"/>
      <c r="Y16" s="70" t="s">
        <v>83</v>
      </c>
      <c r="AA16" s="74" t="b">
        <f t="shared" si="1"/>
        <v>0</v>
      </c>
      <c r="AB16" s="74" t="str">
        <f t="shared" si="2"/>
        <v/>
      </c>
      <c r="AC16" s="74" t="str">
        <f t="shared" si="3"/>
        <v/>
      </c>
      <c r="AD16" s="75"/>
    </row>
    <row r="17" spans="1:30" s="70" customFormat="1" x14ac:dyDescent="0.3">
      <c r="A17" s="69"/>
      <c r="B17" s="70">
        <f t="shared" si="0"/>
        <v>110</v>
      </c>
      <c r="C17" s="69" t="s">
        <v>81</v>
      </c>
      <c r="D17" s="69" t="s">
        <v>81</v>
      </c>
      <c r="E17" s="69" t="s">
        <v>81</v>
      </c>
      <c r="F17" s="69" t="s">
        <v>81</v>
      </c>
      <c r="G17" s="69" t="s">
        <v>81</v>
      </c>
      <c r="H17" s="69" t="s">
        <v>81</v>
      </c>
      <c r="I17" s="69" t="s">
        <v>81</v>
      </c>
      <c r="J17" s="69" t="s">
        <v>81</v>
      </c>
      <c r="K17" s="71" t="s">
        <v>81</v>
      </c>
      <c r="L17" s="71" t="s">
        <v>92</v>
      </c>
      <c r="M17" s="71" t="s">
        <v>120</v>
      </c>
      <c r="N17" s="71" t="s">
        <v>105</v>
      </c>
      <c r="O17" s="69" t="s">
        <v>81</v>
      </c>
      <c r="P17" s="69" t="s">
        <v>81</v>
      </c>
      <c r="Q17" s="69" t="s">
        <v>81</v>
      </c>
      <c r="R17" s="69" t="s">
        <v>81</v>
      </c>
      <c r="S17" s="69" t="s">
        <v>81</v>
      </c>
      <c r="T17" s="69" t="s">
        <v>81</v>
      </c>
      <c r="U17" s="69" t="s">
        <v>81</v>
      </c>
      <c r="V17" s="69" t="s">
        <v>81</v>
      </c>
      <c r="W17" s="69" t="s">
        <v>81</v>
      </c>
      <c r="X17" s="73"/>
      <c r="Y17" s="70" t="s">
        <v>83</v>
      </c>
      <c r="AA17" s="74" t="b">
        <f t="shared" si="1"/>
        <v>0</v>
      </c>
      <c r="AB17" s="74" t="str">
        <f t="shared" si="2"/>
        <v/>
      </c>
      <c r="AC17" s="74" t="str">
        <f t="shared" si="3"/>
        <v/>
      </c>
      <c r="AD17" s="75"/>
    </row>
    <row r="18" spans="1:30" x14ac:dyDescent="0.3">
      <c r="A18" s="7"/>
      <c r="B18" s="1">
        <f t="shared" si="0"/>
        <v>111</v>
      </c>
      <c r="C18" s="7" t="s">
        <v>81</v>
      </c>
      <c r="D18" s="7" t="s">
        <v>81</v>
      </c>
      <c r="E18" s="7" t="s">
        <v>81</v>
      </c>
      <c r="F18" s="7" t="s">
        <v>81</v>
      </c>
      <c r="G18" s="7" t="s">
        <v>81</v>
      </c>
      <c r="H18" s="7" t="s">
        <v>81</v>
      </c>
      <c r="I18" s="7" t="s">
        <v>81</v>
      </c>
      <c r="J18" s="7" t="s">
        <v>81</v>
      </c>
      <c r="K18" s="46" t="s">
        <v>81</v>
      </c>
      <c r="L18" s="46" t="s">
        <v>93</v>
      </c>
      <c r="M18" s="46" t="s">
        <v>121</v>
      </c>
      <c r="N18" s="46" t="s">
        <v>120</v>
      </c>
      <c r="O18" s="7" t="s">
        <v>81</v>
      </c>
      <c r="P18" s="7" t="s">
        <v>81</v>
      </c>
      <c r="Q18" s="7" t="s">
        <v>81</v>
      </c>
      <c r="R18" s="7" t="s">
        <v>81</v>
      </c>
      <c r="S18" s="7" t="s">
        <v>81</v>
      </c>
      <c r="T18" s="7" t="s">
        <v>81</v>
      </c>
      <c r="U18" s="7" t="s">
        <v>81</v>
      </c>
      <c r="V18" s="7" t="s">
        <v>81</v>
      </c>
      <c r="W18" s="7" t="s">
        <v>81</v>
      </c>
      <c r="X18" s="51"/>
      <c r="Y18" s="1" t="s">
        <v>83</v>
      </c>
      <c r="AA18" s="41" t="b">
        <f t="shared" si="1"/>
        <v>0</v>
      </c>
      <c r="AB18" s="41" t="str">
        <f t="shared" si="2"/>
        <v/>
      </c>
      <c r="AC18" s="41" t="str">
        <f t="shared" si="3"/>
        <v/>
      </c>
      <c r="AD18" s="31"/>
    </row>
    <row r="19" spans="1:30" x14ac:dyDescent="0.3">
      <c r="A19" s="7"/>
      <c r="B19" s="1">
        <f t="shared" si="0"/>
        <v>112</v>
      </c>
      <c r="C19" s="7" t="s">
        <v>81</v>
      </c>
      <c r="D19" s="7" t="s">
        <v>81</v>
      </c>
      <c r="E19" s="7" t="s">
        <v>81</v>
      </c>
      <c r="F19" s="7" t="s">
        <v>81</v>
      </c>
      <c r="G19" s="7" t="s">
        <v>81</v>
      </c>
      <c r="H19" s="7" t="s">
        <v>81</v>
      </c>
      <c r="I19" s="7" t="s">
        <v>81</v>
      </c>
      <c r="J19" s="7" t="s">
        <v>81</v>
      </c>
      <c r="K19" s="46" t="s">
        <v>81</v>
      </c>
      <c r="L19" s="46" t="s">
        <v>94</v>
      </c>
      <c r="M19" s="46" t="s">
        <v>122</v>
      </c>
      <c r="N19" s="46" t="s">
        <v>121</v>
      </c>
      <c r="O19" s="7" t="s">
        <v>81</v>
      </c>
      <c r="P19" s="7" t="s">
        <v>81</v>
      </c>
      <c r="Q19" s="7" t="s">
        <v>81</v>
      </c>
      <c r="R19" s="7" t="s">
        <v>81</v>
      </c>
      <c r="S19" s="7" t="s">
        <v>81</v>
      </c>
      <c r="T19" s="7" t="s">
        <v>81</v>
      </c>
      <c r="U19" s="7" t="s">
        <v>81</v>
      </c>
      <c r="V19" s="7" t="s">
        <v>81</v>
      </c>
      <c r="W19" s="7" t="s">
        <v>81</v>
      </c>
      <c r="X19" s="51"/>
      <c r="Y19" s="1" t="s">
        <v>83</v>
      </c>
      <c r="AA19" s="41" t="b">
        <f t="shared" si="1"/>
        <v>0</v>
      </c>
      <c r="AB19" s="41" t="str">
        <f t="shared" si="2"/>
        <v/>
      </c>
      <c r="AC19" s="41" t="str">
        <f t="shared" si="3"/>
        <v/>
      </c>
      <c r="AD19" s="31"/>
    </row>
    <row r="20" spans="1:30" ht="32.4" x14ac:dyDescent="0.3">
      <c r="A20" s="7"/>
      <c r="B20" s="1">
        <f t="shared" si="0"/>
        <v>113</v>
      </c>
      <c r="C20" s="7" t="s">
        <v>81</v>
      </c>
      <c r="D20" s="7" t="s">
        <v>81</v>
      </c>
      <c r="E20" s="7" t="s">
        <v>81</v>
      </c>
      <c r="F20" s="7" t="s">
        <v>81</v>
      </c>
      <c r="G20" s="7" t="s">
        <v>81</v>
      </c>
      <c r="H20" s="7" t="s">
        <v>81</v>
      </c>
      <c r="I20" s="7" t="s">
        <v>81</v>
      </c>
      <c r="J20" s="7" t="s">
        <v>81</v>
      </c>
      <c r="K20" s="46" t="s">
        <v>81</v>
      </c>
      <c r="L20" s="53" t="s">
        <v>95</v>
      </c>
      <c r="M20" s="46" t="s">
        <v>123</v>
      </c>
      <c r="N20" s="46" t="s">
        <v>122</v>
      </c>
      <c r="O20" s="7" t="s">
        <v>81</v>
      </c>
      <c r="P20" s="7" t="s">
        <v>81</v>
      </c>
      <c r="Q20" s="7" t="s">
        <v>81</v>
      </c>
      <c r="R20" s="7" t="s">
        <v>81</v>
      </c>
      <c r="S20" s="7" t="s">
        <v>81</v>
      </c>
      <c r="T20" s="7" t="s">
        <v>81</v>
      </c>
      <c r="U20" s="7" t="s">
        <v>81</v>
      </c>
      <c r="V20" s="7" t="s">
        <v>81</v>
      </c>
      <c r="W20" s="7" t="s">
        <v>81</v>
      </c>
      <c r="X20" s="51"/>
      <c r="Y20" s="1" t="s">
        <v>83</v>
      </c>
      <c r="AA20" s="41" t="b">
        <f t="shared" si="1"/>
        <v>0</v>
      </c>
      <c r="AB20" s="41" t="str">
        <f t="shared" si="2"/>
        <v/>
      </c>
      <c r="AC20" s="41" t="str">
        <f t="shared" si="3"/>
        <v/>
      </c>
      <c r="AD20" s="31"/>
    </row>
    <row r="21" spans="1:30" x14ac:dyDescent="0.3">
      <c r="A21" s="7"/>
      <c r="B21" s="1">
        <f t="shared" si="0"/>
        <v>114</v>
      </c>
      <c r="C21" s="7" t="s">
        <v>81</v>
      </c>
      <c r="D21" s="7" t="s">
        <v>81</v>
      </c>
      <c r="E21" s="7" t="s">
        <v>81</v>
      </c>
      <c r="F21" s="7" t="s">
        <v>81</v>
      </c>
      <c r="G21" s="7" t="s">
        <v>81</v>
      </c>
      <c r="H21" s="7" t="s">
        <v>81</v>
      </c>
      <c r="I21" s="7" t="s">
        <v>81</v>
      </c>
      <c r="J21" s="7" t="s">
        <v>81</v>
      </c>
      <c r="K21" s="46" t="s">
        <v>81</v>
      </c>
      <c r="L21" s="46" t="s">
        <v>81</v>
      </c>
      <c r="M21" s="46" t="s">
        <v>124</v>
      </c>
      <c r="N21" s="46" t="s">
        <v>123</v>
      </c>
      <c r="O21" s="7" t="s">
        <v>81</v>
      </c>
      <c r="P21" s="7" t="s">
        <v>81</v>
      </c>
      <c r="Q21" s="7" t="s">
        <v>81</v>
      </c>
      <c r="R21" s="7" t="s">
        <v>81</v>
      </c>
      <c r="S21" s="7" t="s">
        <v>81</v>
      </c>
      <c r="T21" s="7" t="s">
        <v>81</v>
      </c>
      <c r="U21" s="7" t="s">
        <v>81</v>
      </c>
      <c r="V21" s="7" t="s">
        <v>81</v>
      </c>
      <c r="W21" s="7" t="s">
        <v>81</v>
      </c>
      <c r="X21" s="51"/>
      <c r="Y21" s="1" t="s">
        <v>83</v>
      </c>
      <c r="AA21" s="41" t="b">
        <f t="shared" si="1"/>
        <v>0</v>
      </c>
      <c r="AB21" s="41" t="str">
        <f t="shared" si="2"/>
        <v/>
      </c>
      <c r="AC21" s="41" t="str">
        <f t="shared" si="3"/>
        <v/>
      </c>
      <c r="AD21" s="31"/>
    </row>
    <row r="22" spans="1:30" ht="57.6" x14ac:dyDescent="0.3">
      <c r="A22" s="7"/>
      <c r="B22" s="1">
        <f t="shared" ref="B22:B52" si="4">100+ROW(B22)-7</f>
        <v>115</v>
      </c>
      <c r="C22" s="7" t="s">
        <v>81</v>
      </c>
      <c r="D22" s="7" t="s">
        <v>81</v>
      </c>
      <c r="E22" s="7" t="s">
        <v>81</v>
      </c>
      <c r="F22" s="7" t="s">
        <v>81</v>
      </c>
      <c r="G22" s="7" t="s">
        <v>81</v>
      </c>
      <c r="H22" s="7" t="s">
        <v>81</v>
      </c>
      <c r="I22" s="7" t="s">
        <v>81</v>
      </c>
      <c r="J22" s="7" t="s">
        <v>81</v>
      </c>
      <c r="K22" s="46" t="s">
        <v>81</v>
      </c>
      <c r="L22" s="46" t="s">
        <v>81</v>
      </c>
      <c r="M22" s="46" t="s">
        <v>115</v>
      </c>
      <c r="N22" s="46" t="s">
        <v>125</v>
      </c>
      <c r="O22" s="7" t="s">
        <v>81</v>
      </c>
      <c r="P22" s="7" t="s">
        <v>81</v>
      </c>
      <c r="Q22" s="7" t="s">
        <v>81</v>
      </c>
      <c r="R22" s="7" t="s">
        <v>81</v>
      </c>
      <c r="S22" s="7" t="s">
        <v>81</v>
      </c>
      <c r="T22" s="7" t="s">
        <v>81</v>
      </c>
      <c r="U22" s="7" t="s">
        <v>81</v>
      </c>
      <c r="V22" s="7" t="s">
        <v>81</v>
      </c>
      <c r="W22" s="7" t="s">
        <v>81</v>
      </c>
      <c r="X22" s="51"/>
      <c r="Y22" s="1" t="s">
        <v>83</v>
      </c>
      <c r="AA22" s="41" t="b">
        <f t="shared" ref="AA22:AA52" si="5">NOT(ISERROR(FIND("エラー",A22, 1)))</f>
        <v>0</v>
      </c>
      <c r="AB22" s="41" t="str">
        <f t="shared" ref="AB22:AB52" si="6">IF(X22&lt;&gt;"", NOT(X22), "")</f>
        <v/>
      </c>
      <c r="AC22" s="41" t="str">
        <f t="shared" ref="AC22:AC52" si="7">IF(AND(AA22&lt;&gt;"", AB22&lt;&gt;""), AA22&lt;&gt;AB22, "")</f>
        <v/>
      </c>
      <c r="AD22" s="31"/>
    </row>
    <row r="23" spans="1:30" ht="57.6" x14ac:dyDescent="0.3">
      <c r="A23" s="7"/>
      <c r="B23" s="1">
        <f t="shared" si="4"/>
        <v>116</v>
      </c>
      <c r="C23" s="7" t="s">
        <v>81</v>
      </c>
      <c r="D23" s="7" t="s">
        <v>81</v>
      </c>
      <c r="E23" s="7" t="s">
        <v>81</v>
      </c>
      <c r="F23" s="7" t="s">
        <v>81</v>
      </c>
      <c r="G23" s="7" t="s">
        <v>81</v>
      </c>
      <c r="H23" s="7" t="s">
        <v>81</v>
      </c>
      <c r="I23" s="7" t="s">
        <v>81</v>
      </c>
      <c r="J23" s="7" t="s">
        <v>81</v>
      </c>
      <c r="K23" s="46" t="s">
        <v>81</v>
      </c>
      <c r="L23" s="46" t="s">
        <v>81</v>
      </c>
      <c r="M23" s="46" t="s">
        <v>116</v>
      </c>
      <c r="N23" s="46" t="s">
        <v>115</v>
      </c>
      <c r="O23" s="7" t="s">
        <v>81</v>
      </c>
      <c r="P23" s="7" t="s">
        <v>81</v>
      </c>
      <c r="Q23" s="7" t="s">
        <v>81</v>
      </c>
      <c r="R23" s="7" t="s">
        <v>81</v>
      </c>
      <c r="S23" s="7" t="s">
        <v>81</v>
      </c>
      <c r="T23" s="7" t="s">
        <v>81</v>
      </c>
      <c r="U23" s="7" t="s">
        <v>81</v>
      </c>
      <c r="V23" s="7" t="s">
        <v>81</v>
      </c>
      <c r="W23" s="7" t="s">
        <v>81</v>
      </c>
      <c r="X23" s="51"/>
      <c r="Y23" s="1" t="s">
        <v>83</v>
      </c>
      <c r="AA23" s="41" t="b">
        <f t="shared" si="5"/>
        <v>0</v>
      </c>
      <c r="AB23" s="41" t="str">
        <f t="shared" si="6"/>
        <v/>
      </c>
      <c r="AC23" s="41" t="str">
        <f t="shared" si="7"/>
        <v/>
      </c>
      <c r="AD23" s="31"/>
    </row>
    <row r="24" spans="1:30" ht="57.6" x14ac:dyDescent="0.3">
      <c r="A24" s="7"/>
      <c r="B24" s="1">
        <f t="shared" si="4"/>
        <v>117</v>
      </c>
      <c r="C24" s="7" t="s">
        <v>81</v>
      </c>
      <c r="D24" s="7" t="s">
        <v>81</v>
      </c>
      <c r="E24" s="7" t="s">
        <v>81</v>
      </c>
      <c r="F24" s="7" t="s">
        <v>81</v>
      </c>
      <c r="G24" s="7" t="s">
        <v>81</v>
      </c>
      <c r="H24" s="7" t="s">
        <v>81</v>
      </c>
      <c r="I24" s="7" t="s">
        <v>81</v>
      </c>
      <c r="J24" s="7" t="s">
        <v>81</v>
      </c>
      <c r="K24" s="46" t="s">
        <v>81</v>
      </c>
      <c r="L24" s="46" t="s">
        <v>81</v>
      </c>
      <c r="M24" s="46" t="s">
        <v>103</v>
      </c>
      <c r="N24" s="46" t="s">
        <v>116</v>
      </c>
      <c r="O24" s="7" t="s">
        <v>81</v>
      </c>
      <c r="P24" s="7" t="s">
        <v>81</v>
      </c>
      <c r="Q24" s="7" t="s">
        <v>81</v>
      </c>
      <c r="R24" s="7" t="s">
        <v>81</v>
      </c>
      <c r="S24" s="7" t="s">
        <v>81</v>
      </c>
      <c r="T24" s="7" t="s">
        <v>81</v>
      </c>
      <c r="U24" s="7" t="s">
        <v>81</v>
      </c>
      <c r="V24" s="7" t="s">
        <v>81</v>
      </c>
      <c r="W24" s="7" t="s">
        <v>81</v>
      </c>
      <c r="X24" s="51"/>
      <c r="Y24" s="1" t="s">
        <v>83</v>
      </c>
      <c r="AA24" s="41" t="b">
        <f t="shared" si="5"/>
        <v>0</v>
      </c>
      <c r="AB24" s="41" t="str">
        <f t="shared" si="6"/>
        <v/>
      </c>
      <c r="AC24" s="41" t="str">
        <f t="shared" si="7"/>
        <v/>
      </c>
      <c r="AD24" s="31"/>
    </row>
    <row r="25" spans="1:30" x14ac:dyDescent="0.3">
      <c r="A25" s="7"/>
      <c r="B25" s="1">
        <f t="shared" si="4"/>
        <v>118</v>
      </c>
      <c r="C25" s="7" t="s">
        <v>81</v>
      </c>
      <c r="D25" s="7" t="s">
        <v>81</v>
      </c>
      <c r="E25" s="7" t="s">
        <v>81</v>
      </c>
      <c r="F25" s="7" t="s">
        <v>81</v>
      </c>
      <c r="G25" s="7" t="s">
        <v>81</v>
      </c>
      <c r="H25" s="7" t="s">
        <v>81</v>
      </c>
      <c r="I25" s="7" t="s">
        <v>81</v>
      </c>
      <c r="J25" s="7" t="s">
        <v>81</v>
      </c>
      <c r="K25" s="46" t="s">
        <v>81</v>
      </c>
      <c r="L25" s="46" t="s">
        <v>81</v>
      </c>
      <c r="M25" s="46" t="s">
        <v>104</v>
      </c>
      <c r="N25" s="46" t="s">
        <v>81</v>
      </c>
      <c r="O25" s="7" t="s">
        <v>81</v>
      </c>
      <c r="P25" s="7" t="s">
        <v>81</v>
      </c>
      <c r="Q25" s="7" t="s">
        <v>81</v>
      </c>
      <c r="R25" s="7" t="s">
        <v>81</v>
      </c>
      <c r="S25" s="7" t="s">
        <v>81</v>
      </c>
      <c r="T25" s="7" t="s">
        <v>81</v>
      </c>
      <c r="U25" s="7" t="s">
        <v>81</v>
      </c>
      <c r="V25" s="7" t="s">
        <v>81</v>
      </c>
      <c r="W25" s="7" t="s">
        <v>81</v>
      </c>
      <c r="X25" s="51"/>
      <c r="Y25" s="1" t="s">
        <v>83</v>
      </c>
      <c r="AA25" s="41" t="b">
        <f t="shared" si="5"/>
        <v>0</v>
      </c>
      <c r="AB25" s="41" t="str">
        <f t="shared" si="6"/>
        <v/>
      </c>
      <c r="AC25" s="41" t="str">
        <f t="shared" si="7"/>
        <v/>
      </c>
      <c r="AD25" s="31"/>
    </row>
    <row r="26" spans="1:30" x14ac:dyDescent="0.3">
      <c r="A26" s="7"/>
      <c r="B26" s="1">
        <f t="shared" si="4"/>
        <v>119</v>
      </c>
      <c r="C26" s="7" t="s">
        <v>81</v>
      </c>
      <c r="D26" s="7" t="s">
        <v>81</v>
      </c>
      <c r="E26" s="7" t="s">
        <v>81</v>
      </c>
      <c r="F26" s="7" t="s">
        <v>81</v>
      </c>
      <c r="G26" s="7" t="s">
        <v>81</v>
      </c>
      <c r="H26" s="7" t="s">
        <v>81</v>
      </c>
      <c r="I26" s="7" t="s">
        <v>81</v>
      </c>
      <c r="J26" s="7" t="s">
        <v>81</v>
      </c>
      <c r="K26" s="46" t="s">
        <v>81</v>
      </c>
      <c r="L26" s="46" t="s">
        <v>81</v>
      </c>
      <c r="M26" s="46" t="s">
        <v>105</v>
      </c>
      <c r="N26" s="46" t="s">
        <v>81</v>
      </c>
      <c r="O26" s="7" t="s">
        <v>81</v>
      </c>
      <c r="P26" s="7" t="s">
        <v>81</v>
      </c>
      <c r="Q26" s="7" t="s">
        <v>81</v>
      </c>
      <c r="R26" s="7" t="s">
        <v>81</v>
      </c>
      <c r="S26" s="7" t="s">
        <v>81</v>
      </c>
      <c r="T26" s="7" t="s">
        <v>81</v>
      </c>
      <c r="U26" s="7" t="s">
        <v>81</v>
      </c>
      <c r="V26" s="7" t="s">
        <v>81</v>
      </c>
      <c r="W26" s="7" t="s">
        <v>81</v>
      </c>
      <c r="X26" s="51"/>
      <c r="Y26" s="1" t="s">
        <v>83</v>
      </c>
      <c r="AA26" s="41" t="b">
        <f t="shared" si="5"/>
        <v>0</v>
      </c>
      <c r="AB26" s="41" t="str">
        <f t="shared" si="6"/>
        <v/>
      </c>
      <c r="AC26" s="41" t="str">
        <f t="shared" si="7"/>
        <v/>
      </c>
      <c r="AD26" s="31"/>
    </row>
    <row r="27" spans="1:30" x14ac:dyDescent="0.3">
      <c r="A27" s="47"/>
      <c r="B27" s="48">
        <f t="shared" si="4"/>
        <v>120</v>
      </c>
      <c r="C27" s="47" t="s">
        <v>81</v>
      </c>
      <c r="D27" s="47" t="s">
        <v>81</v>
      </c>
      <c r="E27" s="47" t="s">
        <v>81</v>
      </c>
      <c r="F27" s="47" t="s">
        <v>81</v>
      </c>
      <c r="G27" s="47" t="s">
        <v>81</v>
      </c>
      <c r="H27" s="47" t="s">
        <v>81</v>
      </c>
      <c r="I27" s="47" t="s">
        <v>81</v>
      </c>
      <c r="J27" s="47" t="s">
        <v>81</v>
      </c>
      <c r="K27" s="49" t="s">
        <v>81</v>
      </c>
      <c r="L27" s="49" t="s">
        <v>81</v>
      </c>
      <c r="M27" s="49" t="s">
        <v>106</v>
      </c>
      <c r="N27" s="46" t="s">
        <v>81</v>
      </c>
      <c r="O27" s="7" t="s">
        <v>81</v>
      </c>
      <c r="P27" s="7" t="s">
        <v>81</v>
      </c>
      <c r="Q27" s="7" t="s">
        <v>81</v>
      </c>
      <c r="R27" s="7" t="s">
        <v>81</v>
      </c>
      <c r="S27" s="7" t="s">
        <v>81</v>
      </c>
      <c r="T27" s="7" t="s">
        <v>81</v>
      </c>
      <c r="U27" s="7" t="s">
        <v>81</v>
      </c>
      <c r="V27" s="7" t="s">
        <v>81</v>
      </c>
      <c r="W27" s="7" t="s">
        <v>81</v>
      </c>
      <c r="X27" s="51"/>
      <c r="Y27" s="1" t="s">
        <v>83</v>
      </c>
      <c r="AA27" s="41" t="b">
        <f t="shared" si="5"/>
        <v>0</v>
      </c>
      <c r="AB27" s="41" t="str">
        <f t="shared" si="6"/>
        <v/>
      </c>
      <c r="AC27" s="41" t="str">
        <f t="shared" si="7"/>
        <v/>
      </c>
      <c r="AD27" s="31"/>
    </row>
    <row r="28" spans="1:30" x14ac:dyDescent="0.3">
      <c r="A28" s="47"/>
      <c r="B28" s="48">
        <f t="shared" si="4"/>
        <v>121</v>
      </c>
      <c r="C28" s="47" t="s">
        <v>81</v>
      </c>
      <c r="D28" s="47" t="s">
        <v>81</v>
      </c>
      <c r="E28" s="47" t="s">
        <v>81</v>
      </c>
      <c r="F28" s="47" t="s">
        <v>81</v>
      </c>
      <c r="G28" s="47" t="s">
        <v>81</v>
      </c>
      <c r="H28" s="47" t="s">
        <v>81</v>
      </c>
      <c r="I28" s="47" t="s">
        <v>81</v>
      </c>
      <c r="J28" s="47" t="s">
        <v>81</v>
      </c>
      <c r="K28" s="49" t="s">
        <v>81</v>
      </c>
      <c r="L28" s="49" t="s">
        <v>81</v>
      </c>
      <c r="M28" s="49" t="s">
        <v>107</v>
      </c>
      <c r="N28" s="46" t="s">
        <v>81</v>
      </c>
      <c r="O28" s="7" t="s">
        <v>81</v>
      </c>
      <c r="P28" s="7" t="s">
        <v>81</v>
      </c>
      <c r="Q28" s="7" t="s">
        <v>81</v>
      </c>
      <c r="R28" s="7" t="s">
        <v>81</v>
      </c>
      <c r="S28" s="7" t="s">
        <v>81</v>
      </c>
      <c r="T28" s="7" t="s">
        <v>81</v>
      </c>
      <c r="U28" s="7" t="s">
        <v>81</v>
      </c>
      <c r="V28" s="7" t="s">
        <v>81</v>
      </c>
      <c r="W28" s="7" t="s">
        <v>81</v>
      </c>
      <c r="X28" s="51"/>
      <c r="Y28" s="1" t="s">
        <v>83</v>
      </c>
      <c r="AA28" s="41" t="b">
        <f t="shared" si="5"/>
        <v>0</v>
      </c>
      <c r="AB28" s="41" t="str">
        <f t="shared" si="6"/>
        <v/>
      </c>
      <c r="AC28" s="41" t="str">
        <f t="shared" si="7"/>
        <v/>
      </c>
      <c r="AD28" s="31"/>
    </row>
    <row r="29" spans="1:30" x14ac:dyDescent="0.3">
      <c r="A29" s="47"/>
      <c r="B29" s="48">
        <f t="shared" si="4"/>
        <v>122</v>
      </c>
      <c r="C29" s="47" t="s">
        <v>81</v>
      </c>
      <c r="D29" s="47" t="s">
        <v>81</v>
      </c>
      <c r="E29" s="47" t="s">
        <v>81</v>
      </c>
      <c r="F29" s="47" t="s">
        <v>81</v>
      </c>
      <c r="G29" s="47" t="s">
        <v>81</v>
      </c>
      <c r="H29" s="47" t="s">
        <v>81</v>
      </c>
      <c r="I29" s="47" t="s">
        <v>81</v>
      </c>
      <c r="J29" s="47" t="s">
        <v>81</v>
      </c>
      <c r="K29" s="49" t="s">
        <v>81</v>
      </c>
      <c r="L29" s="49" t="s">
        <v>81</v>
      </c>
      <c r="M29" s="49" t="s">
        <v>108</v>
      </c>
      <c r="N29" s="46" t="s">
        <v>81</v>
      </c>
      <c r="O29" s="7" t="s">
        <v>81</v>
      </c>
      <c r="P29" s="7" t="s">
        <v>81</v>
      </c>
      <c r="Q29" s="7" t="s">
        <v>81</v>
      </c>
      <c r="R29" s="7" t="s">
        <v>81</v>
      </c>
      <c r="S29" s="7" t="s">
        <v>81</v>
      </c>
      <c r="T29" s="7" t="s">
        <v>81</v>
      </c>
      <c r="U29" s="7" t="s">
        <v>81</v>
      </c>
      <c r="V29" s="7" t="s">
        <v>81</v>
      </c>
      <c r="W29" s="7" t="s">
        <v>81</v>
      </c>
      <c r="X29" s="51"/>
      <c r="Y29" s="1" t="s">
        <v>83</v>
      </c>
      <c r="AA29" s="41" t="b">
        <f t="shared" si="5"/>
        <v>0</v>
      </c>
      <c r="AB29" s="41" t="str">
        <f t="shared" si="6"/>
        <v/>
      </c>
      <c r="AC29" s="41" t="str">
        <f t="shared" si="7"/>
        <v/>
      </c>
      <c r="AD29" s="31"/>
    </row>
    <row r="30" spans="1:30" x14ac:dyDescent="0.3">
      <c r="A30" s="47"/>
      <c r="B30" s="48">
        <f t="shared" si="4"/>
        <v>123</v>
      </c>
      <c r="C30" s="47" t="s">
        <v>81</v>
      </c>
      <c r="D30" s="47" t="s">
        <v>81</v>
      </c>
      <c r="E30" s="47" t="s">
        <v>81</v>
      </c>
      <c r="F30" s="47" t="s">
        <v>81</v>
      </c>
      <c r="G30" s="47" t="s">
        <v>81</v>
      </c>
      <c r="H30" s="47" t="s">
        <v>81</v>
      </c>
      <c r="I30" s="47" t="s">
        <v>81</v>
      </c>
      <c r="J30" s="47" t="s">
        <v>81</v>
      </c>
      <c r="K30" s="49" t="s">
        <v>81</v>
      </c>
      <c r="L30" s="49" t="s">
        <v>81</v>
      </c>
      <c r="M30" s="49" t="s">
        <v>109</v>
      </c>
      <c r="N30" s="46" t="s">
        <v>81</v>
      </c>
      <c r="O30" s="7" t="s">
        <v>81</v>
      </c>
      <c r="P30" s="7" t="s">
        <v>81</v>
      </c>
      <c r="Q30" s="7" t="s">
        <v>81</v>
      </c>
      <c r="R30" s="7" t="s">
        <v>81</v>
      </c>
      <c r="S30" s="7" t="s">
        <v>81</v>
      </c>
      <c r="T30" s="7" t="s">
        <v>81</v>
      </c>
      <c r="U30" s="7" t="s">
        <v>81</v>
      </c>
      <c r="V30" s="7" t="s">
        <v>81</v>
      </c>
      <c r="W30" s="7" t="s">
        <v>81</v>
      </c>
      <c r="X30" s="51"/>
      <c r="Y30" s="1" t="s">
        <v>83</v>
      </c>
      <c r="AA30" s="41" t="b">
        <f t="shared" si="5"/>
        <v>0</v>
      </c>
      <c r="AB30" s="41" t="str">
        <f t="shared" si="6"/>
        <v/>
      </c>
      <c r="AC30" s="41" t="str">
        <f t="shared" si="7"/>
        <v/>
      </c>
      <c r="AD30" s="31"/>
    </row>
    <row r="31" spans="1:30" x14ac:dyDescent="0.3">
      <c r="A31" s="47"/>
      <c r="B31" s="48">
        <f t="shared" si="4"/>
        <v>124</v>
      </c>
      <c r="C31" s="47" t="s">
        <v>81</v>
      </c>
      <c r="D31" s="47" t="s">
        <v>81</v>
      </c>
      <c r="E31" s="47" t="s">
        <v>81</v>
      </c>
      <c r="F31" s="47" t="s">
        <v>81</v>
      </c>
      <c r="G31" s="47" t="s">
        <v>81</v>
      </c>
      <c r="H31" s="47" t="s">
        <v>81</v>
      </c>
      <c r="I31" s="47" t="s">
        <v>81</v>
      </c>
      <c r="J31" s="47" t="s">
        <v>81</v>
      </c>
      <c r="K31" s="49" t="s">
        <v>81</v>
      </c>
      <c r="L31" s="49" t="s">
        <v>81</v>
      </c>
      <c r="M31" s="49" t="s">
        <v>110</v>
      </c>
      <c r="N31" s="46" t="s">
        <v>81</v>
      </c>
      <c r="O31" s="7" t="s">
        <v>81</v>
      </c>
      <c r="P31" s="7" t="s">
        <v>81</v>
      </c>
      <c r="Q31" s="7" t="s">
        <v>81</v>
      </c>
      <c r="R31" s="7" t="s">
        <v>81</v>
      </c>
      <c r="S31" s="7" t="s">
        <v>81</v>
      </c>
      <c r="T31" s="7" t="s">
        <v>81</v>
      </c>
      <c r="U31" s="7" t="s">
        <v>81</v>
      </c>
      <c r="V31" s="7" t="s">
        <v>81</v>
      </c>
      <c r="W31" s="7" t="s">
        <v>81</v>
      </c>
      <c r="X31" s="51"/>
      <c r="Y31" s="1" t="s">
        <v>83</v>
      </c>
      <c r="AA31" s="41" t="b">
        <f t="shared" si="5"/>
        <v>0</v>
      </c>
      <c r="AB31" s="41" t="str">
        <f t="shared" si="6"/>
        <v/>
      </c>
      <c r="AC31" s="41" t="str">
        <f t="shared" si="7"/>
        <v/>
      </c>
      <c r="AD31" s="31"/>
    </row>
    <row r="32" spans="1:30" x14ac:dyDescent="0.3">
      <c r="A32" s="47"/>
      <c r="B32" s="48">
        <f t="shared" si="4"/>
        <v>125</v>
      </c>
      <c r="C32" s="47" t="s">
        <v>81</v>
      </c>
      <c r="D32" s="47" t="s">
        <v>81</v>
      </c>
      <c r="E32" s="47" t="s">
        <v>81</v>
      </c>
      <c r="F32" s="47" t="s">
        <v>81</v>
      </c>
      <c r="G32" s="47" t="s">
        <v>81</v>
      </c>
      <c r="H32" s="47" t="s">
        <v>81</v>
      </c>
      <c r="I32" s="47" t="s">
        <v>81</v>
      </c>
      <c r="J32" s="47" t="s">
        <v>81</v>
      </c>
      <c r="K32" s="49" t="s">
        <v>81</v>
      </c>
      <c r="L32" s="49" t="s">
        <v>81</v>
      </c>
      <c r="M32" s="50" t="s">
        <v>111</v>
      </c>
      <c r="N32" s="46" t="s">
        <v>81</v>
      </c>
      <c r="O32" s="7" t="s">
        <v>81</v>
      </c>
      <c r="P32" s="7" t="s">
        <v>81</v>
      </c>
      <c r="Q32" s="7" t="s">
        <v>81</v>
      </c>
      <c r="R32" s="7" t="s">
        <v>81</v>
      </c>
      <c r="S32" s="7" t="s">
        <v>81</v>
      </c>
      <c r="T32" s="7" t="s">
        <v>81</v>
      </c>
      <c r="U32" s="7" t="s">
        <v>81</v>
      </c>
      <c r="V32" s="7" t="s">
        <v>81</v>
      </c>
      <c r="W32" s="7" t="s">
        <v>81</v>
      </c>
      <c r="X32" s="51"/>
      <c r="Y32" s="1" t="s">
        <v>83</v>
      </c>
      <c r="AA32" s="41" t="b">
        <f t="shared" si="5"/>
        <v>0</v>
      </c>
      <c r="AB32" s="41" t="str">
        <f t="shared" si="6"/>
        <v/>
      </c>
      <c r="AC32" s="41" t="str">
        <f t="shared" si="7"/>
        <v/>
      </c>
      <c r="AD32" s="31"/>
    </row>
    <row r="33" spans="1:30" x14ac:dyDescent="0.3">
      <c r="A33" s="47"/>
      <c r="B33" s="48">
        <f t="shared" si="4"/>
        <v>126</v>
      </c>
      <c r="C33" s="47" t="s">
        <v>81</v>
      </c>
      <c r="D33" s="47" t="s">
        <v>81</v>
      </c>
      <c r="E33" s="47" t="s">
        <v>81</v>
      </c>
      <c r="F33" s="47" t="s">
        <v>81</v>
      </c>
      <c r="G33" s="47" t="s">
        <v>81</v>
      </c>
      <c r="H33" s="47" t="s">
        <v>81</v>
      </c>
      <c r="I33" s="47" t="s">
        <v>81</v>
      </c>
      <c r="J33" s="47" t="s">
        <v>81</v>
      </c>
      <c r="K33" s="49" t="s">
        <v>81</v>
      </c>
      <c r="L33" s="49" t="s">
        <v>81</v>
      </c>
      <c r="M33" s="50" t="s">
        <v>112</v>
      </c>
      <c r="N33" s="46" t="s">
        <v>81</v>
      </c>
      <c r="O33" s="7" t="s">
        <v>81</v>
      </c>
      <c r="P33" s="7" t="s">
        <v>81</v>
      </c>
      <c r="Q33" s="7" t="s">
        <v>81</v>
      </c>
      <c r="R33" s="7" t="s">
        <v>81</v>
      </c>
      <c r="S33" s="7" t="s">
        <v>81</v>
      </c>
      <c r="T33" s="7" t="s">
        <v>81</v>
      </c>
      <c r="U33" s="7" t="s">
        <v>81</v>
      </c>
      <c r="V33" s="7" t="s">
        <v>81</v>
      </c>
      <c r="W33" s="7" t="s">
        <v>81</v>
      </c>
      <c r="X33" s="51"/>
      <c r="Y33" s="1" t="s">
        <v>83</v>
      </c>
      <c r="AA33" s="41" t="b">
        <f t="shared" si="5"/>
        <v>0</v>
      </c>
      <c r="AB33" s="41" t="str">
        <f t="shared" si="6"/>
        <v/>
      </c>
      <c r="AC33" s="41" t="str">
        <f t="shared" si="7"/>
        <v/>
      </c>
      <c r="AD33" s="31"/>
    </row>
    <row r="34" spans="1:30" x14ac:dyDescent="0.3">
      <c r="A34" s="47"/>
      <c r="B34" s="48">
        <f t="shared" si="4"/>
        <v>127</v>
      </c>
      <c r="C34" s="47" t="s">
        <v>81</v>
      </c>
      <c r="D34" s="47" t="s">
        <v>81</v>
      </c>
      <c r="E34" s="47" t="s">
        <v>81</v>
      </c>
      <c r="F34" s="47" t="s">
        <v>81</v>
      </c>
      <c r="G34" s="47" t="s">
        <v>81</v>
      </c>
      <c r="H34" s="47" t="s">
        <v>81</v>
      </c>
      <c r="I34" s="47" t="s">
        <v>81</v>
      </c>
      <c r="J34" s="47" t="s">
        <v>81</v>
      </c>
      <c r="K34" s="49" t="s">
        <v>81</v>
      </c>
      <c r="L34" s="49" t="s">
        <v>81</v>
      </c>
      <c r="M34" s="50" t="s">
        <v>113</v>
      </c>
      <c r="N34" s="46" t="s">
        <v>81</v>
      </c>
      <c r="O34" s="7" t="s">
        <v>81</v>
      </c>
      <c r="P34" s="7" t="s">
        <v>81</v>
      </c>
      <c r="Q34" s="7" t="s">
        <v>81</v>
      </c>
      <c r="R34" s="7" t="s">
        <v>81</v>
      </c>
      <c r="S34" s="7" t="s">
        <v>81</v>
      </c>
      <c r="T34" s="7" t="s">
        <v>81</v>
      </c>
      <c r="U34" s="7" t="s">
        <v>81</v>
      </c>
      <c r="V34" s="7" t="s">
        <v>81</v>
      </c>
      <c r="W34" s="7" t="s">
        <v>81</v>
      </c>
      <c r="X34" s="51"/>
      <c r="Y34" s="1" t="s">
        <v>83</v>
      </c>
      <c r="AA34" s="41" t="b">
        <f t="shared" si="5"/>
        <v>0</v>
      </c>
      <c r="AB34" s="41" t="str">
        <f t="shared" si="6"/>
        <v/>
      </c>
      <c r="AC34" s="41" t="str">
        <f t="shared" si="7"/>
        <v/>
      </c>
      <c r="AD34" s="31"/>
    </row>
    <row r="35" spans="1:30" x14ac:dyDescent="0.3">
      <c r="A35" s="47"/>
      <c r="B35" s="48">
        <f t="shared" si="4"/>
        <v>128</v>
      </c>
      <c r="C35" s="47" t="s">
        <v>81</v>
      </c>
      <c r="D35" s="47" t="s">
        <v>81</v>
      </c>
      <c r="E35" s="47" t="s">
        <v>81</v>
      </c>
      <c r="F35" s="47" t="s">
        <v>81</v>
      </c>
      <c r="G35" s="47" t="s">
        <v>81</v>
      </c>
      <c r="H35" s="47" t="s">
        <v>81</v>
      </c>
      <c r="I35" s="47" t="s">
        <v>81</v>
      </c>
      <c r="J35" s="47" t="s">
        <v>81</v>
      </c>
      <c r="K35" s="49" t="s">
        <v>81</v>
      </c>
      <c r="L35" s="49" t="s">
        <v>81</v>
      </c>
      <c r="M35" s="50" t="s">
        <v>114</v>
      </c>
      <c r="N35" s="46" t="s">
        <v>81</v>
      </c>
      <c r="O35" s="7" t="s">
        <v>81</v>
      </c>
      <c r="P35" s="7" t="s">
        <v>81</v>
      </c>
      <c r="Q35" s="7" t="s">
        <v>81</v>
      </c>
      <c r="R35" s="7" t="s">
        <v>81</v>
      </c>
      <c r="S35" s="7" t="s">
        <v>81</v>
      </c>
      <c r="T35" s="7" t="s">
        <v>81</v>
      </c>
      <c r="U35" s="7" t="s">
        <v>81</v>
      </c>
      <c r="V35" s="7" t="s">
        <v>81</v>
      </c>
      <c r="W35" s="7" t="s">
        <v>81</v>
      </c>
      <c r="X35" s="51"/>
      <c r="Y35" s="1" t="s">
        <v>83</v>
      </c>
      <c r="AA35" s="41" t="b">
        <f t="shared" si="5"/>
        <v>0</v>
      </c>
      <c r="AB35" s="41" t="str">
        <f t="shared" si="6"/>
        <v/>
      </c>
      <c r="AC35" s="41" t="str">
        <f t="shared" si="7"/>
        <v/>
      </c>
      <c r="AD35" s="31"/>
    </row>
    <row r="36" spans="1:30" ht="57.6" x14ac:dyDescent="0.3">
      <c r="A36" s="7"/>
      <c r="B36" s="1">
        <f t="shared" si="4"/>
        <v>129</v>
      </c>
      <c r="C36" s="7" t="s">
        <v>81</v>
      </c>
      <c r="D36" s="7" t="s">
        <v>81</v>
      </c>
      <c r="E36" s="7" t="s">
        <v>81</v>
      </c>
      <c r="F36" s="7" t="s">
        <v>81</v>
      </c>
      <c r="G36" s="7" t="s">
        <v>81</v>
      </c>
      <c r="H36" s="7" t="s">
        <v>81</v>
      </c>
      <c r="I36" s="7" t="s">
        <v>81</v>
      </c>
      <c r="J36" s="7" t="s">
        <v>81</v>
      </c>
      <c r="K36" s="46" t="s">
        <v>81</v>
      </c>
      <c r="L36" s="46" t="s">
        <v>81</v>
      </c>
      <c r="M36" s="46" t="s">
        <v>115</v>
      </c>
      <c r="N36" s="46" t="s">
        <v>81</v>
      </c>
      <c r="O36" s="7" t="s">
        <v>81</v>
      </c>
      <c r="P36" s="7" t="s">
        <v>81</v>
      </c>
      <c r="Q36" s="7" t="s">
        <v>81</v>
      </c>
      <c r="R36" s="7" t="s">
        <v>81</v>
      </c>
      <c r="S36" s="7" t="s">
        <v>81</v>
      </c>
      <c r="T36" s="7" t="s">
        <v>81</v>
      </c>
      <c r="U36" s="7" t="s">
        <v>81</v>
      </c>
      <c r="V36" s="7" t="s">
        <v>81</v>
      </c>
      <c r="W36" s="7" t="s">
        <v>81</v>
      </c>
      <c r="X36" s="51"/>
      <c r="Y36" s="1" t="s">
        <v>83</v>
      </c>
      <c r="AA36" s="41" t="b">
        <f t="shared" si="5"/>
        <v>0</v>
      </c>
      <c r="AB36" s="41" t="str">
        <f t="shared" si="6"/>
        <v/>
      </c>
      <c r="AC36" s="41" t="str">
        <f t="shared" si="7"/>
        <v/>
      </c>
      <c r="AD36" s="31"/>
    </row>
    <row r="37" spans="1:30" ht="57.6" x14ac:dyDescent="0.3">
      <c r="A37" s="7"/>
      <c r="B37" s="1">
        <f t="shared" si="4"/>
        <v>130</v>
      </c>
      <c r="C37" s="7" t="s">
        <v>81</v>
      </c>
      <c r="D37" s="7" t="s">
        <v>81</v>
      </c>
      <c r="E37" s="7" t="s">
        <v>81</v>
      </c>
      <c r="F37" s="7" t="s">
        <v>81</v>
      </c>
      <c r="G37" s="7" t="s">
        <v>81</v>
      </c>
      <c r="H37" s="7" t="s">
        <v>81</v>
      </c>
      <c r="I37" s="7" t="s">
        <v>81</v>
      </c>
      <c r="J37" s="7" t="s">
        <v>81</v>
      </c>
      <c r="K37" s="46" t="s">
        <v>81</v>
      </c>
      <c r="L37" s="46" t="s">
        <v>81</v>
      </c>
      <c r="M37" s="46" t="s">
        <v>116</v>
      </c>
      <c r="N37" s="46" t="s">
        <v>81</v>
      </c>
      <c r="O37" s="7" t="s">
        <v>81</v>
      </c>
      <c r="P37" s="7" t="s">
        <v>81</v>
      </c>
      <c r="Q37" s="7" t="s">
        <v>81</v>
      </c>
      <c r="R37" s="7" t="s">
        <v>81</v>
      </c>
      <c r="S37" s="7" t="s">
        <v>81</v>
      </c>
      <c r="T37" s="7" t="s">
        <v>81</v>
      </c>
      <c r="U37" s="7" t="s">
        <v>81</v>
      </c>
      <c r="V37" s="7" t="s">
        <v>81</v>
      </c>
      <c r="W37" s="7" t="s">
        <v>81</v>
      </c>
      <c r="X37" s="51"/>
      <c r="Y37" s="1" t="s">
        <v>83</v>
      </c>
      <c r="AA37" s="41" t="b">
        <f t="shared" si="5"/>
        <v>0</v>
      </c>
      <c r="AB37" s="41" t="str">
        <f t="shared" si="6"/>
        <v/>
      </c>
      <c r="AC37" s="41" t="str">
        <f t="shared" si="7"/>
        <v/>
      </c>
      <c r="AD37" s="31"/>
    </row>
    <row r="38" spans="1:30" x14ac:dyDescent="0.3">
      <c r="A38" s="7"/>
      <c r="B38" s="1">
        <f t="shared" si="4"/>
        <v>131</v>
      </c>
      <c r="C38" s="7" t="s">
        <v>81</v>
      </c>
      <c r="D38" s="7" t="s">
        <v>81</v>
      </c>
      <c r="E38" s="7" t="s">
        <v>81</v>
      </c>
      <c r="F38" s="7" t="s">
        <v>81</v>
      </c>
      <c r="G38" s="7" t="s">
        <v>81</v>
      </c>
      <c r="H38" s="7" t="s">
        <v>81</v>
      </c>
      <c r="I38" s="7" t="s">
        <v>81</v>
      </c>
      <c r="J38" s="7" t="s">
        <v>81</v>
      </c>
      <c r="K38" s="46" t="s">
        <v>81</v>
      </c>
      <c r="L38" s="46" t="s">
        <v>81</v>
      </c>
      <c r="M38" s="46" t="s">
        <v>117</v>
      </c>
      <c r="N38" s="46" t="s">
        <v>81</v>
      </c>
      <c r="O38" s="7" t="s">
        <v>81</v>
      </c>
      <c r="P38" s="7" t="s">
        <v>81</v>
      </c>
      <c r="Q38" s="7" t="s">
        <v>81</v>
      </c>
      <c r="R38" s="7" t="s">
        <v>81</v>
      </c>
      <c r="S38" s="7" t="s">
        <v>81</v>
      </c>
      <c r="T38" s="7" t="s">
        <v>81</v>
      </c>
      <c r="U38" s="7" t="s">
        <v>81</v>
      </c>
      <c r="V38" s="7" t="s">
        <v>81</v>
      </c>
      <c r="W38" s="7" t="s">
        <v>81</v>
      </c>
      <c r="X38" s="51"/>
      <c r="Y38" s="1" t="s">
        <v>83</v>
      </c>
      <c r="AA38" s="41" t="b">
        <f t="shared" si="5"/>
        <v>0</v>
      </c>
      <c r="AB38" s="41" t="str">
        <f t="shared" si="6"/>
        <v/>
      </c>
      <c r="AC38" s="41" t="str">
        <f t="shared" si="7"/>
        <v/>
      </c>
      <c r="AD38" s="31"/>
    </row>
    <row r="39" spans="1:30" x14ac:dyDescent="0.3">
      <c r="A39" s="7"/>
      <c r="B39" s="1">
        <f t="shared" si="4"/>
        <v>132</v>
      </c>
      <c r="C39" s="7" t="s">
        <v>81</v>
      </c>
      <c r="D39" s="7" t="s">
        <v>81</v>
      </c>
      <c r="E39" s="7" t="s">
        <v>81</v>
      </c>
      <c r="F39" s="7" t="s">
        <v>81</v>
      </c>
      <c r="G39" s="7" t="s">
        <v>81</v>
      </c>
      <c r="H39" s="7" t="s">
        <v>81</v>
      </c>
      <c r="I39" s="7" t="s">
        <v>81</v>
      </c>
      <c r="J39" s="7" t="s">
        <v>81</v>
      </c>
      <c r="K39" s="46" t="s">
        <v>81</v>
      </c>
      <c r="L39" s="46" t="s">
        <v>81</v>
      </c>
      <c r="M39" s="46" t="s">
        <v>81</v>
      </c>
      <c r="N39" s="46" t="s">
        <v>96</v>
      </c>
      <c r="O39" s="7" t="s">
        <v>81</v>
      </c>
      <c r="P39" s="7" t="s">
        <v>81</v>
      </c>
      <c r="Q39" s="7" t="s">
        <v>81</v>
      </c>
      <c r="R39" s="7" t="s">
        <v>81</v>
      </c>
      <c r="S39" s="7" t="s">
        <v>81</v>
      </c>
      <c r="T39" s="7" t="s">
        <v>81</v>
      </c>
      <c r="U39" s="7" t="s">
        <v>81</v>
      </c>
      <c r="V39" s="7" t="s">
        <v>81</v>
      </c>
      <c r="W39" s="7" t="s">
        <v>81</v>
      </c>
      <c r="X39" s="51"/>
      <c r="Y39" s="1" t="s">
        <v>83</v>
      </c>
      <c r="AA39" s="41" t="b">
        <f t="shared" si="5"/>
        <v>0</v>
      </c>
      <c r="AB39" s="41" t="str">
        <f t="shared" si="6"/>
        <v/>
      </c>
      <c r="AC39" s="41" t="str">
        <f t="shared" si="7"/>
        <v/>
      </c>
      <c r="AD39" s="31"/>
    </row>
    <row r="40" spans="1:30" x14ac:dyDescent="0.3">
      <c r="A40" s="7"/>
      <c r="B40" s="1">
        <f t="shared" si="4"/>
        <v>133</v>
      </c>
      <c r="C40" s="7" t="s">
        <v>81</v>
      </c>
      <c r="D40" s="7" t="s">
        <v>81</v>
      </c>
      <c r="E40" s="7" t="s">
        <v>81</v>
      </c>
      <c r="F40" s="7" t="s">
        <v>81</v>
      </c>
      <c r="G40" s="7" t="s">
        <v>81</v>
      </c>
      <c r="H40" s="7" t="s">
        <v>81</v>
      </c>
      <c r="I40" s="7" t="s">
        <v>81</v>
      </c>
      <c r="J40" s="7" t="s">
        <v>81</v>
      </c>
      <c r="K40" s="46" t="s">
        <v>81</v>
      </c>
      <c r="L40" s="46" t="s">
        <v>81</v>
      </c>
      <c r="M40" s="46" t="s">
        <v>81</v>
      </c>
      <c r="N40" s="46" t="s">
        <v>97</v>
      </c>
      <c r="O40" s="7" t="s">
        <v>81</v>
      </c>
      <c r="P40" s="7" t="s">
        <v>81</v>
      </c>
      <c r="Q40" s="7" t="s">
        <v>81</v>
      </c>
      <c r="R40" s="7" t="s">
        <v>81</v>
      </c>
      <c r="S40" s="7" t="s">
        <v>81</v>
      </c>
      <c r="T40" s="7" t="s">
        <v>81</v>
      </c>
      <c r="U40" s="7" t="s">
        <v>81</v>
      </c>
      <c r="V40" s="7" t="s">
        <v>81</v>
      </c>
      <c r="W40" s="7" t="s">
        <v>81</v>
      </c>
      <c r="X40" s="51"/>
      <c r="Y40" s="1" t="s">
        <v>83</v>
      </c>
      <c r="AA40" s="41" t="b">
        <f t="shared" si="5"/>
        <v>0</v>
      </c>
      <c r="AB40" s="41" t="str">
        <f t="shared" si="6"/>
        <v/>
      </c>
      <c r="AC40" s="41" t="str">
        <f t="shared" si="7"/>
        <v/>
      </c>
      <c r="AD40" s="31"/>
    </row>
    <row r="41" spans="1:30" x14ac:dyDescent="0.3">
      <c r="A41" s="7"/>
      <c r="B41" s="1">
        <f t="shared" si="4"/>
        <v>134</v>
      </c>
      <c r="C41" s="7" t="s">
        <v>81</v>
      </c>
      <c r="D41" s="7" t="s">
        <v>81</v>
      </c>
      <c r="E41" s="7" t="s">
        <v>81</v>
      </c>
      <c r="F41" s="7" t="s">
        <v>81</v>
      </c>
      <c r="G41" s="7" t="s">
        <v>81</v>
      </c>
      <c r="H41" s="7" t="s">
        <v>81</v>
      </c>
      <c r="I41" s="7" t="s">
        <v>81</v>
      </c>
      <c r="J41" s="7" t="s">
        <v>81</v>
      </c>
      <c r="K41" s="46" t="s">
        <v>81</v>
      </c>
      <c r="L41" s="46" t="s">
        <v>81</v>
      </c>
      <c r="M41" s="46" t="s">
        <v>81</v>
      </c>
      <c r="N41" s="46" t="s">
        <v>98</v>
      </c>
      <c r="O41" s="7" t="s">
        <v>81</v>
      </c>
      <c r="P41" s="7" t="s">
        <v>81</v>
      </c>
      <c r="Q41" s="7" t="s">
        <v>81</v>
      </c>
      <c r="R41" s="7" t="s">
        <v>81</v>
      </c>
      <c r="S41" s="7" t="s">
        <v>81</v>
      </c>
      <c r="T41" s="7" t="s">
        <v>81</v>
      </c>
      <c r="U41" s="7" t="s">
        <v>81</v>
      </c>
      <c r="V41" s="7" t="s">
        <v>81</v>
      </c>
      <c r="W41" s="7" t="s">
        <v>81</v>
      </c>
      <c r="X41" s="51"/>
      <c r="Y41" s="1" t="s">
        <v>83</v>
      </c>
      <c r="AA41" s="41" t="b">
        <f t="shared" si="5"/>
        <v>0</v>
      </c>
      <c r="AB41" s="41" t="str">
        <f t="shared" si="6"/>
        <v/>
      </c>
      <c r="AC41" s="41" t="str">
        <f t="shared" si="7"/>
        <v/>
      </c>
      <c r="AD41" s="31"/>
    </row>
    <row r="42" spans="1:30" x14ac:dyDescent="0.3">
      <c r="A42" s="7"/>
      <c r="B42" s="1">
        <f t="shared" si="4"/>
        <v>135</v>
      </c>
      <c r="C42" s="7" t="s">
        <v>81</v>
      </c>
      <c r="D42" s="7" t="s">
        <v>81</v>
      </c>
      <c r="E42" s="7" t="s">
        <v>81</v>
      </c>
      <c r="F42" s="7" t="s">
        <v>81</v>
      </c>
      <c r="G42" s="7" t="s">
        <v>81</v>
      </c>
      <c r="H42" s="7" t="s">
        <v>81</v>
      </c>
      <c r="I42" s="7" t="s">
        <v>81</v>
      </c>
      <c r="J42" s="7" t="s">
        <v>81</v>
      </c>
      <c r="K42" s="46" t="s">
        <v>81</v>
      </c>
      <c r="L42" s="46" t="s">
        <v>81</v>
      </c>
      <c r="M42" s="46" t="s">
        <v>81</v>
      </c>
      <c r="N42" s="46" t="s">
        <v>99</v>
      </c>
      <c r="O42" s="7" t="s">
        <v>81</v>
      </c>
      <c r="P42" s="7" t="s">
        <v>81</v>
      </c>
      <c r="Q42" s="7" t="s">
        <v>81</v>
      </c>
      <c r="R42" s="7" t="s">
        <v>81</v>
      </c>
      <c r="S42" s="7" t="s">
        <v>81</v>
      </c>
      <c r="T42" s="7" t="s">
        <v>81</v>
      </c>
      <c r="U42" s="7" t="s">
        <v>81</v>
      </c>
      <c r="V42" s="7" t="s">
        <v>81</v>
      </c>
      <c r="W42" s="7" t="s">
        <v>81</v>
      </c>
      <c r="X42" s="51"/>
      <c r="Y42" s="1" t="s">
        <v>83</v>
      </c>
      <c r="AA42" s="41" t="b">
        <f t="shared" si="5"/>
        <v>0</v>
      </c>
      <c r="AB42" s="41" t="str">
        <f t="shared" si="6"/>
        <v/>
      </c>
      <c r="AC42" s="41" t="str">
        <f t="shared" si="7"/>
        <v/>
      </c>
      <c r="AD42" s="31"/>
    </row>
    <row r="43" spans="1:30" x14ac:dyDescent="0.3">
      <c r="A43" s="7"/>
      <c r="B43" s="1">
        <f t="shared" si="4"/>
        <v>136</v>
      </c>
      <c r="C43" s="7" t="s">
        <v>81</v>
      </c>
      <c r="D43" s="7" t="s">
        <v>81</v>
      </c>
      <c r="E43" s="7" t="s">
        <v>81</v>
      </c>
      <c r="F43" s="7" t="s">
        <v>81</v>
      </c>
      <c r="G43" s="7" t="s">
        <v>81</v>
      </c>
      <c r="H43" s="7" t="s">
        <v>81</v>
      </c>
      <c r="I43" s="7" t="s">
        <v>81</v>
      </c>
      <c r="J43" s="7" t="s">
        <v>81</v>
      </c>
      <c r="K43" s="46" t="s">
        <v>81</v>
      </c>
      <c r="L43" s="46" t="s">
        <v>81</v>
      </c>
      <c r="M43" s="46" t="s">
        <v>81</v>
      </c>
      <c r="N43" s="46" t="s">
        <v>100</v>
      </c>
      <c r="O43" s="7" t="s">
        <v>81</v>
      </c>
      <c r="P43" s="7" t="s">
        <v>81</v>
      </c>
      <c r="Q43" s="7" t="s">
        <v>81</v>
      </c>
      <c r="R43" s="7" t="s">
        <v>81</v>
      </c>
      <c r="S43" s="7" t="s">
        <v>81</v>
      </c>
      <c r="T43" s="7" t="s">
        <v>81</v>
      </c>
      <c r="U43" s="7" t="s">
        <v>81</v>
      </c>
      <c r="V43" s="7" t="s">
        <v>81</v>
      </c>
      <c r="W43" s="7" t="s">
        <v>81</v>
      </c>
      <c r="X43" s="51"/>
      <c r="Y43" s="1" t="s">
        <v>83</v>
      </c>
      <c r="AA43" s="41" t="b">
        <f t="shared" si="5"/>
        <v>0</v>
      </c>
      <c r="AB43" s="41" t="str">
        <f t="shared" si="6"/>
        <v/>
      </c>
      <c r="AC43" s="41" t="str">
        <f t="shared" si="7"/>
        <v/>
      </c>
      <c r="AD43" s="31"/>
    </row>
    <row r="44" spans="1:30" x14ac:dyDescent="0.3">
      <c r="A44" s="7"/>
      <c r="B44" s="1">
        <f t="shared" si="4"/>
        <v>137</v>
      </c>
      <c r="C44" s="7" t="s">
        <v>81</v>
      </c>
      <c r="D44" s="7" t="s">
        <v>81</v>
      </c>
      <c r="E44" s="7" t="s">
        <v>81</v>
      </c>
      <c r="F44" s="7" t="s">
        <v>81</v>
      </c>
      <c r="G44" s="7" t="s">
        <v>81</v>
      </c>
      <c r="H44" s="7" t="s">
        <v>81</v>
      </c>
      <c r="I44" s="7" t="s">
        <v>81</v>
      </c>
      <c r="J44" s="7" t="s">
        <v>81</v>
      </c>
      <c r="K44" s="46" t="s">
        <v>81</v>
      </c>
      <c r="L44" s="46" t="s">
        <v>81</v>
      </c>
      <c r="M44" s="46" t="s">
        <v>81</v>
      </c>
      <c r="N44" s="46" t="s">
        <v>101</v>
      </c>
      <c r="O44" s="7" t="s">
        <v>81</v>
      </c>
      <c r="P44" s="7" t="s">
        <v>81</v>
      </c>
      <c r="Q44" s="7" t="s">
        <v>81</v>
      </c>
      <c r="R44" s="7" t="s">
        <v>81</v>
      </c>
      <c r="S44" s="7" t="s">
        <v>81</v>
      </c>
      <c r="T44" s="7" t="s">
        <v>81</v>
      </c>
      <c r="U44" s="7" t="s">
        <v>81</v>
      </c>
      <c r="V44" s="7" t="s">
        <v>81</v>
      </c>
      <c r="W44" s="7" t="s">
        <v>81</v>
      </c>
      <c r="X44" s="51"/>
      <c r="Y44" s="1" t="s">
        <v>83</v>
      </c>
      <c r="AA44" s="41" t="b">
        <f t="shared" si="5"/>
        <v>0</v>
      </c>
      <c r="AB44" s="41" t="str">
        <f t="shared" si="6"/>
        <v/>
      </c>
      <c r="AC44" s="41" t="str">
        <f t="shared" si="7"/>
        <v/>
      </c>
      <c r="AD44" s="31"/>
    </row>
    <row r="45" spans="1:30" ht="43.2" x14ac:dyDescent="0.3">
      <c r="A45" s="7"/>
      <c r="B45" s="1">
        <f t="shared" si="4"/>
        <v>138</v>
      </c>
      <c r="C45" s="7" t="s">
        <v>81</v>
      </c>
      <c r="D45" s="7" t="s">
        <v>81</v>
      </c>
      <c r="E45" s="7" t="s">
        <v>81</v>
      </c>
      <c r="F45" s="7" t="s">
        <v>81</v>
      </c>
      <c r="G45" s="7" t="s">
        <v>81</v>
      </c>
      <c r="H45" s="7" t="s">
        <v>81</v>
      </c>
      <c r="I45" s="7" t="s">
        <v>81</v>
      </c>
      <c r="J45" s="7" t="s">
        <v>81</v>
      </c>
      <c r="K45" s="46" t="s">
        <v>81</v>
      </c>
      <c r="L45" s="46" t="s">
        <v>81</v>
      </c>
      <c r="M45" s="46" t="s">
        <v>81</v>
      </c>
      <c r="N45" s="46" t="s">
        <v>102</v>
      </c>
      <c r="O45" s="7" t="s">
        <v>81</v>
      </c>
      <c r="P45" s="7" t="s">
        <v>81</v>
      </c>
      <c r="Q45" s="7" t="s">
        <v>81</v>
      </c>
      <c r="R45" s="7" t="s">
        <v>81</v>
      </c>
      <c r="S45" s="7" t="s">
        <v>81</v>
      </c>
      <c r="T45" s="7" t="s">
        <v>81</v>
      </c>
      <c r="U45" s="7" t="s">
        <v>81</v>
      </c>
      <c r="V45" s="7" t="s">
        <v>81</v>
      </c>
      <c r="W45" s="7" t="s">
        <v>81</v>
      </c>
      <c r="X45" s="51"/>
      <c r="Y45" s="1" t="s">
        <v>83</v>
      </c>
      <c r="AA45" s="41" t="b">
        <f t="shared" si="5"/>
        <v>0</v>
      </c>
      <c r="AB45" s="41" t="str">
        <f t="shared" si="6"/>
        <v/>
      </c>
      <c r="AC45" s="41" t="str">
        <f t="shared" si="7"/>
        <v/>
      </c>
      <c r="AD45" s="31"/>
    </row>
    <row r="46" spans="1:30" x14ac:dyDescent="0.3">
      <c r="A46" s="7"/>
      <c r="B46" s="1">
        <f t="shared" si="4"/>
        <v>139</v>
      </c>
      <c r="C46" s="7" t="s">
        <v>81</v>
      </c>
      <c r="D46" s="7" t="s">
        <v>81</v>
      </c>
      <c r="E46" s="7" t="s">
        <v>81</v>
      </c>
      <c r="F46" s="7" t="s">
        <v>81</v>
      </c>
      <c r="G46" s="7" t="s">
        <v>81</v>
      </c>
      <c r="H46" s="7" t="s">
        <v>81</v>
      </c>
      <c r="I46" s="7" t="s">
        <v>81</v>
      </c>
      <c r="J46" s="7" t="s">
        <v>81</v>
      </c>
      <c r="K46" s="46" t="s">
        <v>81</v>
      </c>
      <c r="L46" s="46" t="s">
        <v>81</v>
      </c>
      <c r="M46" s="46" t="s">
        <v>81</v>
      </c>
      <c r="N46" s="46" t="s">
        <v>103</v>
      </c>
      <c r="O46" s="7" t="s">
        <v>81</v>
      </c>
      <c r="P46" s="7" t="s">
        <v>81</v>
      </c>
      <c r="Q46" s="7" t="s">
        <v>81</v>
      </c>
      <c r="R46" s="7" t="s">
        <v>81</v>
      </c>
      <c r="S46" s="7" t="s">
        <v>81</v>
      </c>
      <c r="T46" s="7" t="s">
        <v>81</v>
      </c>
      <c r="U46" s="7" t="s">
        <v>81</v>
      </c>
      <c r="V46" s="7" t="s">
        <v>81</v>
      </c>
      <c r="W46" s="7" t="s">
        <v>81</v>
      </c>
      <c r="X46" s="51"/>
      <c r="Y46" s="1" t="s">
        <v>83</v>
      </c>
      <c r="AA46" s="41" t="b">
        <f t="shared" si="5"/>
        <v>0</v>
      </c>
      <c r="AB46" s="41" t="str">
        <f t="shared" si="6"/>
        <v/>
      </c>
      <c r="AC46" s="41" t="str">
        <f t="shared" si="7"/>
        <v/>
      </c>
      <c r="AD46" s="31"/>
    </row>
    <row r="47" spans="1:30" x14ac:dyDescent="0.3">
      <c r="A47" s="7"/>
      <c r="B47" s="1">
        <f t="shared" si="4"/>
        <v>140</v>
      </c>
      <c r="C47" s="7" t="s">
        <v>81</v>
      </c>
      <c r="D47" s="7" t="s">
        <v>81</v>
      </c>
      <c r="E47" s="7" t="s">
        <v>81</v>
      </c>
      <c r="F47" s="7" t="s">
        <v>81</v>
      </c>
      <c r="G47" s="7" t="s">
        <v>81</v>
      </c>
      <c r="H47" s="7" t="s">
        <v>81</v>
      </c>
      <c r="I47" s="7" t="s">
        <v>81</v>
      </c>
      <c r="J47" s="7" t="s">
        <v>81</v>
      </c>
      <c r="K47" s="46" t="s">
        <v>81</v>
      </c>
      <c r="L47" s="46" t="s">
        <v>81</v>
      </c>
      <c r="M47" s="46" t="s">
        <v>81</v>
      </c>
      <c r="N47" s="46" t="s">
        <v>104</v>
      </c>
      <c r="O47" s="7" t="s">
        <v>81</v>
      </c>
      <c r="P47" s="7" t="s">
        <v>81</v>
      </c>
      <c r="Q47" s="7" t="s">
        <v>81</v>
      </c>
      <c r="R47" s="7" t="s">
        <v>81</v>
      </c>
      <c r="S47" s="7" t="s">
        <v>81</v>
      </c>
      <c r="T47" s="7" t="s">
        <v>81</v>
      </c>
      <c r="U47" s="7" t="s">
        <v>81</v>
      </c>
      <c r="V47" s="7" t="s">
        <v>81</v>
      </c>
      <c r="W47" s="7" t="s">
        <v>81</v>
      </c>
      <c r="X47" s="51"/>
      <c r="Y47" s="1" t="s">
        <v>83</v>
      </c>
      <c r="AA47" s="41" t="b">
        <f t="shared" si="5"/>
        <v>0</v>
      </c>
      <c r="AB47" s="41" t="str">
        <f t="shared" si="6"/>
        <v/>
      </c>
      <c r="AC47" s="41" t="str">
        <f t="shared" si="7"/>
        <v/>
      </c>
      <c r="AD47" s="31"/>
    </row>
    <row r="48" spans="1:30" x14ac:dyDescent="0.3">
      <c r="A48" s="7"/>
      <c r="B48" s="1">
        <f t="shared" si="4"/>
        <v>141</v>
      </c>
      <c r="C48" s="7" t="s">
        <v>81</v>
      </c>
      <c r="D48" s="7" t="s">
        <v>81</v>
      </c>
      <c r="E48" s="7" t="s">
        <v>81</v>
      </c>
      <c r="F48" s="7" t="s">
        <v>81</v>
      </c>
      <c r="G48" s="7" t="s">
        <v>81</v>
      </c>
      <c r="H48" s="7" t="s">
        <v>81</v>
      </c>
      <c r="I48" s="7" t="s">
        <v>81</v>
      </c>
      <c r="J48" s="7" t="s">
        <v>81</v>
      </c>
      <c r="K48" s="46" t="s">
        <v>81</v>
      </c>
      <c r="L48" s="46" t="s">
        <v>81</v>
      </c>
      <c r="M48" s="46" t="s">
        <v>81</v>
      </c>
      <c r="N48" s="46" t="s">
        <v>105</v>
      </c>
      <c r="O48" s="7" t="s">
        <v>81</v>
      </c>
      <c r="P48" s="7" t="s">
        <v>81</v>
      </c>
      <c r="Q48" s="7" t="s">
        <v>81</v>
      </c>
      <c r="R48" s="7" t="s">
        <v>81</v>
      </c>
      <c r="S48" s="7" t="s">
        <v>81</v>
      </c>
      <c r="T48" s="7" t="s">
        <v>81</v>
      </c>
      <c r="U48" s="7" t="s">
        <v>81</v>
      </c>
      <c r="V48" s="7" t="s">
        <v>81</v>
      </c>
      <c r="W48" s="7" t="s">
        <v>81</v>
      </c>
      <c r="X48" s="51"/>
      <c r="Y48" s="1" t="s">
        <v>83</v>
      </c>
      <c r="AA48" s="41" t="b">
        <f t="shared" si="5"/>
        <v>0</v>
      </c>
      <c r="AB48" s="41" t="str">
        <f t="shared" si="6"/>
        <v/>
      </c>
      <c r="AC48" s="41" t="str">
        <f t="shared" si="7"/>
        <v/>
      </c>
      <c r="AD48" s="31"/>
    </row>
    <row r="49" spans="1:30" x14ac:dyDescent="0.3">
      <c r="A49" s="47"/>
      <c r="B49" s="48">
        <f t="shared" si="4"/>
        <v>142</v>
      </c>
      <c r="C49" s="47" t="s">
        <v>81</v>
      </c>
      <c r="D49" s="47" t="s">
        <v>81</v>
      </c>
      <c r="E49" s="47" t="s">
        <v>81</v>
      </c>
      <c r="F49" s="47" t="s">
        <v>81</v>
      </c>
      <c r="G49" s="47" t="s">
        <v>81</v>
      </c>
      <c r="H49" s="47" t="s">
        <v>81</v>
      </c>
      <c r="I49" s="47" t="s">
        <v>81</v>
      </c>
      <c r="J49" s="47" t="s">
        <v>81</v>
      </c>
      <c r="K49" s="49" t="s">
        <v>81</v>
      </c>
      <c r="L49" s="49" t="s">
        <v>81</v>
      </c>
      <c r="M49" s="49" t="s">
        <v>81</v>
      </c>
      <c r="N49" s="49" t="s">
        <v>106</v>
      </c>
      <c r="O49" s="7" t="s">
        <v>81</v>
      </c>
      <c r="P49" s="7" t="s">
        <v>81</v>
      </c>
      <c r="Q49" s="7" t="s">
        <v>81</v>
      </c>
      <c r="R49" s="7" t="s">
        <v>81</v>
      </c>
      <c r="S49" s="7" t="s">
        <v>81</v>
      </c>
      <c r="T49" s="7" t="s">
        <v>81</v>
      </c>
      <c r="U49" s="7" t="s">
        <v>81</v>
      </c>
      <c r="V49" s="7" t="s">
        <v>81</v>
      </c>
      <c r="W49" s="7" t="s">
        <v>81</v>
      </c>
      <c r="X49" s="51"/>
      <c r="Y49" s="1" t="s">
        <v>83</v>
      </c>
      <c r="AA49" s="41" t="b">
        <f t="shared" si="5"/>
        <v>0</v>
      </c>
      <c r="AB49" s="41" t="str">
        <f t="shared" si="6"/>
        <v/>
      </c>
      <c r="AC49" s="41" t="str">
        <f t="shared" si="7"/>
        <v/>
      </c>
      <c r="AD49" s="31"/>
    </row>
    <row r="50" spans="1:30" x14ac:dyDescent="0.3">
      <c r="A50" s="47"/>
      <c r="B50" s="48">
        <f t="shared" si="4"/>
        <v>143</v>
      </c>
      <c r="C50" s="47" t="s">
        <v>81</v>
      </c>
      <c r="D50" s="47" t="s">
        <v>81</v>
      </c>
      <c r="E50" s="47" t="s">
        <v>81</v>
      </c>
      <c r="F50" s="47" t="s">
        <v>81</v>
      </c>
      <c r="G50" s="47" t="s">
        <v>81</v>
      </c>
      <c r="H50" s="47" t="s">
        <v>81</v>
      </c>
      <c r="I50" s="47" t="s">
        <v>81</v>
      </c>
      <c r="J50" s="47" t="s">
        <v>81</v>
      </c>
      <c r="K50" s="49" t="s">
        <v>81</v>
      </c>
      <c r="L50" s="49" t="s">
        <v>81</v>
      </c>
      <c r="M50" s="49" t="s">
        <v>81</v>
      </c>
      <c r="N50" s="49" t="s">
        <v>107</v>
      </c>
      <c r="O50" s="7" t="s">
        <v>81</v>
      </c>
      <c r="P50" s="7" t="s">
        <v>81</v>
      </c>
      <c r="Q50" s="7" t="s">
        <v>81</v>
      </c>
      <c r="R50" s="7" t="s">
        <v>81</v>
      </c>
      <c r="S50" s="7" t="s">
        <v>81</v>
      </c>
      <c r="T50" s="7" t="s">
        <v>81</v>
      </c>
      <c r="U50" s="7" t="s">
        <v>81</v>
      </c>
      <c r="V50" s="7" t="s">
        <v>81</v>
      </c>
      <c r="W50" s="7" t="s">
        <v>81</v>
      </c>
      <c r="X50" s="51"/>
      <c r="Y50" s="1" t="s">
        <v>83</v>
      </c>
      <c r="AA50" s="41" t="b">
        <f t="shared" si="5"/>
        <v>0</v>
      </c>
      <c r="AB50" s="41" t="str">
        <f t="shared" si="6"/>
        <v/>
      </c>
      <c r="AC50" s="41" t="str">
        <f t="shared" si="7"/>
        <v/>
      </c>
      <c r="AD50" s="31"/>
    </row>
    <row r="51" spans="1:30" x14ac:dyDescent="0.3">
      <c r="A51" s="47"/>
      <c r="B51" s="48">
        <f t="shared" si="4"/>
        <v>144</v>
      </c>
      <c r="C51" s="47" t="s">
        <v>81</v>
      </c>
      <c r="D51" s="47" t="s">
        <v>81</v>
      </c>
      <c r="E51" s="47" t="s">
        <v>81</v>
      </c>
      <c r="F51" s="47" t="s">
        <v>81</v>
      </c>
      <c r="G51" s="47" t="s">
        <v>81</v>
      </c>
      <c r="H51" s="47" t="s">
        <v>81</v>
      </c>
      <c r="I51" s="47" t="s">
        <v>81</v>
      </c>
      <c r="J51" s="47" t="s">
        <v>81</v>
      </c>
      <c r="K51" s="49" t="s">
        <v>81</v>
      </c>
      <c r="L51" s="49" t="s">
        <v>81</v>
      </c>
      <c r="M51" s="49" t="s">
        <v>81</v>
      </c>
      <c r="N51" s="49" t="s">
        <v>108</v>
      </c>
      <c r="O51" s="7" t="s">
        <v>81</v>
      </c>
      <c r="P51" s="7" t="s">
        <v>81</v>
      </c>
      <c r="Q51" s="7" t="s">
        <v>81</v>
      </c>
      <c r="R51" s="7" t="s">
        <v>81</v>
      </c>
      <c r="S51" s="7" t="s">
        <v>81</v>
      </c>
      <c r="T51" s="7" t="s">
        <v>81</v>
      </c>
      <c r="U51" s="7" t="s">
        <v>81</v>
      </c>
      <c r="V51" s="7" t="s">
        <v>81</v>
      </c>
      <c r="W51" s="7" t="s">
        <v>81</v>
      </c>
      <c r="X51" s="51"/>
      <c r="Y51" s="1" t="s">
        <v>83</v>
      </c>
      <c r="AA51" s="41" t="b">
        <f t="shared" si="5"/>
        <v>0</v>
      </c>
      <c r="AB51" s="41" t="str">
        <f t="shared" si="6"/>
        <v/>
      </c>
      <c r="AC51" s="41" t="str">
        <f t="shared" si="7"/>
        <v/>
      </c>
      <c r="AD51" s="31"/>
    </row>
    <row r="52" spans="1:30" x14ac:dyDescent="0.3">
      <c r="A52" s="47"/>
      <c r="B52" s="48">
        <f t="shared" si="4"/>
        <v>145</v>
      </c>
      <c r="C52" s="47" t="s">
        <v>81</v>
      </c>
      <c r="D52" s="47" t="s">
        <v>81</v>
      </c>
      <c r="E52" s="47" t="s">
        <v>81</v>
      </c>
      <c r="F52" s="47" t="s">
        <v>81</v>
      </c>
      <c r="G52" s="47" t="s">
        <v>81</v>
      </c>
      <c r="H52" s="47" t="s">
        <v>81</v>
      </c>
      <c r="I52" s="47" t="s">
        <v>81</v>
      </c>
      <c r="J52" s="47" t="s">
        <v>81</v>
      </c>
      <c r="K52" s="49" t="s">
        <v>81</v>
      </c>
      <c r="L52" s="49" t="s">
        <v>81</v>
      </c>
      <c r="M52" s="49" t="s">
        <v>81</v>
      </c>
      <c r="N52" s="49" t="s">
        <v>109</v>
      </c>
      <c r="O52" s="7" t="s">
        <v>81</v>
      </c>
      <c r="P52" s="7" t="s">
        <v>81</v>
      </c>
      <c r="Q52" s="7" t="s">
        <v>81</v>
      </c>
      <c r="R52" s="7" t="s">
        <v>81</v>
      </c>
      <c r="S52" s="7" t="s">
        <v>81</v>
      </c>
      <c r="T52" s="7" t="s">
        <v>81</v>
      </c>
      <c r="U52" s="7" t="s">
        <v>81</v>
      </c>
      <c r="V52" s="7" t="s">
        <v>81</v>
      </c>
      <c r="W52" s="7" t="s">
        <v>81</v>
      </c>
      <c r="X52" s="51"/>
      <c r="Y52" s="1" t="s">
        <v>83</v>
      </c>
      <c r="AA52" s="41" t="b">
        <f t="shared" si="5"/>
        <v>0</v>
      </c>
      <c r="AB52" s="41" t="str">
        <f t="shared" si="6"/>
        <v/>
      </c>
      <c r="AC52" s="41" t="str">
        <f t="shared" si="7"/>
        <v/>
      </c>
      <c r="AD52" s="31"/>
    </row>
    <row r="53" spans="1:30" x14ac:dyDescent="0.3">
      <c r="A53" s="47"/>
      <c r="B53" s="48">
        <f t="shared" ref="B53:B79" si="8">100+ROW(B53)-7</f>
        <v>146</v>
      </c>
      <c r="C53" s="47" t="s">
        <v>81</v>
      </c>
      <c r="D53" s="47" t="s">
        <v>81</v>
      </c>
      <c r="E53" s="47" t="s">
        <v>81</v>
      </c>
      <c r="F53" s="47" t="s">
        <v>81</v>
      </c>
      <c r="G53" s="47" t="s">
        <v>81</v>
      </c>
      <c r="H53" s="47" t="s">
        <v>81</v>
      </c>
      <c r="I53" s="47" t="s">
        <v>81</v>
      </c>
      <c r="J53" s="47" t="s">
        <v>81</v>
      </c>
      <c r="K53" s="49" t="s">
        <v>81</v>
      </c>
      <c r="L53" s="49" t="s">
        <v>81</v>
      </c>
      <c r="M53" s="49" t="s">
        <v>81</v>
      </c>
      <c r="N53" s="49" t="s">
        <v>110</v>
      </c>
      <c r="O53" s="7" t="s">
        <v>81</v>
      </c>
      <c r="P53" s="7" t="s">
        <v>81</v>
      </c>
      <c r="Q53" s="7" t="s">
        <v>81</v>
      </c>
      <c r="R53" s="7" t="s">
        <v>81</v>
      </c>
      <c r="S53" s="7" t="s">
        <v>81</v>
      </c>
      <c r="T53" s="7" t="s">
        <v>81</v>
      </c>
      <c r="U53" s="7" t="s">
        <v>81</v>
      </c>
      <c r="V53" s="7" t="s">
        <v>81</v>
      </c>
      <c r="W53" s="7" t="s">
        <v>81</v>
      </c>
      <c r="X53" s="51"/>
      <c r="Y53" s="1" t="s">
        <v>83</v>
      </c>
      <c r="AA53" s="41" t="b">
        <f t="shared" ref="AA53:AA59" si="9">NOT(ISERROR(FIND("エラー",A53, 1)))</f>
        <v>0</v>
      </c>
      <c r="AB53" s="41" t="str">
        <f t="shared" ref="AB53:AB59" si="10">IF(X53&lt;&gt;"", NOT(X53), "")</f>
        <v/>
      </c>
      <c r="AC53" s="41" t="str">
        <f t="shared" ref="AC53:AC59" si="11">IF(AND(AA53&lt;&gt;"", AB53&lt;&gt;""), AA53&lt;&gt;AB53, "")</f>
        <v/>
      </c>
      <c r="AD53" s="31"/>
    </row>
    <row r="54" spans="1:30" x14ac:dyDescent="0.3">
      <c r="A54" s="47"/>
      <c r="B54" s="48">
        <f t="shared" si="8"/>
        <v>147</v>
      </c>
      <c r="C54" s="47" t="s">
        <v>81</v>
      </c>
      <c r="D54" s="47" t="s">
        <v>81</v>
      </c>
      <c r="E54" s="47" t="s">
        <v>81</v>
      </c>
      <c r="F54" s="47" t="s">
        <v>81</v>
      </c>
      <c r="G54" s="47" t="s">
        <v>81</v>
      </c>
      <c r="H54" s="47" t="s">
        <v>81</v>
      </c>
      <c r="I54" s="47" t="s">
        <v>81</v>
      </c>
      <c r="J54" s="47" t="s">
        <v>81</v>
      </c>
      <c r="K54" s="49" t="s">
        <v>81</v>
      </c>
      <c r="L54" s="49" t="s">
        <v>81</v>
      </c>
      <c r="M54" s="50" t="s">
        <v>81</v>
      </c>
      <c r="N54" s="50" t="s">
        <v>111</v>
      </c>
      <c r="O54" s="7" t="s">
        <v>81</v>
      </c>
      <c r="P54" s="7" t="s">
        <v>81</v>
      </c>
      <c r="Q54" s="7" t="s">
        <v>81</v>
      </c>
      <c r="R54" s="7" t="s">
        <v>81</v>
      </c>
      <c r="S54" s="7" t="s">
        <v>81</v>
      </c>
      <c r="T54" s="7" t="s">
        <v>81</v>
      </c>
      <c r="U54" s="7" t="s">
        <v>81</v>
      </c>
      <c r="V54" s="7" t="s">
        <v>81</v>
      </c>
      <c r="W54" s="7" t="s">
        <v>81</v>
      </c>
      <c r="X54" s="51"/>
      <c r="Y54" s="1" t="s">
        <v>83</v>
      </c>
      <c r="AA54" s="41" t="b">
        <f t="shared" si="9"/>
        <v>0</v>
      </c>
      <c r="AB54" s="41" t="str">
        <f t="shared" si="10"/>
        <v/>
      </c>
      <c r="AC54" s="41" t="str">
        <f t="shared" si="11"/>
        <v/>
      </c>
      <c r="AD54" s="31"/>
    </row>
    <row r="55" spans="1:30" x14ac:dyDescent="0.3">
      <c r="A55" s="47"/>
      <c r="B55" s="48">
        <f t="shared" si="8"/>
        <v>148</v>
      </c>
      <c r="C55" s="47" t="s">
        <v>81</v>
      </c>
      <c r="D55" s="47" t="s">
        <v>81</v>
      </c>
      <c r="E55" s="47" t="s">
        <v>81</v>
      </c>
      <c r="F55" s="47" t="s">
        <v>81</v>
      </c>
      <c r="G55" s="47" t="s">
        <v>81</v>
      </c>
      <c r="H55" s="47" t="s">
        <v>81</v>
      </c>
      <c r="I55" s="47" t="s">
        <v>81</v>
      </c>
      <c r="J55" s="47" t="s">
        <v>81</v>
      </c>
      <c r="K55" s="49" t="s">
        <v>81</v>
      </c>
      <c r="L55" s="49" t="s">
        <v>81</v>
      </c>
      <c r="M55" s="50" t="s">
        <v>81</v>
      </c>
      <c r="N55" s="50" t="s">
        <v>112</v>
      </c>
      <c r="O55" s="7" t="s">
        <v>81</v>
      </c>
      <c r="P55" s="7" t="s">
        <v>81</v>
      </c>
      <c r="Q55" s="7" t="s">
        <v>81</v>
      </c>
      <c r="R55" s="7" t="s">
        <v>81</v>
      </c>
      <c r="S55" s="7" t="s">
        <v>81</v>
      </c>
      <c r="T55" s="7" t="s">
        <v>81</v>
      </c>
      <c r="U55" s="7" t="s">
        <v>81</v>
      </c>
      <c r="V55" s="7" t="s">
        <v>81</v>
      </c>
      <c r="W55" s="7" t="s">
        <v>81</v>
      </c>
      <c r="X55" s="51"/>
      <c r="Y55" s="1" t="s">
        <v>83</v>
      </c>
      <c r="AA55" s="41" t="b">
        <f t="shared" si="9"/>
        <v>0</v>
      </c>
      <c r="AB55" s="41" t="str">
        <f t="shared" si="10"/>
        <v/>
      </c>
      <c r="AC55" s="41" t="str">
        <f t="shared" si="11"/>
        <v/>
      </c>
      <c r="AD55" s="31"/>
    </row>
    <row r="56" spans="1:30" x14ac:dyDescent="0.3">
      <c r="A56" s="47"/>
      <c r="B56" s="48">
        <f t="shared" si="8"/>
        <v>149</v>
      </c>
      <c r="C56" s="47" t="s">
        <v>81</v>
      </c>
      <c r="D56" s="47" t="s">
        <v>81</v>
      </c>
      <c r="E56" s="47" t="s">
        <v>81</v>
      </c>
      <c r="F56" s="47" t="s">
        <v>81</v>
      </c>
      <c r="G56" s="47" t="s">
        <v>81</v>
      </c>
      <c r="H56" s="47" t="s">
        <v>81</v>
      </c>
      <c r="I56" s="47" t="s">
        <v>81</v>
      </c>
      <c r="J56" s="47" t="s">
        <v>81</v>
      </c>
      <c r="K56" s="49" t="s">
        <v>81</v>
      </c>
      <c r="L56" s="49" t="s">
        <v>81</v>
      </c>
      <c r="M56" s="50" t="s">
        <v>81</v>
      </c>
      <c r="N56" s="50" t="s">
        <v>113</v>
      </c>
      <c r="O56" s="7" t="s">
        <v>81</v>
      </c>
      <c r="P56" s="7" t="s">
        <v>81</v>
      </c>
      <c r="Q56" s="7" t="s">
        <v>81</v>
      </c>
      <c r="R56" s="7" t="s">
        <v>81</v>
      </c>
      <c r="S56" s="7" t="s">
        <v>81</v>
      </c>
      <c r="T56" s="7" t="s">
        <v>81</v>
      </c>
      <c r="U56" s="7" t="s">
        <v>81</v>
      </c>
      <c r="V56" s="7" t="s">
        <v>81</v>
      </c>
      <c r="W56" s="7" t="s">
        <v>81</v>
      </c>
      <c r="X56" s="51"/>
      <c r="Y56" s="1" t="s">
        <v>83</v>
      </c>
      <c r="AA56" s="41" t="b">
        <f t="shared" si="9"/>
        <v>0</v>
      </c>
      <c r="AB56" s="41" t="str">
        <f t="shared" si="10"/>
        <v/>
      </c>
      <c r="AC56" s="41" t="str">
        <f t="shared" si="11"/>
        <v/>
      </c>
      <c r="AD56" s="31"/>
    </row>
    <row r="57" spans="1:30" x14ac:dyDescent="0.3">
      <c r="A57" s="47"/>
      <c r="B57" s="48">
        <f t="shared" si="8"/>
        <v>150</v>
      </c>
      <c r="C57" s="47" t="s">
        <v>81</v>
      </c>
      <c r="D57" s="47" t="s">
        <v>81</v>
      </c>
      <c r="E57" s="47" t="s">
        <v>81</v>
      </c>
      <c r="F57" s="47" t="s">
        <v>81</v>
      </c>
      <c r="G57" s="47" t="s">
        <v>81</v>
      </c>
      <c r="H57" s="47" t="s">
        <v>81</v>
      </c>
      <c r="I57" s="47" t="s">
        <v>81</v>
      </c>
      <c r="J57" s="47" t="s">
        <v>81</v>
      </c>
      <c r="K57" s="49" t="s">
        <v>81</v>
      </c>
      <c r="L57" s="49" t="s">
        <v>81</v>
      </c>
      <c r="M57" s="50" t="s">
        <v>81</v>
      </c>
      <c r="N57" s="50" t="s">
        <v>114</v>
      </c>
      <c r="O57" s="7" t="s">
        <v>81</v>
      </c>
      <c r="P57" s="7" t="s">
        <v>81</v>
      </c>
      <c r="Q57" s="7" t="s">
        <v>81</v>
      </c>
      <c r="R57" s="7" t="s">
        <v>81</v>
      </c>
      <c r="S57" s="7" t="s">
        <v>81</v>
      </c>
      <c r="T57" s="7" t="s">
        <v>81</v>
      </c>
      <c r="U57" s="7" t="s">
        <v>81</v>
      </c>
      <c r="V57" s="7" t="s">
        <v>81</v>
      </c>
      <c r="W57" s="7" t="s">
        <v>81</v>
      </c>
      <c r="X57" s="51"/>
      <c r="Y57" s="1" t="s">
        <v>83</v>
      </c>
      <c r="AA57" s="41" t="b">
        <f t="shared" si="9"/>
        <v>0</v>
      </c>
      <c r="AB57" s="41" t="str">
        <f t="shared" si="10"/>
        <v/>
      </c>
      <c r="AC57" s="41" t="str">
        <f t="shared" si="11"/>
        <v/>
      </c>
      <c r="AD57" s="31"/>
    </row>
    <row r="58" spans="1:30" ht="57.6" x14ac:dyDescent="0.3">
      <c r="A58" s="7"/>
      <c r="B58" s="1">
        <f t="shared" si="8"/>
        <v>151</v>
      </c>
      <c r="C58" s="7" t="s">
        <v>81</v>
      </c>
      <c r="D58" s="7" t="s">
        <v>81</v>
      </c>
      <c r="E58" s="7" t="s">
        <v>81</v>
      </c>
      <c r="F58" s="7" t="s">
        <v>81</v>
      </c>
      <c r="G58" s="7" t="s">
        <v>81</v>
      </c>
      <c r="H58" s="7" t="s">
        <v>81</v>
      </c>
      <c r="I58" s="7" t="s">
        <v>81</v>
      </c>
      <c r="J58" s="7" t="s">
        <v>81</v>
      </c>
      <c r="K58" s="46" t="s">
        <v>81</v>
      </c>
      <c r="L58" s="46" t="s">
        <v>81</v>
      </c>
      <c r="M58" s="46" t="s">
        <v>81</v>
      </c>
      <c r="N58" s="46" t="s">
        <v>115</v>
      </c>
      <c r="O58" s="7" t="s">
        <v>81</v>
      </c>
      <c r="P58" s="7" t="s">
        <v>81</v>
      </c>
      <c r="Q58" s="7" t="s">
        <v>81</v>
      </c>
      <c r="R58" s="7" t="s">
        <v>81</v>
      </c>
      <c r="S58" s="7" t="s">
        <v>81</v>
      </c>
      <c r="T58" s="7" t="s">
        <v>81</v>
      </c>
      <c r="U58" s="7" t="s">
        <v>81</v>
      </c>
      <c r="V58" s="7" t="s">
        <v>81</v>
      </c>
      <c r="W58" s="7" t="s">
        <v>81</v>
      </c>
      <c r="X58" s="51"/>
      <c r="Y58" s="1" t="s">
        <v>83</v>
      </c>
      <c r="AA58" s="41" t="b">
        <f t="shared" si="9"/>
        <v>0</v>
      </c>
      <c r="AB58" s="41" t="str">
        <f t="shared" si="10"/>
        <v/>
      </c>
      <c r="AC58" s="41" t="str">
        <f t="shared" si="11"/>
        <v/>
      </c>
      <c r="AD58" s="31"/>
    </row>
    <row r="59" spans="1:30" ht="58.2" thickBot="1" x14ac:dyDescent="0.35">
      <c r="A59" s="54"/>
      <c r="B59" s="55">
        <f t="shared" si="8"/>
        <v>152</v>
      </c>
      <c r="C59" s="54" t="s">
        <v>81</v>
      </c>
      <c r="D59" s="54" t="s">
        <v>81</v>
      </c>
      <c r="E59" s="54" t="s">
        <v>81</v>
      </c>
      <c r="F59" s="54" t="s">
        <v>81</v>
      </c>
      <c r="G59" s="54" t="s">
        <v>81</v>
      </c>
      <c r="H59" s="54" t="s">
        <v>81</v>
      </c>
      <c r="I59" s="54" t="s">
        <v>81</v>
      </c>
      <c r="J59" s="54" t="s">
        <v>81</v>
      </c>
      <c r="K59" s="56" t="s">
        <v>81</v>
      </c>
      <c r="L59" s="56" t="s">
        <v>81</v>
      </c>
      <c r="M59" s="56" t="s">
        <v>81</v>
      </c>
      <c r="N59" s="56" t="s">
        <v>116</v>
      </c>
      <c r="O59" s="54" t="s">
        <v>81</v>
      </c>
      <c r="P59" s="54" t="s">
        <v>81</v>
      </c>
      <c r="Q59" s="54" t="s">
        <v>81</v>
      </c>
      <c r="R59" s="54" t="s">
        <v>81</v>
      </c>
      <c r="S59" s="54" t="s">
        <v>81</v>
      </c>
      <c r="T59" s="54" t="s">
        <v>81</v>
      </c>
      <c r="U59" s="54" t="s">
        <v>81</v>
      </c>
      <c r="V59" s="54" t="s">
        <v>81</v>
      </c>
      <c r="W59" s="54" t="s">
        <v>81</v>
      </c>
      <c r="X59" s="57"/>
      <c r="Y59" s="55" t="s">
        <v>83</v>
      </c>
      <c r="Z59" s="55"/>
      <c r="AA59" s="58" t="b">
        <f t="shared" si="9"/>
        <v>0</v>
      </c>
      <c r="AB59" s="58" t="str">
        <f t="shared" si="10"/>
        <v/>
      </c>
      <c r="AC59" s="58" t="str">
        <f t="shared" si="11"/>
        <v/>
      </c>
      <c r="AD59" s="59"/>
    </row>
    <row r="60" spans="1:30" ht="15" thickTop="1" x14ac:dyDescent="0.3">
      <c r="A60" s="60"/>
      <c r="B60" s="60">
        <f t="shared" si="8"/>
        <v>153</v>
      </c>
      <c r="C60" s="60" t="s">
        <v>81</v>
      </c>
      <c r="D60" s="60" t="s">
        <v>81</v>
      </c>
      <c r="E60" s="60" t="s">
        <v>81</v>
      </c>
      <c r="F60" s="60" t="s">
        <v>81</v>
      </c>
      <c r="G60" s="61" t="s">
        <v>81</v>
      </c>
      <c r="H60" s="61" t="s">
        <v>81</v>
      </c>
      <c r="I60" s="60" t="s">
        <v>81</v>
      </c>
      <c r="J60" s="60" t="s">
        <v>81</v>
      </c>
      <c r="K60" s="68" t="e">
        <f t="shared" ref="K60:K79" ca="1" si="12">MID(ALs1BAlphaL, RANDBETWEEN(1, LEN(ALs1BAlphaL)-1),2)&amp;MID(ALs1BKana, RANDBETWEEN(1, LEN(ALs1BKana)-1),2)&amp;MID(ALs1BAlphaS, RANDBETWEEN(1, LEN(ALs1BAlphaS)-1),2)&amp;MID(ALs1BNum, RANDBETWEEN(1, LEN(ALs1BNum)-1),2)</f>
        <v>#NUM!</v>
      </c>
      <c r="L60" s="68" t="e">
        <f t="shared" ref="L60:L79" ca="1" si="13">MID(ALs2BKana, RANDBETWEEN(1, LEN(ALs2BKana)-1),2)&amp;MID(ALs2BAlphaS, RANDBETWEEN(1, LEN(ALs2BAlphaS)-1),2)&amp;MID(ALs1BAlphaL, RANDBETWEEN(1, LEN(ALs1BAlphaL)-1),2)&amp;MID(ALs1BNum, RANDBETWEEN(1, LEN(ALs1BNum)-1),2)</f>
        <v>#NUM!</v>
      </c>
      <c r="M60" s="68" t="e">
        <f t="shared" ref="M60:M79" ca="1" si="14">MID(ALs2BKanji, RANDBETWEEN(1, LEN(ALs2BKanji)-1),20)&amp;MID(ALs2BHirakana, RANDBETWEEN(1, LEN(ALs2BHirakana)-1),20)&amp;MID(ALs2BKana, RANDBETWEEN(1, LEN(ALs2BKana)-1),20)&amp;MID(ALs2BAlphaL, RANDBETWEEN(1, LEN(ALs2BAlphaL)-1),20)&amp;MID(ALs1BKana, RANDBETWEEN(1, LEN(ALs1BKana)-1),20)</f>
        <v>#NUM!</v>
      </c>
      <c r="N60" s="68" t="e">
        <f t="shared" ref="N60:N79" ca="1" si="15">MID(ALs2BKana, RANDBETWEEN(1, LEN(ALs2BKana)-1),20)&amp;MID(ALs2BAlphaL, RANDBETWEEN(1, LEN(ALs2BAlphaL)-1),20)&amp;MID(ALs1BKana, RANDBETWEEN(1, LEN(ALs1BKana)-1),20)&amp;MID(ALs2BKanji, RANDBETWEEN(1, LEN(ALs2BKanji)-1),20)&amp;MID(ALs2BHirakana, RANDBETWEEN(1, LEN(ALs2BHirakana)-1),20)</f>
        <v>#NUM!</v>
      </c>
      <c r="O60" s="63" t="s">
        <v>81</v>
      </c>
      <c r="P60" s="64" t="s">
        <v>81</v>
      </c>
      <c r="Q60" s="65" t="s">
        <v>81</v>
      </c>
      <c r="R60" s="65" t="s">
        <v>81</v>
      </c>
      <c r="S60" s="60" t="s">
        <v>81</v>
      </c>
      <c r="T60" s="62" t="s">
        <v>81</v>
      </c>
      <c r="U60" s="62" t="s">
        <v>81</v>
      </c>
      <c r="V60" s="62" t="s">
        <v>81</v>
      </c>
      <c r="W60" s="62" t="s">
        <v>81</v>
      </c>
      <c r="X60" s="60"/>
      <c r="Y60" s="60"/>
      <c r="Z60" s="60"/>
      <c r="AA60" s="66" t="b">
        <f t="shared" ref="AA60:AA79" si="16">NOT(ISERROR(FIND("エラー",A60, 1)))</f>
        <v>0</v>
      </c>
      <c r="AB60" s="66" t="str">
        <f t="shared" ref="AB60:AB79" si="17">IF(X60&lt;&gt;"", NOT(X60), "")</f>
        <v/>
      </c>
      <c r="AC60" s="66" t="str">
        <f t="shared" ref="AC60:AC79" si="18">IF(AND(AA60&lt;&gt;"", AB60&lt;&gt;""), AA60&lt;&gt;AB60, "")</f>
        <v/>
      </c>
      <c r="AD60" s="60"/>
    </row>
    <row r="61" spans="1:30" x14ac:dyDescent="0.3">
      <c r="B61" s="1">
        <f t="shared" si="8"/>
        <v>154</v>
      </c>
      <c r="C61" s="1" t="s">
        <v>81</v>
      </c>
      <c r="D61" s="1" t="s">
        <v>81</v>
      </c>
      <c r="E61" s="1" t="s">
        <v>81</v>
      </c>
      <c r="F61" s="1" t="s">
        <v>81</v>
      </c>
      <c r="G61" s="2" t="s">
        <v>81</v>
      </c>
      <c r="H61" s="2" t="s">
        <v>81</v>
      </c>
      <c r="I61" s="1" t="s">
        <v>81</v>
      </c>
      <c r="J61" s="1" t="s">
        <v>81</v>
      </c>
      <c r="K61" s="31" t="e">
        <f t="shared" ca="1" si="12"/>
        <v>#NUM!</v>
      </c>
      <c r="L61" s="31" t="e">
        <f t="shared" ca="1" si="13"/>
        <v>#NUM!</v>
      </c>
      <c r="M61" s="31" t="e">
        <f t="shared" ca="1" si="14"/>
        <v>#NUM!</v>
      </c>
      <c r="N61" s="31" t="e">
        <f t="shared" ca="1" si="15"/>
        <v>#NUM!</v>
      </c>
      <c r="O61" s="4" t="s">
        <v>81</v>
      </c>
      <c r="P61" s="5" t="s">
        <v>81</v>
      </c>
      <c r="Q61" s="6" t="s">
        <v>81</v>
      </c>
      <c r="R61" s="6" t="s">
        <v>81</v>
      </c>
      <c r="S61" s="1" t="s">
        <v>81</v>
      </c>
      <c r="T61" s="3" t="s">
        <v>81</v>
      </c>
      <c r="U61" s="3" t="s">
        <v>81</v>
      </c>
      <c r="V61" s="3" t="s">
        <v>81</v>
      </c>
      <c r="W61" s="3" t="s">
        <v>81</v>
      </c>
      <c r="AA61" s="42" t="b">
        <f t="shared" si="16"/>
        <v>0</v>
      </c>
      <c r="AB61" s="42" t="str">
        <f t="shared" si="17"/>
        <v/>
      </c>
      <c r="AC61" s="42" t="str">
        <f t="shared" si="18"/>
        <v/>
      </c>
    </row>
    <row r="62" spans="1:30" x14ac:dyDescent="0.3">
      <c r="B62" s="1">
        <f t="shared" si="8"/>
        <v>155</v>
      </c>
      <c r="C62" s="1" t="s">
        <v>81</v>
      </c>
      <c r="D62" s="1" t="s">
        <v>81</v>
      </c>
      <c r="E62" s="1" t="s">
        <v>81</v>
      </c>
      <c r="F62" s="1" t="s">
        <v>81</v>
      </c>
      <c r="G62" s="2" t="s">
        <v>81</v>
      </c>
      <c r="H62" s="2" t="s">
        <v>81</v>
      </c>
      <c r="I62" s="1" t="s">
        <v>81</v>
      </c>
      <c r="J62" s="1" t="s">
        <v>81</v>
      </c>
      <c r="K62" s="31" t="e">
        <f t="shared" ca="1" si="12"/>
        <v>#NUM!</v>
      </c>
      <c r="L62" s="31" t="e">
        <f t="shared" ca="1" si="13"/>
        <v>#NUM!</v>
      </c>
      <c r="M62" s="31" t="e">
        <f t="shared" ca="1" si="14"/>
        <v>#NUM!</v>
      </c>
      <c r="N62" s="31" t="e">
        <f t="shared" ca="1" si="15"/>
        <v>#NUM!</v>
      </c>
      <c r="O62" s="4" t="s">
        <v>81</v>
      </c>
      <c r="P62" s="5" t="s">
        <v>81</v>
      </c>
      <c r="Q62" s="6" t="s">
        <v>81</v>
      </c>
      <c r="R62" s="6" t="s">
        <v>81</v>
      </c>
      <c r="S62" s="1" t="s">
        <v>81</v>
      </c>
      <c r="T62" s="3" t="s">
        <v>81</v>
      </c>
      <c r="U62" s="3" t="s">
        <v>81</v>
      </c>
      <c r="V62" s="3" t="s">
        <v>81</v>
      </c>
      <c r="W62" s="3" t="s">
        <v>81</v>
      </c>
      <c r="AA62" s="42" t="b">
        <f t="shared" si="16"/>
        <v>0</v>
      </c>
      <c r="AB62" s="42" t="str">
        <f t="shared" si="17"/>
        <v/>
      </c>
      <c r="AC62" s="42" t="str">
        <f t="shared" si="18"/>
        <v/>
      </c>
    </row>
    <row r="63" spans="1:30" x14ac:dyDescent="0.3">
      <c r="B63" s="1">
        <f t="shared" si="8"/>
        <v>156</v>
      </c>
      <c r="C63" s="1" t="s">
        <v>81</v>
      </c>
      <c r="D63" s="1" t="s">
        <v>81</v>
      </c>
      <c r="E63" s="1" t="s">
        <v>81</v>
      </c>
      <c r="F63" s="1" t="s">
        <v>81</v>
      </c>
      <c r="G63" s="2" t="s">
        <v>81</v>
      </c>
      <c r="H63" s="2" t="s">
        <v>81</v>
      </c>
      <c r="I63" s="1" t="s">
        <v>81</v>
      </c>
      <c r="J63" s="1" t="s">
        <v>81</v>
      </c>
      <c r="K63" s="31" t="e">
        <f t="shared" ca="1" si="12"/>
        <v>#NUM!</v>
      </c>
      <c r="L63" s="31" t="e">
        <f t="shared" ca="1" si="13"/>
        <v>#NUM!</v>
      </c>
      <c r="M63" s="31" t="e">
        <f t="shared" ca="1" si="14"/>
        <v>#NUM!</v>
      </c>
      <c r="N63" s="31" t="e">
        <f t="shared" ca="1" si="15"/>
        <v>#NUM!</v>
      </c>
      <c r="O63" s="4" t="s">
        <v>81</v>
      </c>
      <c r="P63" s="5" t="s">
        <v>81</v>
      </c>
      <c r="Q63" s="6" t="s">
        <v>81</v>
      </c>
      <c r="R63" s="6" t="s">
        <v>81</v>
      </c>
      <c r="S63" s="1" t="s">
        <v>81</v>
      </c>
      <c r="T63" s="3" t="s">
        <v>81</v>
      </c>
      <c r="U63" s="3" t="s">
        <v>81</v>
      </c>
      <c r="V63" s="3" t="s">
        <v>81</v>
      </c>
      <c r="W63" s="3" t="s">
        <v>81</v>
      </c>
      <c r="AA63" s="42" t="b">
        <f t="shared" si="16"/>
        <v>0</v>
      </c>
      <c r="AB63" s="42" t="str">
        <f t="shared" si="17"/>
        <v/>
      </c>
      <c r="AC63" s="42" t="str">
        <f t="shared" si="18"/>
        <v/>
      </c>
    </row>
    <row r="64" spans="1:30" x14ac:dyDescent="0.3">
      <c r="B64" s="1">
        <f t="shared" si="8"/>
        <v>157</v>
      </c>
      <c r="C64" s="1" t="s">
        <v>81</v>
      </c>
      <c r="D64" s="1" t="s">
        <v>81</v>
      </c>
      <c r="E64" s="1" t="s">
        <v>81</v>
      </c>
      <c r="F64" s="1" t="s">
        <v>81</v>
      </c>
      <c r="G64" s="2" t="s">
        <v>81</v>
      </c>
      <c r="H64" s="2" t="s">
        <v>81</v>
      </c>
      <c r="I64" s="1" t="s">
        <v>81</v>
      </c>
      <c r="J64" s="1" t="s">
        <v>81</v>
      </c>
      <c r="K64" s="31" t="e">
        <f t="shared" ca="1" si="12"/>
        <v>#NUM!</v>
      </c>
      <c r="L64" s="31" t="e">
        <f t="shared" ca="1" si="13"/>
        <v>#NUM!</v>
      </c>
      <c r="M64" s="31" t="e">
        <f t="shared" ca="1" si="14"/>
        <v>#NUM!</v>
      </c>
      <c r="N64" s="31" t="e">
        <f t="shared" ca="1" si="15"/>
        <v>#NUM!</v>
      </c>
      <c r="O64" s="4" t="s">
        <v>81</v>
      </c>
      <c r="P64" s="5" t="s">
        <v>81</v>
      </c>
      <c r="Q64" s="6" t="s">
        <v>81</v>
      </c>
      <c r="R64" s="6" t="s">
        <v>81</v>
      </c>
      <c r="S64" s="1" t="s">
        <v>81</v>
      </c>
      <c r="T64" s="3" t="s">
        <v>81</v>
      </c>
      <c r="U64" s="3" t="s">
        <v>81</v>
      </c>
      <c r="V64" s="3" t="s">
        <v>81</v>
      </c>
      <c r="W64" s="3" t="s">
        <v>81</v>
      </c>
      <c r="AA64" s="42" t="b">
        <f t="shared" si="16"/>
        <v>0</v>
      </c>
      <c r="AB64" s="42" t="str">
        <f t="shared" si="17"/>
        <v/>
      </c>
      <c r="AC64" s="42" t="str">
        <f t="shared" si="18"/>
        <v/>
      </c>
    </row>
    <row r="65" spans="2:29" x14ac:dyDescent="0.3">
      <c r="B65" s="1">
        <f t="shared" si="8"/>
        <v>158</v>
      </c>
      <c r="C65" s="1" t="s">
        <v>81</v>
      </c>
      <c r="D65" s="1" t="s">
        <v>81</v>
      </c>
      <c r="E65" s="1" t="s">
        <v>81</v>
      </c>
      <c r="F65" s="1" t="s">
        <v>81</v>
      </c>
      <c r="G65" s="2" t="s">
        <v>81</v>
      </c>
      <c r="H65" s="2" t="s">
        <v>81</v>
      </c>
      <c r="I65" s="1" t="s">
        <v>81</v>
      </c>
      <c r="J65" s="1" t="s">
        <v>81</v>
      </c>
      <c r="K65" s="31" t="e">
        <f t="shared" ca="1" si="12"/>
        <v>#NUM!</v>
      </c>
      <c r="L65" s="31" t="e">
        <f t="shared" ca="1" si="13"/>
        <v>#NUM!</v>
      </c>
      <c r="M65" s="31" t="e">
        <f t="shared" ca="1" si="14"/>
        <v>#NUM!</v>
      </c>
      <c r="N65" s="31" t="e">
        <f t="shared" ca="1" si="15"/>
        <v>#NUM!</v>
      </c>
      <c r="O65" s="4" t="s">
        <v>81</v>
      </c>
      <c r="P65" s="5" t="s">
        <v>81</v>
      </c>
      <c r="Q65" s="6" t="s">
        <v>81</v>
      </c>
      <c r="R65" s="6" t="s">
        <v>81</v>
      </c>
      <c r="S65" s="1" t="s">
        <v>81</v>
      </c>
      <c r="T65" s="3" t="s">
        <v>81</v>
      </c>
      <c r="U65" s="3" t="s">
        <v>81</v>
      </c>
      <c r="V65" s="3" t="s">
        <v>81</v>
      </c>
      <c r="W65" s="3" t="s">
        <v>81</v>
      </c>
      <c r="AA65" s="42" t="b">
        <f t="shared" si="16"/>
        <v>0</v>
      </c>
      <c r="AB65" s="42" t="str">
        <f t="shared" si="17"/>
        <v/>
      </c>
      <c r="AC65" s="42" t="str">
        <f t="shared" si="18"/>
        <v/>
      </c>
    </row>
    <row r="66" spans="2:29" x14ac:dyDescent="0.3">
      <c r="B66" s="1">
        <f t="shared" si="8"/>
        <v>159</v>
      </c>
      <c r="C66" s="1" t="s">
        <v>81</v>
      </c>
      <c r="D66" s="1" t="s">
        <v>81</v>
      </c>
      <c r="E66" s="1" t="s">
        <v>81</v>
      </c>
      <c r="F66" s="1" t="s">
        <v>81</v>
      </c>
      <c r="G66" s="2" t="s">
        <v>81</v>
      </c>
      <c r="H66" s="2" t="s">
        <v>81</v>
      </c>
      <c r="I66" s="1" t="s">
        <v>81</v>
      </c>
      <c r="J66" s="1" t="s">
        <v>81</v>
      </c>
      <c r="K66" s="31" t="e">
        <f t="shared" ca="1" si="12"/>
        <v>#NUM!</v>
      </c>
      <c r="L66" s="31" t="e">
        <f t="shared" ca="1" si="13"/>
        <v>#NUM!</v>
      </c>
      <c r="M66" s="31" t="e">
        <f t="shared" ca="1" si="14"/>
        <v>#NUM!</v>
      </c>
      <c r="N66" s="31" t="e">
        <f t="shared" ca="1" si="15"/>
        <v>#NUM!</v>
      </c>
      <c r="O66" s="4" t="s">
        <v>81</v>
      </c>
      <c r="P66" s="5" t="s">
        <v>81</v>
      </c>
      <c r="Q66" s="6" t="s">
        <v>81</v>
      </c>
      <c r="R66" s="6" t="s">
        <v>81</v>
      </c>
      <c r="S66" s="1" t="s">
        <v>81</v>
      </c>
      <c r="T66" s="3" t="s">
        <v>81</v>
      </c>
      <c r="U66" s="3" t="s">
        <v>81</v>
      </c>
      <c r="V66" s="3" t="s">
        <v>81</v>
      </c>
      <c r="W66" s="3" t="s">
        <v>81</v>
      </c>
      <c r="AA66" s="42" t="b">
        <f t="shared" si="16"/>
        <v>0</v>
      </c>
      <c r="AB66" s="42" t="str">
        <f t="shared" si="17"/>
        <v/>
      </c>
      <c r="AC66" s="42" t="str">
        <f t="shared" si="18"/>
        <v/>
      </c>
    </row>
    <row r="67" spans="2:29" x14ac:dyDescent="0.3">
      <c r="B67" s="1">
        <f t="shared" si="8"/>
        <v>160</v>
      </c>
      <c r="C67" s="1" t="s">
        <v>81</v>
      </c>
      <c r="D67" s="1" t="s">
        <v>81</v>
      </c>
      <c r="E67" s="1" t="s">
        <v>81</v>
      </c>
      <c r="F67" s="1" t="s">
        <v>81</v>
      </c>
      <c r="G67" s="2" t="s">
        <v>81</v>
      </c>
      <c r="H67" s="2" t="s">
        <v>81</v>
      </c>
      <c r="I67" s="1" t="s">
        <v>81</v>
      </c>
      <c r="J67" s="1" t="s">
        <v>81</v>
      </c>
      <c r="K67" s="31" t="e">
        <f t="shared" ca="1" si="12"/>
        <v>#NUM!</v>
      </c>
      <c r="L67" s="31" t="e">
        <f t="shared" ca="1" si="13"/>
        <v>#NUM!</v>
      </c>
      <c r="M67" s="31" t="e">
        <f t="shared" ca="1" si="14"/>
        <v>#NUM!</v>
      </c>
      <c r="N67" s="31" t="e">
        <f t="shared" ca="1" si="15"/>
        <v>#NUM!</v>
      </c>
      <c r="O67" s="4" t="s">
        <v>81</v>
      </c>
      <c r="P67" s="5" t="s">
        <v>81</v>
      </c>
      <c r="Q67" s="6" t="s">
        <v>81</v>
      </c>
      <c r="R67" s="6" t="s">
        <v>81</v>
      </c>
      <c r="S67" s="1" t="s">
        <v>81</v>
      </c>
      <c r="T67" s="3" t="s">
        <v>81</v>
      </c>
      <c r="U67" s="3" t="s">
        <v>81</v>
      </c>
      <c r="V67" s="3" t="s">
        <v>81</v>
      </c>
      <c r="W67" s="3" t="s">
        <v>81</v>
      </c>
      <c r="AA67" s="42" t="b">
        <f t="shared" si="16"/>
        <v>0</v>
      </c>
      <c r="AB67" s="42" t="str">
        <f t="shared" si="17"/>
        <v/>
      </c>
      <c r="AC67" s="42" t="str">
        <f t="shared" si="18"/>
        <v/>
      </c>
    </row>
    <row r="68" spans="2:29" x14ac:dyDescent="0.3">
      <c r="B68" s="1">
        <f t="shared" si="8"/>
        <v>161</v>
      </c>
      <c r="C68" s="1" t="s">
        <v>81</v>
      </c>
      <c r="D68" s="1" t="s">
        <v>81</v>
      </c>
      <c r="E68" s="1" t="s">
        <v>81</v>
      </c>
      <c r="F68" s="1" t="s">
        <v>81</v>
      </c>
      <c r="G68" s="2" t="s">
        <v>81</v>
      </c>
      <c r="H68" s="2" t="s">
        <v>81</v>
      </c>
      <c r="I68" s="1" t="s">
        <v>81</v>
      </c>
      <c r="J68" s="1" t="s">
        <v>81</v>
      </c>
      <c r="K68" s="31" t="e">
        <f t="shared" ca="1" si="12"/>
        <v>#NUM!</v>
      </c>
      <c r="L68" s="31" t="e">
        <f t="shared" ca="1" si="13"/>
        <v>#NUM!</v>
      </c>
      <c r="M68" s="31" t="e">
        <f t="shared" ca="1" si="14"/>
        <v>#NUM!</v>
      </c>
      <c r="N68" s="31" t="e">
        <f t="shared" ca="1" si="15"/>
        <v>#NUM!</v>
      </c>
      <c r="O68" s="4" t="s">
        <v>81</v>
      </c>
      <c r="P68" s="5" t="s">
        <v>81</v>
      </c>
      <c r="Q68" s="6" t="s">
        <v>81</v>
      </c>
      <c r="R68" s="6" t="s">
        <v>81</v>
      </c>
      <c r="S68" s="1" t="s">
        <v>81</v>
      </c>
      <c r="T68" s="3" t="s">
        <v>81</v>
      </c>
      <c r="U68" s="3" t="s">
        <v>81</v>
      </c>
      <c r="V68" s="3" t="s">
        <v>81</v>
      </c>
      <c r="W68" s="3" t="s">
        <v>81</v>
      </c>
      <c r="AA68" s="42" t="b">
        <f t="shared" si="16"/>
        <v>0</v>
      </c>
      <c r="AB68" s="42" t="str">
        <f t="shared" si="17"/>
        <v/>
      </c>
      <c r="AC68" s="42" t="str">
        <f t="shared" si="18"/>
        <v/>
      </c>
    </row>
    <row r="69" spans="2:29" x14ac:dyDescent="0.3">
      <c r="B69" s="1">
        <f t="shared" si="8"/>
        <v>162</v>
      </c>
      <c r="C69" s="1" t="s">
        <v>81</v>
      </c>
      <c r="D69" s="1" t="s">
        <v>81</v>
      </c>
      <c r="E69" s="1" t="s">
        <v>81</v>
      </c>
      <c r="F69" s="1" t="s">
        <v>81</v>
      </c>
      <c r="G69" s="2" t="s">
        <v>81</v>
      </c>
      <c r="H69" s="2" t="s">
        <v>81</v>
      </c>
      <c r="I69" s="1" t="s">
        <v>81</v>
      </c>
      <c r="J69" s="1" t="s">
        <v>81</v>
      </c>
      <c r="K69" s="31" t="e">
        <f t="shared" ca="1" si="12"/>
        <v>#NUM!</v>
      </c>
      <c r="L69" s="31" t="e">
        <f t="shared" ca="1" si="13"/>
        <v>#NUM!</v>
      </c>
      <c r="M69" s="31" t="e">
        <f t="shared" ca="1" si="14"/>
        <v>#NUM!</v>
      </c>
      <c r="N69" s="31" t="e">
        <f t="shared" ca="1" si="15"/>
        <v>#NUM!</v>
      </c>
      <c r="O69" s="4" t="s">
        <v>81</v>
      </c>
      <c r="P69" s="5" t="s">
        <v>81</v>
      </c>
      <c r="Q69" s="6" t="s">
        <v>81</v>
      </c>
      <c r="R69" s="6" t="s">
        <v>81</v>
      </c>
      <c r="S69" s="1" t="s">
        <v>81</v>
      </c>
      <c r="T69" s="3" t="s">
        <v>81</v>
      </c>
      <c r="U69" s="3" t="s">
        <v>81</v>
      </c>
      <c r="V69" s="3" t="s">
        <v>81</v>
      </c>
      <c r="W69" s="3" t="s">
        <v>81</v>
      </c>
      <c r="AA69" s="42" t="b">
        <f t="shared" si="16"/>
        <v>0</v>
      </c>
      <c r="AB69" s="42" t="str">
        <f t="shared" si="17"/>
        <v/>
      </c>
      <c r="AC69" s="42" t="str">
        <f t="shared" si="18"/>
        <v/>
      </c>
    </row>
    <row r="70" spans="2:29" x14ac:dyDescent="0.3">
      <c r="B70" s="1">
        <f t="shared" si="8"/>
        <v>163</v>
      </c>
      <c r="C70" s="1" t="s">
        <v>81</v>
      </c>
      <c r="D70" s="1" t="s">
        <v>81</v>
      </c>
      <c r="E70" s="1" t="s">
        <v>81</v>
      </c>
      <c r="F70" s="1" t="s">
        <v>81</v>
      </c>
      <c r="G70" s="2" t="s">
        <v>81</v>
      </c>
      <c r="H70" s="2" t="s">
        <v>81</v>
      </c>
      <c r="I70" s="1" t="s">
        <v>81</v>
      </c>
      <c r="J70" s="1" t="s">
        <v>81</v>
      </c>
      <c r="K70" s="31" t="e">
        <f t="shared" ca="1" si="12"/>
        <v>#NUM!</v>
      </c>
      <c r="L70" s="31" t="e">
        <f t="shared" ca="1" si="13"/>
        <v>#NUM!</v>
      </c>
      <c r="M70" s="31" t="e">
        <f t="shared" ca="1" si="14"/>
        <v>#NUM!</v>
      </c>
      <c r="N70" s="31" t="e">
        <f t="shared" ca="1" si="15"/>
        <v>#NUM!</v>
      </c>
      <c r="O70" s="4" t="s">
        <v>81</v>
      </c>
      <c r="P70" s="5" t="s">
        <v>81</v>
      </c>
      <c r="Q70" s="6" t="s">
        <v>81</v>
      </c>
      <c r="R70" s="6" t="s">
        <v>81</v>
      </c>
      <c r="S70" s="1" t="s">
        <v>81</v>
      </c>
      <c r="T70" s="3" t="s">
        <v>81</v>
      </c>
      <c r="U70" s="3" t="s">
        <v>81</v>
      </c>
      <c r="V70" s="3" t="s">
        <v>81</v>
      </c>
      <c r="W70" s="3" t="s">
        <v>81</v>
      </c>
      <c r="AA70" s="42" t="b">
        <f t="shared" si="16"/>
        <v>0</v>
      </c>
      <c r="AB70" s="42" t="str">
        <f t="shared" si="17"/>
        <v/>
      </c>
      <c r="AC70" s="42" t="str">
        <f t="shared" si="18"/>
        <v/>
      </c>
    </row>
    <row r="71" spans="2:29" x14ac:dyDescent="0.3">
      <c r="B71" s="1">
        <f t="shared" si="8"/>
        <v>164</v>
      </c>
      <c r="C71" s="1" t="s">
        <v>81</v>
      </c>
      <c r="D71" s="1" t="s">
        <v>81</v>
      </c>
      <c r="E71" s="1" t="s">
        <v>81</v>
      </c>
      <c r="F71" s="1" t="s">
        <v>81</v>
      </c>
      <c r="G71" s="2" t="s">
        <v>81</v>
      </c>
      <c r="H71" s="2" t="s">
        <v>81</v>
      </c>
      <c r="I71" s="1" t="s">
        <v>81</v>
      </c>
      <c r="J71" s="1" t="s">
        <v>81</v>
      </c>
      <c r="K71" s="31" t="e">
        <f t="shared" ca="1" si="12"/>
        <v>#NUM!</v>
      </c>
      <c r="L71" s="31" t="e">
        <f t="shared" ca="1" si="13"/>
        <v>#NUM!</v>
      </c>
      <c r="M71" s="31" t="e">
        <f t="shared" ca="1" si="14"/>
        <v>#NUM!</v>
      </c>
      <c r="N71" s="31" t="e">
        <f t="shared" ca="1" si="15"/>
        <v>#NUM!</v>
      </c>
      <c r="O71" s="4" t="s">
        <v>81</v>
      </c>
      <c r="P71" s="5" t="s">
        <v>81</v>
      </c>
      <c r="Q71" s="6" t="s">
        <v>81</v>
      </c>
      <c r="R71" s="6" t="s">
        <v>81</v>
      </c>
      <c r="S71" s="1" t="s">
        <v>81</v>
      </c>
      <c r="T71" s="3" t="s">
        <v>81</v>
      </c>
      <c r="U71" s="3" t="s">
        <v>81</v>
      </c>
      <c r="V71" s="3" t="s">
        <v>81</v>
      </c>
      <c r="W71" s="3" t="s">
        <v>81</v>
      </c>
      <c r="AA71" s="42" t="b">
        <f t="shared" si="16"/>
        <v>0</v>
      </c>
      <c r="AB71" s="42" t="str">
        <f t="shared" si="17"/>
        <v/>
      </c>
      <c r="AC71" s="42" t="str">
        <f t="shared" si="18"/>
        <v/>
      </c>
    </row>
    <row r="72" spans="2:29" x14ac:dyDescent="0.3">
      <c r="B72" s="1">
        <f t="shared" si="8"/>
        <v>165</v>
      </c>
      <c r="C72" s="1" t="s">
        <v>81</v>
      </c>
      <c r="D72" s="1" t="s">
        <v>81</v>
      </c>
      <c r="E72" s="1" t="s">
        <v>81</v>
      </c>
      <c r="F72" s="1" t="s">
        <v>81</v>
      </c>
      <c r="G72" s="2" t="s">
        <v>81</v>
      </c>
      <c r="H72" s="2" t="s">
        <v>81</v>
      </c>
      <c r="I72" s="1" t="s">
        <v>81</v>
      </c>
      <c r="J72" s="1" t="s">
        <v>81</v>
      </c>
      <c r="K72" s="31" t="e">
        <f t="shared" ca="1" si="12"/>
        <v>#NUM!</v>
      </c>
      <c r="L72" s="31" t="e">
        <f t="shared" ca="1" si="13"/>
        <v>#NUM!</v>
      </c>
      <c r="M72" s="31" t="e">
        <f t="shared" ca="1" si="14"/>
        <v>#NUM!</v>
      </c>
      <c r="N72" s="31" t="e">
        <f t="shared" ca="1" si="15"/>
        <v>#NUM!</v>
      </c>
      <c r="O72" s="4" t="s">
        <v>81</v>
      </c>
      <c r="P72" s="5" t="s">
        <v>81</v>
      </c>
      <c r="Q72" s="6" t="s">
        <v>81</v>
      </c>
      <c r="R72" s="6" t="s">
        <v>81</v>
      </c>
      <c r="S72" s="1" t="s">
        <v>81</v>
      </c>
      <c r="T72" s="3" t="s">
        <v>81</v>
      </c>
      <c r="U72" s="3" t="s">
        <v>81</v>
      </c>
      <c r="V72" s="3" t="s">
        <v>81</v>
      </c>
      <c r="W72" s="3" t="s">
        <v>81</v>
      </c>
      <c r="AA72" s="42" t="b">
        <f t="shared" si="16"/>
        <v>0</v>
      </c>
      <c r="AB72" s="42" t="str">
        <f t="shared" si="17"/>
        <v/>
      </c>
      <c r="AC72" s="42" t="str">
        <f t="shared" si="18"/>
        <v/>
      </c>
    </row>
    <row r="73" spans="2:29" x14ac:dyDescent="0.3">
      <c r="B73" s="1">
        <f t="shared" si="8"/>
        <v>166</v>
      </c>
      <c r="C73" s="1" t="s">
        <v>81</v>
      </c>
      <c r="D73" s="1" t="s">
        <v>81</v>
      </c>
      <c r="E73" s="1" t="s">
        <v>81</v>
      </c>
      <c r="F73" s="1" t="s">
        <v>81</v>
      </c>
      <c r="G73" s="2" t="s">
        <v>81</v>
      </c>
      <c r="H73" s="2" t="s">
        <v>81</v>
      </c>
      <c r="I73" s="1" t="s">
        <v>81</v>
      </c>
      <c r="J73" s="1" t="s">
        <v>81</v>
      </c>
      <c r="K73" s="31" t="e">
        <f t="shared" ca="1" si="12"/>
        <v>#NUM!</v>
      </c>
      <c r="L73" s="31" t="e">
        <f t="shared" ca="1" si="13"/>
        <v>#NUM!</v>
      </c>
      <c r="M73" s="31" t="e">
        <f t="shared" ca="1" si="14"/>
        <v>#NUM!</v>
      </c>
      <c r="N73" s="31" t="e">
        <f t="shared" ca="1" si="15"/>
        <v>#NUM!</v>
      </c>
      <c r="O73" s="4" t="s">
        <v>81</v>
      </c>
      <c r="P73" s="5" t="s">
        <v>81</v>
      </c>
      <c r="Q73" s="6" t="s">
        <v>81</v>
      </c>
      <c r="R73" s="6" t="s">
        <v>81</v>
      </c>
      <c r="S73" s="1" t="s">
        <v>81</v>
      </c>
      <c r="T73" s="3" t="s">
        <v>81</v>
      </c>
      <c r="U73" s="3" t="s">
        <v>81</v>
      </c>
      <c r="V73" s="3" t="s">
        <v>81</v>
      </c>
      <c r="W73" s="3" t="s">
        <v>81</v>
      </c>
      <c r="AA73" s="42" t="b">
        <f t="shared" si="16"/>
        <v>0</v>
      </c>
      <c r="AB73" s="42" t="str">
        <f t="shared" si="17"/>
        <v/>
      </c>
      <c r="AC73" s="42" t="str">
        <f t="shared" si="18"/>
        <v/>
      </c>
    </row>
    <row r="74" spans="2:29" x14ac:dyDescent="0.3">
      <c r="B74" s="1">
        <f t="shared" si="8"/>
        <v>167</v>
      </c>
      <c r="C74" s="1" t="s">
        <v>81</v>
      </c>
      <c r="D74" s="1" t="s">
        <v>81</v>
      </c>
      <c r="E74" s="1" t="s">
        <v>81</v>
      </c>
      <c r="F74" s="1" t="s">
        <v>81</v>
      </c>
      <c r="G74" s="2" t="s">
        <v>81</v>
      </c>
      <c r="H74" s="2" t="s">
        <v>81</v>
      </c>
      <c r="I74" s="1" t="s">
        <v>81</v>
      </c>
      <c r="J74" s="1" t="s">
        <v>81</v>
      </c>
      <c r="K74" s="31" t="e">
        <f t="shared" ca="1" si="12"/>
        <v>#NUM!</v>
      </c>
      <c r="L74" s="31" t="e">
        <f t="shared" ca="1" si="13"/>
        <v>#NUM!</v>
      </c>
      <c r="M74" s="31" t="e">
        <f t="shared" ca="1" si="14"/>
        <v>#NUM!</v>
      </c>
      <c r="N74" s="31" t="e">
        <f t="shared" ca="1" si="15"/>
        <v>#NUM!</v>
      </c>
      <c r="O74" s="4" t="s">
        <v>81</v>
      </c>
      <c r="P74" s="5" t="s">
        <v>81</v>
      </c>
      <c r="Q74" s="6" t="s">
        <v>81</v>
      </c>
      <c r="R74" s="6" t="s">
        <v>81</v>
      </c>
      <c r="S74" s="1" t="s">
        <v>81</v>
      </c>
      <c r="T74" s="3" t="s">
        <v>81</v>
      </c>
      <c r="U74" s="3" t="s">
        <v>81</v>
      </c>
      <c r="V74" s="3" t="s">
        <v>81</v>
      </c>
      <c r="W74" s="3" t="s">
        <v>81</v>
      </c>
      <c r="AA74" s="42" t="b">
        <f t="shared" si="16"/>
        <v>0</v>
      </c>
      <c r="AB74" s="42" t="str">
        <f t="shared" si="17"/>
        <v/>
      </c>
      <c r="AC74" s="42" t="str">
        <f t="shared" si="18"/>
        <v/>
      </c>
    </row>
    <row r="75" spans="2:29" x14ac:dyDescent="0.3">
      <c r="B75" s="1">
        <f t="shared" si="8"/>
        <v>168</v>
      </c>
      <c r="C75" s="1" t="s">
        <v>81</v>
      </c>
      <c r="D75" s="1" t="s">
        <v>81</v>
      </c>
      <c r="E75" s="1" t="s">
        <v>81</v>
      </c>
      <c r="F75" s="1" t="s">
        <v>81</v>
      </c>
      <c r="G75" s="2" t="s">
        <v>81</v>
      </c>
      <c r="H75" s="2" t="s">
        <v>81</v>
      </c>
      <c r="I75" s="1" t="s">
        <v>81</v>
      </c>
      <c r="J75" s="1" t="s">
        <v>81</v>
      </c>
      <c r="K75" s="31" t="e">
        <f t="shared" ca="1" si="12"/>
        <v>#NUM!</v>
      </c>
      <c r="L75" s="31" t="e">
        <f t="shared" ca="1" si="13"/>
        <v>#NUM!</v>
      </c>
      <c r="M75" s="31" t="e">
        <f t="shared" ca="1" si="14"/>
        <v>#NUM!</v>
      </c>
      <c r="N75" s="31" t="e">
        <f t="shared" ca="1" si="15"/>
        <v>#NUM!</v>
      </c>
      <c r="O75" s="4" t="s">
        <v>81</v>
      </c>
      <c r="P75" s="5" t="s">
        <v>81</v>
      </c>
      <c r="Q75" s="6" t="s">
        <v>81</v>
      </c>
      <c r="R75" s="6" t="s">
        <v>81</v>
      </c>
      <c r="S75" s="1" t="s">
        <v>81</v>
      </c>
      <c r="T75" s="3" t="s">
        <v>81</v>
      </c>
      <c r="U75" s="3" t="s">
        <v>81</v>
      </c>
      <c r="V75" s="3" t="s">
        <v>81</v>
      </c>
      <c r="W75" s="3" t="s">
        <v>81</v>
      </c>
      <c r="AA75" s="42" t="b">
        <f t="shared" si="16"/>
        <v>0</v>
      </c>
      <c r="AB75" s="42" t="str">
        <f t="shared" si="17"/>
        <v/>
      </c>
      <c r="AC75" s="42" t="str">
        <f t="shared" si="18"/>
        <v/>
      </c>
    </row>
    <row r="76" spans="2:29" x14ac:dyDescent="0.3">
      <c r="B76" s="1">
        <f t="shared" si="8"/>
        <v>169</v>
      </c>
      <c r="C76" s="1" t="s">
        <v>81</v>
      </c>
      <c r="D76" s="1" t="s">
        <v>81</v>
      </c>
      <c r="E76" s="1" t="s">
        <v>81</v>
      </c>
      <c r="F76" s="1" t="s">
        <v>81</v>
      </c>
      <c r="G76" s="2" t="s">
        <v>81</v>
      </c>
      <c r="H76" s="2" t="s">
        <v>81</v>
      </c>
      <c r="I76" s="1" t="s">
        <v>81</v>
      </c>
      <c r="J76" s="1" t="s">
        <v>81</v>
      </c>
      <c r="K76" s="31" t="e">
        <f t="shared" ca="1" si="12"/>
        <v>#NUM!</v>
      </c>
      <c r="L76" s="31" t="e">
        <f t="shared" ca="1" si="13"/>
        <v>#NUM!</v>
      </c>
      <c r="M76" s="31" t="e">
        <f t="shared" ca="1" si="14"/>
        <v>#NUM!</v>
      </c>
      <c r="N76" s="31" t="e">
        <f t="shared" ca="1" si="15"/>
        <v>#NUM!</v>
      </c>
      <c r="O76" s="4" t="s">
        <v>81</v>
      </c>
      <c r="P76" s="5" t="s">
        <v>81</v>
      </c>
      <c r="Q76" s="6" t="s">
        <v>81</v>
      </c>
      <c r="R76" s="6" t="s">
        <v>81</v>
      </c>
      <c r="S76" s="1" t="s">
        <v>81</v>
      </c>
      <c r="T76" s="3" t="s">
        <v>81</v>
      </c>
      <c r="U76" s="3" t="s">
        <v>81</v>
      </c>
      <c r="V76" s="3" t="s">
        <v>81</v>
      </c>
      <c r="W76" s="3" t="s">
        <v>81</v>
      </c>
      <c r="AA76" s="42" t="b">
        <f t="shared" si="16"/>
        <v>0</v>
      </c>
      <c r="AB76" s="42" t="str">
        <f t="shared" si="17"/>
        <v/>
      </c>
      <c r="AC76" s="42" t="str">
        <f t="shared" si="18"/>
        <v/>
      </c>
    </row>
    <row r="77" spans="2:29" x14ac:dyDescent="0.3">
      <c r="B77" s="1">
        <f t="shared" si="8"/>
        <v>170</v>
      </c>
      <c r="C77" s="1" t="s">
        <v>81</v>
      </c>
      <c r="D77" s="1" t="s">
        <v>81</v>
      </c>
      <c r="E77" s="1" t="s">
        <v>81</v>
      </c>
      <c r="F77" s="1" t="s">
        <v>81</v>
      </c>
      <c r="G77" s="2" t="s">
        <v>81</v>
      </c>
      <c r="H77" s="2" t="s">
        <v>81</v>
      </c>
      <c r="I77" s="1" t="s">
        <v>81</v>
      </c>
      <c r="J77" s="1" t="s">
        <v>81</v>
      </c>
      <c r="K77" s="31" t="e">
        <f t="shared" ca="1" si="12"/>
        <v>#NUM!</v>
      </c>
      <c r="L77" s="31" t="e">
        <f t="shared" ca="1" si="13"/>
        <v>#NUM!</v>
      </c>
      <c r="M77" s="31" t="e">
        <f t="shared" ca="1" si="14"/>
        <v>#NUM!</v>
      </c>
      <c r="N77" s="31" t="e">
        <f t="shared" ca="1" si="15"/>
        <v>#NUM!</v>
      </c>
      <c r="O77" s="4" t="s">
        <v>81</v>
      </c>
      <c r="P77" s="5" t="s">
        <v>81</v>
      </c>
      <c r="Q77" s="6" t="s">
        <v>81</v>
      </c>
      <c r="R77" s="6" t="s">
        <v>81</v>
      </c>
      <c r="S77" s="1" t="s">
        <v>81</v>
      </c>
      <c r="T77" s="3" t="s">
        <v>81</v>
      </c>
      <c r="U77" s="3" t="s">
        <v>81</v>
      </c>
      <c r="V77" s="3" t="s">
        <v>81</v>
      </c>
      <c r="W77" s="3" t="s">
        <v>81</v>
      </c>
      <c r="AA77" s="42" t="b">
        <f t="shared" si="16"/>
        <v>0</v>
      </c>
      <c r="AB77" s="42" t="str">
        <f t="shared" si="17"/>
        <v/>
      </c>
      <c r="AC77" s="42" t="str">
        <f t="shared" si="18"/>
        <v/>
      </c>
    </row>
    <row r="78" spans="2:29" x14ac:dyDescent="0.3">
      <c r="B78" s="1">
        <f t="shared" si="8"/>
        <v>171</v>
      </c>
      <c r="C78" s="1" t="s">
        <v>81</v>
      </c>
      <c r="D78" s="1" t="s">
        <v>81</v>
      </c>
      <c r="E78" s="1" t="s">
        <v>81</v>
      </c>
      <c r="F78" s="1" t="s">
        <v>81</v>
      </c>
      <c r="G78" s="2" t="s">
        <v>81</v>
      </c>
      <c r="H78" s="2" t="s">
        <v>81</v>
      </c>
      <c r="I78" s="1" t="s">
        <v>81</v>
      </c>
      <c r="J78" s="1" t="s">
        <v>81</v>
      </c>
      <c r="K78" s="31" t="e">
        <f t="shared" ca="1" si="12"/>
        <v>#NUM!</v>
      </c>
      <c r="L78" s="31" t="e">
        <f t="shared" ca="1" si="13"/>
        <v>#NUM!</v>
      </c>
      <c r="M78" s="31" t="e">
        <f t="shared" ca="1" si="14"/>
        <v>#NUM!</v>
      </c>
      <c r="N78" s="31" t="e">
        <f t="shared" ca="1" si="15"/>
        <v>#NUM!</v>
      </c>
      <c r="O78" s="4" t="s">
        <v>81</v>
      </c>
      <c r="P78" s="5" t="s">
        <v>81</v>
      </c>
      <c r="Q78" s="6" t="s">
        <v>81</v>
      </c>
      <c r="R78" s="6" t="s">
        <v>81</v>
      </c>
      <c r="S78" s="1" t="s">
        <v>81</v>
      </c>
      <c r="T78" s="3" t="s">
        <v>81</v>
      </c>
      <c r="U78" s="3" t="s">
        <v>81</v>
      </c>
      <c r="V78" s="3" t="s">
        <v>81</v>
      </c>
      <c r="W78" s="3" t="s">
        <v>81</v>
      </c>
      <c r="AA78" s="42" t="b">
        <f t="shared" si="16"/>
        <v>0</v>
      </c>
      <c r="AB78" s="42" t="str">
        <f t="shared" si="17"/>
        <v/>
      </c>
      <c r="AC78" s="42" t="str">
        <f t="shared" si="18"/>
        <v/>
      </c>
    </row>
    <row r="79" spans="2:29" x14ac:dyDescent="0.3">
      <c r="B79" s="1">
        <f t="shared" si="8"/>
        <v>172</v>
      </c>
      <c r="C79" s="1" t="s">
        <v>81</v>
      </c>
      <c r="D79" s="1" t="s">
        <v>81</v>
      </c>
      <c r="E79" s="1" t="s">
        <v>81</v>
      </c>
      <c r="F79" s="1" t="s">
        <v>81</v>
      </c>
      <c r="G79" s="2" t="s">
        <v>81</v>
      </c>
      <c r="H79" s="2" t="s">
        <v>81</v>
      </c>
      <c r="I79" s="1" t="s">
        <v>81</v>
      </c>
      <c r="J79" s="1" t="s">
        <v>81</v>
      </c>
      <c r="K79" s="31" t="e">
        <f t="shared" ca="1" si="12"/>
        <v>#NUM!</v>
      </c>
      <c r="L79" s="31" t="e">
        <f t="shared" ca="1" si="13"/>
        <v>#NUM!</v>
      </c>
      <c r="M79" s="31" t="e">
        <f t="shared" ca="1" si="14"/>
        <v>#NUM!</v>
      </c>
      <c r="N79" s="31" t="e">
        <f t="shared" ca="1" si="15"/>
        <v>#NUM!</v>
      </c>
      <c r="O79" s="4" t="s">
        <v>81</v>
      </c>
      <c r="P79" s="5" t="s">
        <v>81</v>
      </c>
      <c r="Q79" s="6" t="s">
        <v>81</v>
      </c>
      <c r="R79" s="6" t="s">
        <v>81</v>
      </c>
      <c r="S79" s="1" t="s">
        <v>81</v>
      </c>
      <c r="T79" s="3" t="s">
        <v>81</v>
      </c>
      <c r="U79" s="3" t="s">
        <v>81</v>
      </c>
      <c r="V79" s="3" t="s">
        <v>81</v>
      </c>
      <c r="W79" s="3" t="s">
        <v>81</v>
      </c>
      <c r="AA79" s="42" t="b">
        <f t="shared" si="16"/>
        <v>0</v>
      </c>
      <c r="AB79" s="42" t="str">
        <f t="shared" si="17"/>
        <v/>
      </c>
      <c r="AC79" s="42" t="str">
        <f t="shared" si="18"/>
        <v/>
      </c>
    </row>
    <row r="81" spans="1:2" x14ac:dyDescent="0.3">
      <c r="A81" s="67"/>
    </row>
    <row r="82" spans="1:2" x14ac:dyDescent="0.3">
      <c r="A82" s="67"/>
      <c r="B82" s="67"/>
    </row>
    <row r="83" spans="1:2" x14ac:dyDescent="0.3">
      <c r="A83" s="67"/>
    </row>
    <row r="84" spans="1:2" x14ac:dyDescent="0.3">
      <c r="A84" s="67"/>
    </row>
    <row r="85" spans="1:2" x14ac:dyDescent="0.3">
      <c r="A85" s="67"/>
    </row>
    <row r="86" spans="1:2" x14ac:dyDescent="0.3">
      <c r="A86" s="67"/>
    </row>
    <row r="87" spans="1:2" x14ac:dyDescent="0.3">
      <c r="A87" s="67"/>
    </row>
    <row r="88" spans="1:2" x14ac:dyDescent="0.3">
      <c r="A88" s="67"/>
    </row>
    <row r="89" spans="1:2" x14ac:dyDescent="0.3">
      <c r="A89" s="67"/>
    </row>
    <row r="90" spans="1:2" x14ac:dyDescent="0.3">
      <c r="A90" s="67"/>
    </row>
    <row r="93" spans="1:2" x14ac:dyDescent="0.3">
      <c r="A93" s="67"/>
    </row>
  </sheetData>
  <phoneticPr fontId="1"/>
  <conditionalFormatting sqref="B7:W7">
    <cfRule type="expression" dxfId="9" priority="7">
      <formula>AND(ISNUMBER(FIND("K",B6)),B7="*")</formula>
    </cfRule>
    <cfRule type="expression" dxfId="8" priority="8">
      <formula>AND(ISNUMBER(FIND("N",B6)),B7="*")</formula>
    </cfRule>
    <cfRule type="expression" dxfId="7" priority="9">
      <formula>B7="*"</formula>
    </cfRule>
    <cfRule type="expression" dxfId="6" priority="10">
      <formula>B7=""</formula>
    </cfRule>
  </conditionalFormatting>
  <conditionalFormatting sqref="AA8:AA79">
    <cfRule type="expression" dxfId="5" priority="5">
      <formula>AA8=TRUE</formula>
    </cfRule>
    <cfRule type="expression" dxfId="4" priority="6">
      <formula>AA8=FALSE</formula>
    </cfRule>
  </conditionalFormatting>
  <conditionalFormatting sqref="AB8:AB79">
    <cfRule type="expression" dxfId="3" priority="3">
      <formula>AB8=TRUE</formula>
    </cfRule>
    <cfRule type="expression" dxfId="2" priority="4">
      <formula>AB8=FALSE</formula>
    </cfRule>
  </conditionalFormatting>
  <conditionalFormatting sqref="AC8:AC79">
    <cfRule type="expression" dxfId="1" priority="1">
      <formula>AC8=TRUE</formula>
    </cfRule>
    <cfRule type="expression" dxfId="0" priority="2">
      <formula>AC8=FALSE</formula>
    </cfRule>
  </conditionalFormatting>
  <dataValidations count="1">
    <dataValidation type="list" allowBlank="1" showInputMessage="1" showErrorMessage="1" sqref="B7:W7" xr:uid="{00000000-0002-0000-0000-000000000000}">
      <formula1>"*,"</formula1>
    </dataValidation>
  </dataValidations>
  <pageMargins left="0.75" right="0.75" top="0.75" bottom="0.5" header="0.5" footer="0.7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10</vt:i4>
      </vt:variant>
    </vt:vector>
  </HeadingPairs>
  <TitlesOfParts>
    <vt:vector size="11" baseType="lpstr">
      <vt:lpstr>all_types_test2</vt:lpstr>
      <vt:lpstr>ALs1BAlphaL</vt:lpstr>
      <vt:lpstr>ALs1BAlphaS</vt:lpstr>
      <vt:lpstr>ALs1BKana</vt:lpstr>
      <vt:lpstr>ALs1BNum</vt:lpstr>
      <vt:lpstr>ALs2BAlphaL</vt:lpstr>
      <vt:lpstr>ALs2BAlphaS</vt:lpstr>
      <vt:lpstr>ALs2BHirakana</vt:lpstr>
      <vt:lpstr>ALs2BKana</vt:lpstr>
      <vt:lpstr>ALs2BKanji</vt:lpstr>
      <vt:lpstr>ALs2BNum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雅俊 古谷</cp:lastModifiedBy>
  <dcterms:created xsi:type="dcterms:W3CDTF">2026-05-13T03:14:59Z</dcterms:created>
  <dcterms:modified xsi:type="dcterms:W3CDTF">2026-09-03T16:13:58Z</dcterms:modified>
</cp:coreProperties>
</file>