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Repos_GitEms\sqexcel\SQExcel.Portal\src\content\docs\ja\docs\images\inputsheet-structure\"/>
    </mc:Choice>
  </mc:AlternateContent>
  <xr:revisionPtr revIDLastSave="0" documentId="13_ncr:1_{0A536AB7-63BC-4A4D-9537-8D22273DFA49}" xr6:coauthVersionLast="47" xr6:coauthVersionMax="47" xr10:uidLastSave="{00000000-0000-0000-0000-000000000000}"/>
  <bookViews>
    <workbookView xWindow="1140" yWindow="1140" windowWidth="19200" windowHeight="11170" xr2:uid="{00000000-000D-0000-FFFF-FFFF00000000}"/>
  </bookViews>
  <sheets>
    <sheet name="all_types_tes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AA8" i="1"/>
  <c r="AC8" i="1" s="1"/>
  <c r="AB8" i="1"/>
  <c r="B9" i="1"/>
  <c r="AA9" i="1"/>
  <c r="AC9" i="1" s="1"/>
  <c r="AB9" i="1"/>
  <c r="B10" i="1"/>
  <c r="AA10" i="1"/>
  <c r="AB10" i="1"/>
  <c r="AC10" i="1"/>
  <c r="B11" i="1"/>
  <c r="AA11" i="1"/>
  <c r="AB11" i="1"/>
  <c r="AC11" i="1"/>
  <c r="B12" i="1"/>
  <c r="AA12" i="1"/>
  <c r="AB12" i="1"/>
  <c r="AC12" i="1"/>
  <c r="B13" i="1"/>
  <c r="AA13" i="1"/>
  <c r="AC13" i="1" s="1"/>
  <c r="AB13" i="1"/>
  <c r="B14" i="1"/>
  <c r="AA14" i="1"/>
  <c r="AC14" i="1" s="1"/>
  <c r="AB14" i="1"/>
  <c r="B15" i="1"/>
  <c r="AA15" i="1"/>
  <c r="AB15" i="1"/>
  <c r="AC15" i="1"/>
  <c r="B16" i="1"/>
  <c r="AA16" i="1"/>
  <c r="AB16" i="1"/>
  <c r="AC16" i="1"/>
  <c r="B17" i="1"/>
  <c r="AA17" i="1"/>
  <c r="AB17" i="1"/>
  <c r="AC17" i="1"/>
  <c r="B18" i="1"/>
  <c r="AA18" i="1"/>
  <c r="AC18" i="1" s="1"/>
  <c r="AB18" i="1"/>
  <c r="B19" i="1"/>
  <c r="AA19" i="1"/>
  <c r="AC19" i="1" s="1"/>
  <c r="AB19" i="1"/>
  <c r="B20" i="1"/>
  <c r="AA20" i="1"/>
  <c r="AB20" i="1"/>
  <c r="AC20" i="1"/>
  <c r="B21" i="1"/>
  <c r="AA21" i="1"/>
  <c r="AB21" i="1"/>
  <c r="AC21" i="1"/>
  <c r="B22" i="1"/>
  <c r="AA22" i="1"/>
  <c r="AB22" i="1"/>
  <c r="AC22" i="1"/>
  <c r="B23" i="1"/>
  <c r="AA23" i="1"/>
  <c r="AC23" i="1" s="1"/>
  <c r="AB23" i="1"/>
  <c r="B24" i="1"/>
  <c r="AA24" i="1"/>
  <c r="AC24" i="1" s="1"/>
  <c r="AB24" i="1"/>
  <c r="B25" i="1"/>
  <c r="AA25" i="1"/>
  <c r="AB25" i="1"/>
  <c r="AC25" i="1"/>
  <c r="B26" i="1"/>
  <c r="AA26" i="1"/>
  <c r="AB26" i="1"/>
  <c r="AC26" i="1"/>
  <c r="B27" i="1"/>
  <c r="AA27" i="1"/>
  <c r="AB27" i="1"/>
  <c r="AC27" i="1"/>
  <c r="B28" i="1"/>
  <c r="AA28" i="1"/>
  <c r="AC28" i="1" s="1"/>
  <c r="AB28" i="1"/>
  <c r="B29" i="1"/>
  <c r="AA29" i="1"/>
  <c r="AC29" i="1" s="1"/>
  <c r="AB29" i="1"/>
  <c r="B30" i="1"/>
  <c r="AA30" i="1"/>
  <c r="AB30" i="1"/>
  <c r="AC30" i="1"/>
  <c r="B31" i="1"/>
  <c r="AA31" i="1"/>
  <c r="AB31" i="1"/>
  <c r="AC31" i="1"/>
  <c r="B32" i="1"/>
  <c r="AA32" i="1"/>
  <c r="AB32" i="1"/>
  <c r="AC32" i="1"/>
  <c r="B33" i="1"/>
  <c r="AA33" i="1"/>
  <c r="AC33" i="1" s="1"/>
  <c r="AB33" i="1"/>
  <c r="B34" i="1"/>
  <c r="AA34" i="1"/>
  <c r="AC34" i="1" s="1"/>
  <c r="AB34" i="1"/>
  <c r="B35" i="1"/>
  <c r="S35" i="1"/>
  <c r="T35" i="1"/>
  <c r="U35" i="1"/>
  <c r="V35" i="1"/>
  <c r="W35" i="1"/>
  <c r="AA35" i="1"/>
  <c r="AB35" i="1"/>
  <c r="AC35" i="1"/>
  <c r="B36" i="1"/>
  <c r="S36" i="1"/>
  <c r="T36" i="1"/>
  <c r="U36" i="1"/>
  <c r="V36" i="1"/>
  <c r="W36" i="1"/>
  <c r="AA36" i="1"/>
  <c r="AB36" i="1"/>
  <c r="AC36" i="1"/>
  <c r="B37" i="1"/>
  <c r="S37" i="1"/>
  <c r="T37" i="1"/>
  <c r="U37" i="1"/>
  <c r="V37" i="1"/>
  <c r="W37" i="1"/>
  <c r="AA37" i="1"/>
  <c r="AB37" i="1"/>
  <c r="AC37" i="1"/>
  <c r="B38" i="1"/>
  <c r="S38" i="1"/>
  <c r="T38" i="1"/>
  <c r="U38" i="1"/>
  <c r="V38" i="1"/>
  <c r="W38" i="1"/>
  <c r="AA38" i="1"/>
  <c r="AC38" i="1" s="1"/>
  <c r="AB38" i="1"/>
  <c r="B39" i="1"/>
  <c r="S39" i="1"/>
  <c r="T39" i="1"/>
  <c r="U39" i="1"/>
  <c r="V39" i="1"/>
  <c r="W39" i="1"/>
  <c r="AA39" i="1"/>
  <c r="AB39" i="1"/>
  <c r="AC39" i="1"/>
  <c r="B40" i="1"/>
  <c r="S40" i="1"/>
  <c r="T40" i="1"/>
  <c r="U40" i="1"/>
  <c r="V40" i="1"/>
  <c r="W40" i="1"/>
  <c r="AA40" i="1"/>
  <c r="AC40" i="1" s="1"/>
  <c r="AB40" i="1"/>
  <c r="B41" i="1"/>
  <c r="S41" i="1"/>
  <c r="T41" i="1"/>
  <c r="U41" i="1"/>
  <c r="V41" i="1"/>
  <c r="W41" i="1"/>
  <c r="AA41" i="1"/>
  <c r="AB41" i="1"/>
  <c r="AC41" i="1"/>
  <c r="B42" i="1"/>
  <c r="S42" i="1"/>
  <c r="T42" i="1"/>
  <c r="U42" i="1"/>
  <c r="V42" i="1"/>
  <c r="W42" i="1"/>
  <c r="AA42" i="1"/>
  <c r="AB42" i="1"/>
  <c r="AC42" i="1"/>
  <c r="B43" i="1"/>
  <c r="S43" i="1"/>
  <c r="T43" i="1"/>
  <c r="U43" i="1"/>
  <c r="V43" i="1"/>
  <c r="W43" i="1"/>
  <c r="AA43" i="1"/>
  <c r="AB43" i="1"/>
  <c r="AC43" i="1"/>
  <c r="B44" i="1"/>
  <c r="S44" i="1"/>
  <c r="T44" i="1"/>
  <c r="U44" i="1"/>
  <c r="V44" i="1"/>
  <c r="W44" i="1"/>
  <c r="AA44" i="1"/>
  <c r="AB44" i="1"/>
  <c r="AC4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000-000001000000}">
      <text>
        <r>
          <rPr>
            <sz val="11"/>
            <color rgb="FF000000"/>
            <rFont val="Calibri"/>
            <family val="2"/>
          </rPr>
          <t>K=キー項目
A=自動設定項目
N=NULL許容項目
D=既定値設定あり</t>
        </r>
      </text>
    </comment>
    <comment ref="A7" authorId="0" shapeId="0" xr:uid="{00000000-0006-0000-0000-000002000000}">
      <text>
        <r>
          <rPr>
            <sz val="11"/>
            <color rgb="FF000000"/>
            <rFont val="Calibri"/>
            <family val="2"/>
          </rPr>
          <t>入力対象とする場合は「*」をセットする。
空白にすると入力対象から外される。</t>
        </r>
      </text>
    </comment>
  </commentList>
</comments>
</file>

<file path=xl/sharedStrings.xml><?xml version="1.0" encoding="utf-8"?>
<sst xmlns="http://schemas.openxmlformats.org/spreadsheetml/2006/main" count="879" uniqueCount="110">
  <si>
    <t>テーブル名</t>
  </si>
  <si>
    <t>論理名</t>
  </si>
  <si>
    <r>
      <rPr>
        <sz val="11"/>
        <color rgb="FF000000"/>
        <rFont val="Calibri"/>
        <family val="2"/>
      </rPr>
      <t>applog.all_types_test2</t>
    </r>
    <phoneticPr fontId="0"/>
  </si>
  <si>
    <t>全データ型テストテーブル（SQL Server用）</t>
  </si>
  <si>
    <t>処理結果</t>
  </si>
  <si>
    <t>項目名</t>
  </si>
  <si>
    <t>id</t>
  </si>
  <si>
    <t>col_tinyint</t>
  </si>
  <si>
    <t>col_smallint</t>
  </si>
  <si>
    <t>col_int</t>
  </si>
  <si>
    <t>col_bigint</t>
  </si>
  <si>
    <t>col_decimal</t>
  </si>
  <si>
    <t>col_numeric</t>
  </si>
  <si>
    <t>col_float</t>
  </si>
  <si>
    <t>col_real</t>
  </si>
  <si>
    <t>col_char</t>
  </si>
  <si>
    <t>col_nchar</t>
  </si>
  <si>
    <t>col_varchar</t>
  </si>
  <si>
    <t>col_nvarchar</t>
  </si>
  <si>
    <t>col_date</t>
  </si>
  <si>
    <t>col_time</t>
  </si>
  <si>
    <t>col_datetime</t>
  </si>
  <si>
    <t>col_datetime2</t>
  </si>
  <si>
    <t>col_bit</t>
  </si>
  <si>
    <t>col_binary</t>
  </si>
  <si>
    <t>col_varbinary</t>
  </si>
  <si>
    <t>col_uniqueidentifier</t>
  </si>
  <si>
    <t>col_xml</t>
  </si>
  <si>
    <t>処理成否</t>
  </si>
  <si>
    <t>処理失敗時メッセージ</t>
  </si>
  <si>
    <t>項目論理名</t>
  </si>
  <si>
    <t>テスト行ID</t>
  </si>
  <si>
    <t>TinyInt型テスト列（使用DB: SQ/MY/MA）</t>
  </si>
  <si>
    <t>SmallInt型テスト列（使用DB: SQ/PS/MY/MA/OR）</t>
  </si>
  <si>
    <t>Int型テスト列（使用DB: SQ/PS/MY/MA/LT/OR）</t>
  </si>
  <si>
    <t>BigInt型テスト列（使用DB: SQ/PS/MY/MA/LT/OR）</t>
  </si>
  <si>
    <t>Decimal型テスト列（使用DB: SQ/PS/MY/MA/LT/OR）</t>
  </si>
  <si>
    <t>Numeric型テスト列（使用DB: SQ/PS/MY/MA/LT/OR）</t>
  </si>
  <si>
    <t>Float型テスト列（使用DB: SQ/PS/MY/MA/OR）</t>
  </si>
  <si>
    <t>Real型テスト列（使用DB: SQ/PS/MY/MA/LT/OR）</t>
  </si>
  <si>
    <t>Char型テスト列（使用DB: SQ/PS/MY/MA/LT/OR）</t>
  </si>
  <si>
    <t>NChar型テスト列（使用DB: SQ/OR）</t>
  </si>
  <si>
    <t>VarChar型テスト列（使用DB: SQ/PS/MY/MA/LT/OR）</t>
  </si>
  <si>
    <t>NVarChar型テスト列（使用DB: SQ/OR）</t>
  </si>
  <si>
    <t>Date型テスト列（使用DB: SQ/PS/MY/MA/LT/OR）</t>
  </si>
  <si>
    <t>Time型テスト列（使用DB: SQ/PS/MY/MA/LT）</t>
  </si>
  <si>
    <t>DateTime型テスト列（使用DB: SQ/MY/MA）</t>
  </si>
  <si>
    <t>DateTime2型テスト列（使用DB: SQ のみ）</t>
  </si>
  <si>
    <t>Bit型テスト列（使用DB: SQ のみ）</t>
  </si>
  <si>
    <t>Binary型テスト列（使用DB: SQ/MY/MA）</t>
  </si>
  <si>
    <t>VarBinary型テスト列（使用DB: SQ/MY/MA）</t>
  </si>
  <si>
    <t>UniqueIdentifier型テスト列（使用DB: SQ のみ）</t>
  </si>
  <si>
    <t>Xml型テスト列（使用DB: SQ/OR）</t>
  </si>
  <si>
    <t>データ型</t>
  </si>
  <si>
    <t>Int</t>
  </si>
  <si>
    <t>TinyInt</t>
  </si>
  <si>
    <t>SmallInt</t>
  </si>
  <si>
    <t>BigInt</t>
  </si>
  <si>
    <t>Decimal(18,4)</t>
  </si>
  <si>
    <t>Float</t>
  </si>
  <si>
    <t>Real</t>
  </si>
  <si>
    <t>Char(10)</t>
  </si>
  <si>
    <t>NChar(10)</t>
  </si>
  <si>
    <t>VarChar(255)</t>
  </si>
  <si>
    <t>NVarChar(255)</t>
  </si>
  <si>
    <t>Date</t>
  </si>
  <si>
    <t>Time</t>
  </si>
  <si>
    <t>DateTime</t>
  </si>
  <si>
    <t>DateTime2</t>
  </si>
  <si>
    <t>Bit</t>
  </si>
  <si>
    <t>Binary(10)</t>
  </si>
  <si>
    <t>VarBinary(255)</t>
  </si>
  <si>
    <t>UniqueIdentifier</t>
  </si>
  <si>
    <t>Xml</t>
  </si>
  <si>
    <t>項目属性</t>
  </si>
  <si>
    <t>KA</t>
  </si>
  <si>
    <t>N</t>
  </si>
  <si>
    <t>入力対象</t>
  </si>
  <si>
    <t>*</t>
  </si>
  <si>
    <r>
      <rPr>
        <sz val="11"/>
        <color rgb="FF000000"/>
        <rFont val="Calibri"/>
        <family val="2"/>
      </rPr>
      <t>エラー予想</t>
    </r>
    <rPh sb="3" eb="5">
      <t>ヨソウ</t>
    </rPh>
    <phoneticPr fontId="0"/>
  </si>
  <si>
    <r>
      <rPr>
        <sz val="11"/>
        <color rgb="FF000000"/>
        <rFont val="Noto Sans JP"/>
        <family val="2"/>
        <charset val="128"/>
      </rPr>
      <t>実エラー</t>
    </r>
    <rPh sb="0" eb="1">
      <t>ジツ</t>
    </rPh>
    <phoneticPr fontId="0"/>
  </si>
  <si>
    <r>
      <rPr>
        <sz val="11"/>
        <color rgb="FF000000"/>
        <rFont val="Noto Sans JP"/>
        <family val="2"/>
        <charset val="128"/>
      </rPr>
      <t>齟齬</t>
    </r>
    <rPh sb="0" eb="2">
      <t>ソゴ</t>
    </rPh>
    <phoneticPr fontId="0"/>
  </si>
  <si>
    <t>(null)</t>
  </si>
  <si>
    <r>
      <rPr>
        <sz val="11"/>
        <color rgb="FF000000"/>
        <rFont val="Noto Sans JP"/>
        <family val="2"/>
        <charset val="128"/>
      </rPr>
      <t>齟齬の原因</t>
    </r>
    <rPh sb="0" eb="2">
      <t>ソゴ</t>
    </rPh>
    <rPh sb="3" eb="5">
      <t>ゲンイン</t>
    </rPh>
    <phoneticPr fontId="0"/>
  </si>
  <si>
    <t/>
  </si>
  <si>
    <t>0x00000000000000000000</t>
  </si>
  <si>
    <t>0xABCDEF01020304050607</t>
  </si>
  <si>
    <r>
      <rPr>
        <sz val="11"/>
        <color rgb="FF000000"/>
        <rFont val="Calibri"/>
        <family val="2"/>
      </rPr>
      <t>[00, 01, 02, 03, 04, 05, 06, 07, 08, 09]</t>
    </r>
    <phoneticPr fontId="0"/>
  </si>
  <si>
    <r>
      <rPr>
        <sz val="11"/>
        <color rgb="FF000000"/>
        <rFont val="Calibri"/>
        <family val="2"/>
      </rPr>
      <t>[0x00, 0x01, 0x02, 0x03, 0x04, 0x05, 0x06, 0x07, 0x08, 0x09]</t>
    </r>
    <phoneticPr fontId="0"/>
  </si>
  <si>
    <r>
      <rPr>
        <sz val="11"/>
        <color rgb="FF000000"/>
        <rFont val="Calibri"/>
        <family val="2"/>
      </rPr>
      <t>[00, 01, 02, 03, 04, 05, 06, 07, 08, 09, 10]</t>
    </r>
    <phoneticPr fontId="0"/>
  </si>
  <si>
    <r>
      <rPr>
        <sz val="11"/>
        <color rgb="FF000000"/>
        <rFont val="Calibri"/>
        <family val="2"/>
      </rPr>
      <t>[0x00, 0x01, 0x02, 0x03, 0x04, 0x05, 0x06, 0x07, 0x08, 0x09, 0x0A]</t>
    </r>
    <phoneticPr fontId="0"/>
  </si>
  <si>
    <t>0xGGHHIIJJKKLLMMNNOOPP</t>
  </si>
  <si>
    <t>0xAAAAAAAAAAAAAAAAAAAAAA</t>
  </si>
  <si>
    <t>0x00</t>
  </si>
  <si>
    <r>
      <rPr>
        <sz val="11"/>
        <color rgb="FF000000"/>
        <rFont val="Calibri"/>
        <family val="2"/>
      </rPr>
      <t>0x0102030405</t>
    </r>
    <phoneticPr fontId="0"/>
  </si>
  <si>
    <r>
      <rPr>
        <sz val="11"/>
        <color rgb="FF000000"/>
        <rFont val="Calibri"/>
        <family val="2"/>
      </rPr>
      <t>[156,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255]</t>
    </r>
    <phoneticPr fontId="0"/>
  </si>
  <si>
    <t>00000000-0000-0000-0000-000000000000</t>
  </si>
  <si>
    <t>550E8400-E29B-41D4-A716-446655440000</t>
  </si>
  <si>
    <t>FFFFFFFF-FFFF-FFFF-FFFF-FFFFFFFFFFFF</t>
  </si>
  <si>
    <t>550E8400E29B41D4A716446655440000</t>
  </si>
  <si>
    <t>not-a-guid</t>
  </si>
  <si>
    <t>550E8400-E29B-41D4-A716</t>
  </si>
  <si>
    <t>&lt;root/&gt;</t>
  </si>
  <si>
    <t>&lt;data id="1"&gt;&lt;name&gt;テスト&lt;/name&gt;&lt;value&gt;123&lt;/value&gt;&lt;/data&gt;</t>
  </si>
  <si>
    <t>&lt;root&gt;&lt;item id="1" type="A"&gt;&lt;desc&gt;Hello &amp;amp; World&lt;/desc&gt;&lt;/item&gt;&lt;item id="2"/&gt;&lt;/root&gt;</t>
  </si>
  <si>
    <t>&lt;root&gt;&lt;item&gt;</t>
  </si>
  <si>
    <t>&lt;root&gt;&lt;data&gt;]]&gt;&lt;/data&gt;&lt;/root&gt;</t>
  </si>
  <si>
    <t>これはXMLではありません</t>
  </si>
  <si>
    <t>DB種類</t>
  </si>
  <si>
    <t>Microsoft SQL 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</si>
</sst>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"/>
    <numFmt numFmtId="177" formatCode="yyyy/mm/dd"/>
    <numFmt numFmtId="178" formatCode="hh:mm:ss"/>
    <numFmt numFmtId="179" formatCode="yyyy/mm/dd\ hh:mm:ss"/>
  </numFmts>
  <fonts count="5" x14ac:knownFonts="1">
    <font>
      <sz val="11"/>
      <color rgb="FF000000"/>
      <name val="Calibri"/>
      <family val="2"/>
    </font>
    <font>
      <sz val="6"/>
      <name val="ＭＳ ゴシック"/>
      <family val="3"/>
      <charset val="128"/>
    </font>
    <font>
      <sz val="11"/>
      <color rgb="FF000000"/>
      <name val="Noto Sans JP"/>
      <family val="2"/>
      <charset val="128"/>
    </font>
    <font>
      <b/>
      <sz val="11"/>
      <color rgb="FF0000FF"/>
      <name val="Calibri"/>
      <family val="2"/>
    </font>
    <font>
      <sz val="11"/>
      <color rgb="FF000000"/>
      <name val="MS UI Gothic"/>
      <family val="2"/>
      <charset val="128"/>
    </font>
  </fonts>
  <fills count="8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2F2F2"/>
      </patternFill>
    </fill>
    <fill>
      <patternFill patternType="solid">
        <fgColor rgb="FFBDD7EE"/>
      </patternFill>
    </fill>
    <fill>
      <patternFill patternType="solid">
        <fgColor rgb="FFC0C0C0"/>
      </patternFill>
    </fill>
    <fill>
      <patternFill patternType="solid">
        <fgColor rgb="FFD9E1F2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 applyProtection="1">
      <alignment vertical="top"/>
      <protection locked="0"/>
    </xf>
    <xf numFmtId="176" fontId="0" fillId="0" borderId="0" xfId="0" applyNumberFormat="1" applyAlignment="1" applyProtection="1">
      <alignment vertical="top"/>
      <protection locked="0"/>
    </xf>
    <xf numFmtId="49" fontId="0" fillId="0" borderId="0" xfId="0" applyNumberFormat="1" applyAlignment="1" applyProtection="1">
      <alignment vertical="top" wrapText="1"/>
      <protection locked="0"/>
    </xf>
    <xf numFmtId="177" fontId="0" fillId="0" borderId="0" xfId="0" applyNumberFormat="1" applyAlignment="1" applyProtection="1">
      <alignment vertical="top"/>
      <protection locked="0"/>
    </xf>
    <xf numFmtId="178" fontId="0" fillId="0" borderId="0" xfId="0" applyNumberFormat="1" applyAlignment="1" applyProtection="1">
      <alignment vertical="top"/>
      <protection locked="0"/>
    </xf>
    <xf numFmtId="179" fontId="0" fillId="0" borderId="0" xfId="0" applyNumberFormat="1" applyAlignment="1" applyProtection="1">
      <alignment vertical="top"/>
      <protection locked="0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176" fontId="0" fillId="0" borderId="0" xfId="0" applyNumberFormat="1" applyAlignment="1">
      <alignment vertical="top"/>
    </xf>
    <xf numFmtId="177" fontId="0" fillId="0" borderId="0" xfId="0" applyNumberFormat="1" applyAlignment="1">
      <alignment vertical="top"/>
    </xf>
    <xf numFmtId="178" fontId="0" fillId="0" borderId="0" xfId="0" applyNumberFormat="1" applyAlignment="1">
      <alignment vertical="top"/>
    </xf>
    <xf numFmtId="179" fontId="0" fillId="0" borderId="0" xfId="0" applyNumberFormat="1" applyAlignment="1">
      <alignment vertical="top"/>
    </xf>
    <xf numFmtId="49" fontId="0" fillId="2" borderId="0" xfId="0" applyNumberForma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176" fontId="0" fillId="5" borderId="0" xfId="0" applyNumberFormat="1" applyFill="1" applyAlignment="1">
      <alignment vertical="top" wrapText="1"/>
    </xf>
    <xf numFmtId="49" fontId="0" fillId="5" borderId="0" xfId="0" applyNumberFormat="1" applyFill="1" applyAlignment="1">
      <alignment vertical="top" wrapText="1"/>
    </xf>
    <xf numFmtId="177" fontId="0" fillId="5" borderId="0" xfId="0" applyNumberFormat="1" applyFill="1" applyAlignment="1">
      <alignment vertical="top" wrapText="1"/>
    </xf>
    <xf numFmtId="178" fontId="0" fillId="5" borderId="0" xfId="0" applyNumberFormat="1" applyFill="1" applyAlignment="1">
      <alignment vertical="top" wrapText="1"/>
    </xf>
    <xf numFmtId="179" fontId="0" fillId="5" borderId="0" xfId="0" applyNumberFormat="1" applyFill="1" applyAlignment="1">
      <alignment vertical="top" wrapText="1"/>
    </xf>
    <xf numFmtId="0" fontId="0" fillId="5" borderId="0" xfId="0" applyFill="1" applyAlignment="1">
      <alignment vertical="top"/>
    </xf>
    <xf numFmtId="0" fontId="0" fillId="2" borderId="0" xfId="0" applyFill="1" applyAlignment="1" applyProtection="1">
      <alignment vertical="top"/>
      <protection locked="0"/>
    </xf>
    <xf numFmtId="0" fontId="0" fillId="4" borderId="0" xfId="0" applyFill="1" applyAlignment="1" applyProtection="1">
      <alignment vertical="top"/>
      <protection locked="0"/>
    </xf>
    <xf numFmtId="0" fontId="0" fillId="5" borderId="0" xfId="0" applyFill="1" applyAlignment="1" applyProtection="1">
      <alignment vertical="top"/>
      <protection locked="0"/>
    </xf>
    <xf numFmtId="176" fontId="0" fillId="5" borderId="0" xfId="0" applyNumberFormat="1" applyFill="1" applyAlignment="1" applyProtection="1">
      <alignment vertical="top"/>
      <protection locked="0"/>
    </xf>
    <xf numFmtId="49" fontId="0" fillId="5" borderId="0" xfId="0" applyNumberFormat="1" applyFill="1" applyAlignment="1" applyProtection="1">
      <alignment vertical="top" wrapText="1"/>
      <protection locked="0"/>
    </xf>
    <xf numFmtId="177" fontId="0" fillId="5" borderId="0" xfId="0" applyNumberFormat="1" applyFill="1" applyAlignment="1" applyProtection="1">
      <alignment vertical="top"/>
      <protection locked="0"/>
    </xf>
    <xf numFmtId="178" fontId="0" fillId="5" borderId="0" xfId="0" applyNumberFormat="1" applyFill="1" applyAlignment="1" applyProtection="1">
      <alignment vertical="top"/>
      <protection locked="0"/>
    </xf>
    <xf numFmtId="179" fontId="0" fillId="5" borderId="0" xfId="0" applyNumberFormat="1" applyFill="1" applyAlignment="1" applyProtection="1">
      <alignment vertical="top"/>
      <protection locked="0"/>
    </xf>
    <xf numFmtId="0" fontId="0" fillId="6" borderId="0" xfId="0" applyFill="1" applyAlignment="1" applyProtection="1">
      <alignment vertical="top"/>
      <protection locked="0"/>
    </xf>
    <xf numFmtId="0" fontId="0" fillId="0" borderId="0" xfId="0" applyAlignment="1" applyProtection="1">
      <alignment vertical="top" wrapText="1"/>
      <protection locked="0"/>
    </xf>
    <xf numFmtId="0" fontId="0" fillId="3" borderId="0" xfId="0" applyFill="1" applyAlignment="1">
      <alignment vertical="top"/>
    </xf>
    <xf numFmtId="49" fontId="0" fillId="0" borderId="0" xfId="0" applyNumberFormat="1" applyAlignment="1">
      <alignment vertical="top"/>
    </xf>
    <xf numFmtId="49" fontId="0" fillId="2" borderId="0" xfId="0" applyNumberFormat="1" applyFill="1" applyAlignment="1">
      <alignment vertical="top"/>
    </xf>
    <xf numFmtId="0" fontId="0" fillId="4" borderId="0" xfId="0" applyFill="1" applyAlignment="1">
      <alignment vertical="top"/>
    </xf>
    <xf numFmtId="176" fontId="0" fillId="5" borderId="0" xfId="0" applyNumberFormat="1" applyFill="1" applyAlignment="1">
      <alignment vertical="top"/>
    </xf>
    <xf numFmtId="49" fontId="0" fillId="5" borderId="0" xfId="0" applyNumberFormat="1" applyFill="1" applyAlignment="1">
      <alignment vertical="top"/>
    </xf>
    <xf numFmtId="177" fontId="0" fillId="5" borderId="0" xfId="0" applyNumberFormat="1" applyFill="1" applyAlignment="1">
      <alignment vertical="top"/>
    </xf>
    <xf numFmtId="178" fontId="0" fillId="5" borderId="0" xfId="0" applyNumberFormat="1" applyFill="1" applyAlignment="1">
      <alignment vertical="top"/>
    </xf>
    <xf numFmtId="179" fontId="0" fillId="5" borderId="0" xfId="0" applyNumberFormat="1" applyFill="1" applyAlignment="1">
      <alignment vertical="top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0" fillId="6" borderId="0" xfId="0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3" fillId="0" borderId="0" xfId="0" applyFont="1" applyAlignment="1" applyProtection="1">
      <alignment vertical="top"/>
      <protection locked="0"/>
    </xf>
    <xf numFmtId="0" fontId="3" fillId="0" borderId="0" xfId="0" applyFont="1" applyAlignment="1" applyProtection="1">
      <alignment vertical="top" wrapText="1"/>
      <protection locked="0"/>
    </xf>
    <xf numFmtId="3" fontId="0" fillId="0" borderId="0" xfId="0" quotePrefix="1" applyNumberFormat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 applyProtection="1">
      <alignment vertical="top" wrapText="1"/>
      <protection locked="0"/>
    </xf>
  </cellXfs>
  <cellStyles count="1">
    <cellStyle name="標準" xfId="0" builtinId="0"/>
  </cellStyles>
  <dxfs count="10">
    <dxf>
      <font>
        <color theme="0" tint="-0.14996795556505021"/>
      </font>
    </dxf>
    <dxf>
      <font>
        <color theme="0"/>
      </font>
      <fill>
        <patternFill patternType="solid">
          <fgColor auto="1"/>
          <bgColor rgb="FFFF0000"/>
        </patternFill>
      </fill>
    </dxf>
    <dxf>
      <font>
        <color theme="0" tint="-0.24994659260841701"/>
      </font>
    </dxf>
    <dxf>
      <fill>
        <patternFill patternType="solid">
          <fgColor auto="1"/>
          <bgColor rgb="FFFFC000"/>
        </patternFill>
      </fill>
    </dxf>
    <dxf>
      <font>
        <color theme="0" tint="-0.34998626667073579"/>
      </font>
    </dxf>
    <dxf>
      <fill>
        <patternFill patternType="solid">
          <fgColor auto="1"/>
          <bgColor theme="9" tint="0.39994506668294322"/>
        </patternFill>
      </fill>
    </dxf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4"/>
  <sheetViews>
    <sheetView tabSelected="1" zoomScale="85" zoomScaleNormal="85" workbookViewId="0">
      <selection activeCell="T7" sqref="T7"/>
    </sheetView>
  </sheetViews>
  <sheetFormatPr defaultColWidth="9.1796875" defaultRowHeight="14.5" outlineLevelCol="1" x14ac:dyDescent="0.35"/>
  <cols>
    <col min="1" max="1" width="18.81640625" style="1" customWidth="1"/>
    <col min="2" max="2" width="20.6328125" style="1" customWidth="1"/>
    <col min="3" max="4" width="14.81640625" style="1" customWidth="1" outlineLevel="1"/>
    <col min="5" max="5" width="18.7265625" style="1" customWidth="1" outlineLevel="1"/>
    <col min="6" max="6" width="24.7265625" style="1" customWidth="1" outlineLevel="1"/>
    <col min="7" max="8" width="28.81640625" style="2" customWidth="1" outlineLevel="1"/>
    <col min="9" max="10" width="14.81640625" style="1" customWidth="1" outlineLevel="1"/>
    <col min="11" max="12" width="16.81640625" style="3" customWidth="1" outlineLevel="1"/>
    <col min="13" max="14" width="50.81640625" style="3" customWidth="1" outlineLevel="1"/>
    <col min="15" max="15" width="14.81640625" style="4" customWidth="1" outlineLevel="1"/>
    <col min="16" max="16" width="14.81640625" style="5" customWidth="1" outlineLevel="1"/>
    <col min="17" max="18" width="22.81640625" style="6" customWidth="1" outlineLevel="1"/>
    <col min="19" max="19" width="14.81640625" style="1" customWidth="1"/>
    <col min="20" max="21" width="50.81640625" style="3" customWidth="1"/>
    <col min="22" max="22" width="41.81640625" style="3" customWidth="1"/>
    <col min="23" max="23" width="50.1796875" style="3" customWidth="1"/>
    <col min="24" max="24" width="10.81640625" style="1" customWidth="1"/>
    <col min="25" max="25" width="48.81640625" style="1" customWidth="1"/>
    <col min="26" max="26" width="2.81640625" style="1" customWidth="1"/>
    <col min="27" max="29" width="10.81640625" style="42" customWidth="1"/>
    <col min="30" max="30" width="55.54296875" style="1" customWidth="1"/>
    <col min="31" max="31" width="9.1796875" style="1" customWidth="1"/>
    <col min="32" max="16384" width="9.1796875" style="1"/>
  </cols>
  <sheetData>
    <row r="1" spans="1:30" s="7" customFormat="1" x14ac:dyDescent="0.35">
      <c r="A1" s="8" t="s">
        <v>0</v>
      </c>
      <c r="B1" s="32" t="s">
        <v>2</v>
      </c>
      <c r="C1" s="8" t="s">
        <v>1</v>
      </c>
      <c r="D1" s="32" t="s">
        <v>3</v>
      </c>
      <c r="E1" s="8" t="s">
        <v>108</v>
      </c>
      <c r="F1" s="32" t="s">
        <v>109</v>
      </c>
      <c r="G1" s="9"/>
      <c r="H1" s="9"/>
      <c r="K1" s="33"/>
      <c r="L1" s="33"/>
      <c r="M1" s="33"/>
      <c r="N1" s="33"/>
      <c r="O1" s="10"/>
      <c r="P1" s="11"/>
      <c r="Q1" s="12"/>
      <c r="R1" s="12"/>
      <c r="T1" s="33"/>
      <c r="U1" s="33"/>
      <c r="V1" s="33"/>
      <c r="W1" s="33"/>
      <c r="AA1" s="41"/>
      <c r="AB1" s="41"/>
      <c r="AC1" s="41"/>
    </row>
    <row r="2" spans="1:30" s="7" customFormat="1" x14ac:dyDescent="0.35">
      <c r="A2" s="8" t="s">
        <v>4</v>
      </c>
      <c r="B2" s="48"/>
      <c r="G2" s="9"/>
      <c r="H2" s="9"/>
      <c r="K2" s="33"/>
      <c r="L2" s="33"/>
      <c r="M2" s="33"/>
      <c r="N2" s="33"/>
      <c r="O2" s="10"/>
      <c r="P2" s="11"/>
      <c r="Q2" s="12"/>
      <c r="R2" s="12"/>
      <c r="T2" s="33"/>
      <c r="U2" s="33"/>
      <c r="V2" s="33"/>
      <c r="W2" s="33"/>
      <c r="AA2" s="41"/>
      <c r="AB2" s="41"/>
      <c r="AC2" s="41"/>
    </row>
    <row r="3" spans="1:30" s="7" customFormat="1" x14ac:dyDescent="0.35">
      <c r="A3" s="34" t="s">
        <v>5</v>
      </c>
      <c r="B3" s="35" t="s">
        <v>6</v>
      </c>
      <c r="C3" s="21" t="s">
        <v>7</v>
      </c>
      <c r="D3" s="21" t="s">
        <v>8</v>
      </c>
      <c r="E3" s="21" t="s">
        <v>9</v>
      </c>
      <c r="F3" s="21" t="s">
        <v>10</v>
      </c>
      <c r="G3" s="36" t="s">
        <v>11</v>
      </c>
      <c r="H3" s="36" t="s">
        <v>12</v>
      </c>
      <c r="I3" s="21" t="s">
        <v>13</v>
      </c>
      <c r="J3" s="21" t="s">
        <v>14</v>
      </c>
      <c r="K3" s="37" t="s">
        <v>15</v>
      </c>
      <c r="L3" s="37" t="s">
        <v>16</v>
      </c>
      <c r="M3" s="37" t="s">
        <v>17</v>
      </c>
      <c r="N3" s="37" t="s">
        <v>18</v>
      </c>
      <c r="O3" s="38" t="s">
        <v>19</v>
      </c>
      <c r="P3" s="39" t="s">
        <v>20</v>
      </c>
      <c r="Q3" s="40" t="s">
        <v>21</v>
      </c>
      <c r="R3" s="40" t="s">
        <v>22</v>
      </c>
      <c r="S3" s="21" t="s">
        <v>23</v>
      </c>
      <c r="T3" s="37" t="s">
        <v>24</v>
      </c>
      <c r="U3" s="37" t="s">
        <v>25</v>
      </c>
      <c r="V3" s="37" t="s">
        <v>26</v>
      </c>
      <c r="W3" s="37" t="s">
        <v>27</v>
      </c>
      <c r="X3" s="37" t="s">
        <v>28</v>
      </c>
      <c r="Y3" s="37" t="s">
        <v>29</v>
      </c>
      <c r="AA3" s="41"/>
      <c r="AB3" s="41"/>
      <c r="AC3" s="41"/>
    </row>
    <row r="4" spans="1:30" s="7" customFormat="1" x14ac:dyDescent="0.35">
      <c r="A4" s="34" t="s">
        <v>30</v>
      </c>
      <c r="B4" s="35" t="s">
        <v>31</v>
      </c>
      <c r="C4" s="21" t="s">
        <v>32</v>
      </c>
      <c r="D4" s="21" t="s">
        <v>33</v>
      </c>
      <c r="E4" s="21" t="s">
        <v>34</v>
      </c>
      <c r="F4" s="21" t="s">
        <v>35</v>
      </c>
      <c r="G4" s="36" t="s">
        <v>36</v>
      </c>
      <c r="H4" s="36" t="s">
        <v>37</v>
      </c>
      <c r="I4" s="21" t="s">
        <v>38</v>
      </c>
      <c r="J4" s="21" t="s">
        <v>39</v>
      </c>
      <c r="K4" s="37" t="s">
        <v>40</v>
      </c>
      <c r="L4" s="37" t="s">
        <v>41</v>
      </c>
      <c r="M4" s="37" t="s">
        <v>42</v>
      </c>
      <c r="N4" s="37" t="s">
        <v>43</v>
      </c>
      <c r="O4" s="38" t="s">
        <v>44</v>
      </c>
      <c r="P4" s="39" t="s">
        <v>45</v>
      </c>
      <c r="Q4" s="40" t="s">
        <v>46</v>
      </c>
      <c r="R4" s="40" t="s">
        <v>47</v>
      </c>
      <c r="S4" s="21" t="s">
        <v>48</v>
      </c>
      <c r="T4" s="37" t="s">
        <v>49</v>
      </c>
      <c r="U4" s="37" t="s">
        <v>50</v>
      </c>
      <c r="V4" s="37" t="s">
        <v>51</v>
      </c>
      <c r="W4" s="37" t="s">
        <v>52</v>
      </c>
      <c r="X4" s="21"/>
      <c r="Y4" s="21"/>
      <c r="AA4" s="41"/>
      <c r="AB4" s="41"/>
      <c r="AC4" s="41"/>
    </row>
    <row r="5" spans="1:30" s="7" customFormat="1" x14ac:dyDescent="0.35">
      <c r="A5" s="13" t="s">
        <v>53</v>
      </c>
      <c r="B5" s="14" t="s">
        <v>54</v>
      </c>
      <c r="C5" s="15" t="s">
        <v>55</v>
      </c>
      <c r="D5" s="15" t="s">
        <v>56</v>
      </c>
      <c r="E5" s="15" t="s">
        <v>54</v>
      </c>
      <c r="F5" s="15" t="s">
        <v>57</v>
      </c>
      <c r="G5" s="16" t="s">
        <v>58</v>
      </c>
      <c r="H5" s="16" t="s">
        <v>58</v>
      </c>
      <c r="I5" s="15" t="s">
        <v>59</v>
      </c>
      <c r="J5" s="15" t="s">
        <v>60</v>
      </c>
      <c r="K5" s="17" t="s">
        <v>61</v>
      </c>
      <c r="L5" s="17" t="s">
        <v>62</v>
      </c>
      <c r="M5" s="17" t="s">
        <v>63</v>
      </c>
      <c r="N5" s="17" t="s">
        <v>64</v>
      </c>
      <c r="O5" s="18" t="s">
        <v>65</v>
      </c>
      <c r="P5" s="19" t="s">
        <v>66</v>
      </c>
      <c r="Q5" s="20" t="s">
        <v>67</v>
      </c>
      <c r="R5" s="20" t="s">
        <v>68</v>
      </c>
      <c r="S5" s="15" t="s">
        <v>69</v>
      </c>
      <c r="T5" s="17" t="s">
        <v>70</v>
      </c>
      <c r="U5" s="17" t="s">
        <v>71</v>
      </c>
      <c r="V5" s="17" t="s">
        <v>72</v>
      </c>
      <c r="W5" s="17" t="s">
        <v>73</v>
      </c>
      <c r="X5" s="21"/>
      <c r="Y5" s="21"/>
      <c r="AA5" s="41"/>
      <c r="AB5" s="41"/>
      <c r="AC5" s="41"/>
    </row>
    <row r="6" spans="1:30" s="7" customFormat="1" x14ac:dyDescent="0.35">
      <c r="A6" s="8" t="s">
        <v>74</v>
      </c>
      <c r="B6" s="14" t="s">
        <v>75</v>
      </c>
      <c r="C6" s="15" t="s">
        <v>76</v>
      </c>
      <c r="D6" s="15" t="s">
        <v>76</v>
      </c>
      <c r="E6" s="15" t="s">
        <v>76</v>
      </c>
      <c r="F6" s="15" t="s">
        <v>76</v>
      </c>
      <c r="G6" s="16" t="s">
        <v>76</v>
      </c>
      <c r="H6" s="16" t="s">
        <v>76</v>
      </c>
      <c r="I6" s="15" t="s">
        <v>76</v>
      </c>
      <c r="J6" s="15" t="s">
        <v>76</v>
      </c>
      <c r="K6" s="17" t="s">
        <v>76</v>
      </c>
      <c r="L6" s="17" t="s">
        <v>76</v>
      </c>
      <c r="M6" s="17" t="s">
        <v>76</v>
      </c>
      <c r="N6" s="17" t="s">
        <v>76</v>
      </c>
      <c r="O6" s="18" t="s">
        <v>76</v>
      </c>
      <c r="P6" s="19" t="s">
        <v>76</v>
      </c>
      <c r="Q6" s="20" t="s">
        <v>76</v>
      </c>
      <c r="R6" s="20" t="s">
        <v>76</v>
      </c>
      <c r="S6" s="15" t="s">
        <v>76</v>
      </c>
      <c r="T6" s="17" t="s">
        <v>76</v>
      </c>
      <c r="U6" s="17" t="s">
        <v>76</v>
      </c>
      <c r="V6" s="17" t="s">
        <v>76</v>
      </c>
      <c r="W6" s="17" t="s">
        <v>76</v>
      </c>
      <c r="X6" s="21"/>
      <c r="Y6" s="21"/>
      <c r="AA6" s="41"/>
      <c r="AB6" s="41"/>
      <c r="AC6" s="41"/>
    </row>
    <row r="7" spans="1:30" ht="18" customHeight="1" x14ac:dyDescent="0.35">
      <c r="A7" s="22" t="s">
        <v>77</v>
      </c>
      <c r="B7" s="23" t="s">
        <v>78</v>
      </c>
      <c r="C7" s="24" t="s">
        <v>78</v>
      </c>
      <c r="D7" s="24" t="s">
        <v>78</v>
      </c>
      <c r="E7" s="24" t="s">
        <v>78</v>
      </c>
      <c r="F7" s="24" t="s">
        <v>78</v>
      </c>
      <c r="G7" s="25" t="s">
        <v>78</v>
      </c>
      <c r="H7" s="25" t="s">
        <v>78</v>
      </c>
      <c r="I7" s="24" t="s">
        <v>78</v>
      </c>
      <c r="J7" s="24" t="s">
        <v>78</v>
      </c>
      <c r="K7" s="26" t="s">
        <v>78</v>
      </c>
      <c r="L7" s="26" t="s">
        <v>78</v>
      </c>
      <c r="M7" s="26" t="s">
        <v>78</v>
      </c>
      <c r="N7" s="26" t="s">
        <v>78</v>
      </c>
      <c r="O7" s="27" t="s">
        <v>78</v>
      </c>
      <c r="P7" s="28" t="s">
        <v>78</v>
      </c>
      <c r="Q7" s="29" t="s">
        <v>78</v>
      </c>
      <c r="R7" s="29" t="s">
        <v>78</v>
      </c>
      <c r="S7" s="24" t="s">
        <v>78</v>
      </c>
      <c r="T7" s="26" t="s">
        <v>78</v>
      </c>
      <c r="U7" s="26" t="s">
        <v>78</v>
      </c>
      <c r="V7" s="26" t="s">
        <v>78</v>
      </c>
      <c r="W7" s="26" t="s">
        <v>78</v>
      </c>
      <c r="X7" s="30"/>
      <c r="Y7" s="30"/>
      <c r="AA7" s="43" t="s">
        <v>79</v>
      </c>
      <c r="AB7" s="44" t="s">
        <v>80</v>
      </c>
      <c r="AC7" s="44" t="s">
        <v>81</v>
      </c>
      <c r="AD7" s="45" t="s">
        <v>83</v>
      </c>
    </row>
    <row r="8" spans="1:30" x14ac:dyDescent="0.35">
      <c r="A8" s="50"/>
      <c r="B8" s="1">
        <f t="shared" ref="B8:B44" si="0">300+ROW(B8)-7</f>
        <v>301</v>
      </c>
      <c r="C8" s="7" t="s">
        <v>82</v>
      </c>
      <c r="D8" s="7" t="s">
        <v>82</v>
      </c>
      <c r="E8" s="7" t="s">
        <v>82</v>
      </c>
      <c r="F8" s="7" t="s">
        <v>82</v>
      </c>
      <c r="G8" s="7" t="s">
        <v>82</v>
      </c>
      <c r="H8" s="7" t="s">
        <v>82</v>
      </c>
      <c r="I8" s="7" t="s">
        <v>82</v>
      </c>
      <c r="J8" s="7" t="s">
        <v>82</v>
      </c>
      <c r="K8" s="7" t="s">
        <v>82</v>
      </c>
      <c r="L8" s="7" t="s">
        <v>82</v>
      </c>
      <c r="M8" s="7" t="s">
        <v>82</v>
      </c>
      <c r="N8" s="7" t="s">
        <v>82</v>
      </c>
      <c r="O8" s="7" t="s">
        <v>82</v>
      </c>
      <c r="P8" s="7" t="s">
        <v>82</v>
      </c>
      <c r="Q8" s="7" t="s">
        <v>82</v>
      </c>
      <c r="R8" s="7" t="s">
        <v>82</v>
      </c>
      <c r="S8" s="7">
        <v>0</v>
      </c>
      <c r="T8" s="46" t="s">
        <v>82</v>
      </c>
      <c r="U8" s="46" t="s">
        <v>82</v>
      </c>
      <c r="V8" s="46" t="s">
        <v>82</v>
      </c>
      <c r="W8" s="46" t="s">
        <v>82</v>
      </c>
      <c r="X8" s="47"/>
      <c r="Y8" s="1" t="s">
        <v>84</v>
      </c>
      <c r="AA8" s="41" t="b">
        <f t="shared" ref="AA8:AA44" si="1">NOT(ISERROR(FIND("エラー",A8, 1)))</f>
        <v>0</v>
      </c>
      <c r="AB8" s="41" t="str">
        <f t="shared" ref="AB8:AB44" si="2">IF(X8&lt;&gt;"", NOT(X8), "")</f>
        <v/>
      </c>
      <c r="AC8" s="41" t="str">
        <f t="shared" ref="AC8:AC44" si="3">IF(AND(AA8&lt;&gt;"", AB8&lt;&gt;""), AA8&lt;&gt;AB8, "")</f>
        <v/>
      </c>
      <c r="AD8" s="31"/>
    </row>
    <row r="9" spans="1:30" x14ac:dyDescent="0.35">
      <c r="A9" s="50"/>
      <c r="B9" s="1">
        <f t="shared" si="0"/>
        <v>302</v>
      </c>
      <c r="C9" s="7" t="s">
        <v>82</v>
      </c>
      <c r="D9" s="7" t="s">
        <v>82</v>
      </c>
      <c r="E9" s="7" t="s">
        <v>82</v>
      </c>
      <c r="F9" s="7" t="s">
        <v>82</v>
      </c>
      <c r="G9" s="7" t="s">
        <v>82</v>
      </c>
      <c r="H9" s="7" t="s">
        <v>82</v>
      </c>
      <c r="I9" s="7" t="s">
        <v>82</v>
      </c>
      <c r="J9" s="7" t="s">
        <v>82</v>
      </c>
      <c r="K9" s="7" t="s">
        <v>82</v>
      </c>
      <c r="L9" s="7" t="s">
        <v>82</v>
      </c>
      <c r="M9" s="7" t="s">
        <v>82</v>
      </c>
      <c r="N9" s="7" t="s">
        <v>82</v>
      </c>
      <c r="O9" s="7" t="s">
        <v>82</v>
      </c>
      <c r="P9" s="7" t="s">
        <v>82</v>
      </c>
      <c r="Q9" s="7" t="s">
        <v>82</v>
      </c>
      <c r="R9" s="7" t="s">
        <v>82</v>
      </c>
      <c r="S9" s="7">
        <v>1</v>
      </c>
      <c r="T9" s="46" t="s">
        <v>82</v>
      </c>
      <c r="U9" s="46" t="s">
        <v>82</v>
      </c>
      <c r="V9" s="46" t="s">
        <v>82</v>
      </c>
      <c r="W9" s="46" t="s">
        <v>82</v>
      </c>
      <c r="X9" s="47"/>
      <c r="Y9" s="1" t="s">
        <v>84</v>
      </c>
      <c r="AA9" s="41" t="b">
        <f t="shared" si="1"/>
        <v>0</v>
      </c>
      <c r="AB9" s="41" t="str">
        <f t="shared" si="2"/>
        <v/>
      </c>
      <c r="AC9" s="41" t="str">
        <f t="shared" si="3"/>
        <v/>
      </c>
      <c r="AD9" s="31"/>
    </row>
    <row r="10" spans="1:30" x14ac:dyDescent="0.35">
      <c r="A10" s="50"/>
      <c r="B10" s="1">
        <f t="shared" si="0"/>
        <v>303</v>
      </c>
      <c r="C10" s="7" t="s">
        <v>82</v>
      </c>
      <c r="D10" s="7" t="s">
        <v>82</v>
      </c>
      <c r="E10" s="7" t="s">
        <v>82</v>
      </c>
      <c r="F10" s="7" t="s">
        <v>82</v>
      </c>
      <c r="G10" s="7" t="s">
        <v>82</v>
      </c>
      <c r="H10" s="7" t="s">
        <v>82</v>
      </c>
      <c r="I10" s="7" t="s">
        <v>82</v>
      </c>
      <c r="J10" s="7" t="s">
        <v>82</v>
      </c>
      <c r="K10" s="7" t="s">
        <v>82</v>
      </c>
      <c r="L10" s="7" t="s">
        <v>82</v>
      </c>
      <c r="M10" s="7" t="s">
        <v>82</v>
      </c>
      <c r="N10" s="7" t="s">
        <v>82</v>
      </c>
      <c r="O10" s="7" t="s">
        <v>82</v>
      </c>
      <c r="P10" s="7" t="s">
        <v>82</v>
      </c>
      <c r="Q10" s="7" t="s">
        <v>82</v>
      </c>
      <c r="R10" s="7" t="s">
        <v>82</v>
      </c>
      <c r="S10" s="7">
        <v>2</v>
      </c>
      <c r="T10" s="46" t="s">
        <v>82</v>
      </c>
      <c r="U10" s="46" t="s">
        <v>82</v>
      </c>
      <c r="V10" s="46" t="s">
        <v>82</v>
      </c>
      <c r="W10" s="46" t="s">
        <v>82</v>
      </c>
      <c r="X10" s="47"/>
      <c r="Y10" s="1" t="s">
        <v>84</v>
      </c>
      <c r="AA10" s="41" t="b">
        <f t="shared" si="1"/>
        <v>0</v>
      </c>
      <c r="AB10" s="41" t="str">
        <f t="shared" si="2"/>
        <v/>
      </c>
      <c r="AC10" s="41" t="str">
        <f t="shared" si="3"/>
        <v/>
      </c>
      <c r="AD10" s="31"/>
    </row>
    <row r="11" spans="1:30" x14ac:dyDescent="0.35">
      <c r="A11" s="50"/>
      <c r="B11" s="1">
        <f t="shared" si="0"/>
        <v>304</v>
      </c>
      <c r="C11" s="7" t="s">
        <v>82</v>
      </c>
      <c r="D11" s="7" t="s">
        <v>82</v>
      </c>
      <c r="E11" s="7" t="s">
        <v>82</v>
      </c>
      <c r="F11" s="7" t="s">
        <v>82</v>
      </c>
      <c r="G11" s="7" t="s">
        <v>82</v>
      </c>
      <c r="H11" s="7" t="s">
        <v>82</v>
      </c>
      <c r="I11" s="7" t="s">
        <v>82</v>
      </c>
      <c r="J11" s="7" t="s">
        <v>82</v>
      </c>
      <c r="K11" s="7" t="s">
        <v>82</v>
      </c>
      <c r="L11" s="7" t="s">
        <v>82</v>
      </c>
      <c r="M11" s="7" t="s">
        <v>82</v>
      </c>
      <c r="N11" s="7" t="s">
        <v>82</v>
      </c>
      <c r="O11" s="7" t="s">
        <v>82</v>
      </c>
      <c r="P11" s="7" t="s">
        <v>82</v>
      </c>
      <c r="Q11" s="7" t="s">
        <v>82</v>
      </c>
      <c r="R11" s="7" t="s">
        <v>82</v>
      </c>
      <c r="S11" s="7" t="s">
        <v>82</v>
      </c>
      <c r="T11" s="46" t="s">
        <v>85</v>
      </c>
      <c r="U11" s="46" t="s">
        <v>82</v>
      </c>
      <c r="V11" s="46" t="s">
        <v>82</v>
      </c>
      <c r="W11" s="46" t="s">
        <v>82</v>
      </c>
      <c r="X11" s="47"/>
      <c r="Y11" s="1" t="s">
        <v>84</v>
      </c>
      <c r="AA11" s="41" t="b">
        <f t="shared" si="1"/>
        <v>0</v>
      </c>
      <c r="AB11" s="41" t="str">
        <f t="shared" si="2"/>
        <v/>
      </c>
      <c r="AC11" s="41" t="str">
        <f t="shared" si="3"/>
        <v/>
      </c>
      <c r="AD11" s="31"/>
    </row>
    <row r="12" spans="1:30" x14ac:dyDescent="0.35">
      <c r="A12" s="50"/>
      <c r="B12" s="1">
        <f t="shared" si="0"/>
        <v>305</v>
      </c>
      <c r="C12" s="7" t="s">
        <v>82</v>
      </c>
      <c r="D12" s="7" t="s">
        <v>82</v>
      </c>
      <c r="E12" s="7" t="s">
        <v>82</v>
      </c>
      <c r="F12" s="7" t="s">
        <v>82</v>
      </c>
      <c r="G12" s="7" t="s">
        <v>82</v>
      </c>
      <c r="H12" s="7" t="s">
        <v>82</v>
      </c>
      <c r="I12" s="7" t="s">
        <v>82</v>
      </c>
      <c r="J12" s="7" t="s">
        <v>82</v>
      </c>
      <c r="K12" s="7" t="s">
        <v>82</v>
      </c>
      <c r="L12" s="7" t="s">
        <v>82</v>
      </c>
      <c r="M12" s="7" t="s">
        <v>82</v>
      </c>
      <c r="N12" s="7" t="s">
        <v>82</v>
      </c>
      <c r="O12" s="7" t="s">
        <v>82</v>
      </c>
      <c r="P12" s="7" t="s">
        <v>82</v>
      </c>
      <c r="Q12" s="7" t="s">
        <v>82</v>
      </c>
      <c r="R12" s="7" t="s">
        <v>82</v>
      </c>
      <c r="S12" s="7" t="s">
        <v>82</v>
      </c>
      <c r="T12" s="46" t="s">
        <v>86</v>
      </c>
      <c r="U12" s="46" t="s">
        <v>82</v>
      </c>
      <c r="V12" s="46" t="s">
        <v>82</v>
      </c>
      <c r="W12" s="46" t="s">
        <v>82</v>
      </c>
      <c r="X12" s="47"/>
      <c r="Y12" s="1" t="s">
        <v>84</v>
      </c>
      <c r="AA12" s="41" t="b">
        <f t="shared" si="1"/>
        <v>0</v>
      </c>
      <c r="AB12" s="41" t="str">
        <f t="shared" si="2"/>
        <v/>
      </c>
      <c r="AC12" s="41" t="str">
        <f t="shared" si="3"/>
        <v/>
      </c>
      <c r="AD12" s="31"/>
    </row>
    <row r="13" spans="1:30" x14ac:dyDescent="0.35">
      <c r="A13" s="50"/>
      <c r="B13" s="1">
        <f t="shared" si="0"/>
        <v>306</v>
      </c>
      <c r="C13" s="7" t="s">
        <v>82</v>
      </c>
      <c r="D13" s="7" t="s">
        <v>82</v>
      </c>
      <c r="E13" s="7" t="s">
        <v>82</v>
      </c>
      <c r="F13" s="7" t="s">
        <v>82</v>
      </c>
      <c r="G13" s="7" t="s">
        <v>82</v>
      </c>
      <c r="H13" s="7" t="s">
        <v>82</v>
      </c>
      <c r="I13" s="7" t="s">
        <v>82</v>
      </c>
      <c r="J13" s="7" t="s">
        <v>82</v>
      </c>
      <c r="K13" s="7" t="s">
        <v>82</v>
      </c>
      <c r="L13" s="7" t="s">
        <v>82</v>
      </c>
      <c r="M13" s="7" t="s">
        <v>82</v>
      </c>
      <c r="N13" s="7" t="s">
        <v>82</v>
      </c>
      <c r="O13" s="7" t="s">
        <v>82</v>
      </c>
      <c r="P13" s="7" t="s">
        <v>82</v>
      </c>
      <c r="Q13" s="7" t="s">
        <v>82</v>
      </c>
      <c r="R13" s="7" t="s">
        <v>82</v>
      </c>
      <c r="S13" s="7" t="s">
        <v>82</v>
      </c>
      <c r="T13" s="46" t="s">
        <v>86</v>
      </c>
      <c r="U13" s="46" t="s">
        <v>82</v>
      </c>
      <c r="V13" s="46" t="s">
        <v>82</v>
      </c>
      <c r="W13" s="46" t="s">
        <v>82</v>
      </c>
      <c r="X13" s="47"/>
      <c r="Y13" s="1" t="s">
        <v>84</v>
      </c>
      <c r="AA13" s="41" t="b">
        <f t="shared" si="1"/>
        <v>0</v>
      </c>
      <c r="AB13" s="41" t="str">
        <f t="shared" si="2"/>
        <v/>
      </c>
      <c r="AC13" s="41" t="str">
        <f t="shared" si="3"/>
        <v/>
      </c>
      <c r="AD13" s="31"/>
    </row>
    <row r="14" spans="1:30" x14ac:dyDescent="0.35">
      <c r="A14" s="50"/>
      <c r="B14" s="1">
        <f t="shared" si="0"/>
        <v>307</v>
      </c>
      <c r="C14" s="7" t="s">
        <v>82</v>
      </c>
      <c r="D14" s="7" t="s">
        <v>82</v>
      </c>
      <c r="E14" s="7" t="s">
        <v>82</v>
      </c>
      <c r="F14" s="7" t="s">
        <v>82</v>
      </c>
      <c r="G14" s="7" t="s">
        <v>82</v>
      </c>
      <c r="H14" s="7" t="s">
        <v>82</v>
      </c>
      <c r="I14" s="7" t="s">
        <v>82</v>
      </c>
      <c r="J14" s="7" t="s">
        <v>82</v>
      </c>
      <c r="K14" s="7" t="s">
        <v>82</v>
      </c>
      <c r="L14" s="7" t="s">
        <v>82</v>
      </c>
      <c r="M14" s="7" t="s">
        <v>82</v>
      </c>
      <c r="N14" s="7" t="s">
        <v>82</v>
      </c>
      <c r="O14" s="7" t="s">
        <v>82</v>
      </c>
      <c r="P14" s="7" t="s">
        <v>82</v>
      </c>
      <c r="Q14" s="7" t="s">
        <v>82</v>
      </c>
      <c r="R14" s="7" t="s">
        <v>82</v>
      </c>
      <c r="S14" s="7" t="s">
        <v>82</v>
      </c>
      <c r="T14" s="46" t="s">
        <v>87</v>
      </c>
      <c r="U14" s="46" t="s">
        <v>82</v>
      </c>
      <c r="V14" s="46" t="s">
        <v>82</v>
      </c>
      <c r="W14" s="46" t="s">
        <v>82</v>
      </c>
      <c r="X14" s="47"/>
      <c r="Y14" s="1" t="s">
        <v>84</v>
      </c>
      <c r="AA14" s="41" t="b">
        <f t="shared" si="1"/>
        <v>0</v>
      </c>
      <c r="AB14" s="41" t="str">
        <f t="shared" si="2"/>
        <v/>
      </c>
      <c r="AC14" s="41" t="str">
        <f t="shared" si="3"/>
        <v/>
      </c>
      <c r="AD14" s="31"/>
    </row>
    <row r="15" spans="1:30" x14ac:dyDescent="0.35">
      <c r="A15" s="50"/>
      <c r="B15" s="1">
        <f t="shared" si="0"/>
        <v>308</v>
      </c>
      <c r="C15" s="7" t="s">
        <v>82</v>
      </c>
      <c r="D15" s="7" t="s">
        <v>82</v>
      </c>
      <c r="E15" s="7" t="s">
        <v>82</v>
      </c>
      <c r="F15" s="7" t="s">
        <v>82</v>
      </c>
      <c r="G15" s="7" t="s">
        <v>82</v>
      </c>
      <c r="H15" s="7" t="s">
        <v>82</v>
      </c>
      <c r="I15" s="7" t="s">
        <v>82</v>
      </c>
      <c r="J15" s="7" t="s">
        <v>82</v>
      </c>
      <c r="K15" s="7" t="s">
        <v>82</v>
      </c>
      <c r="L15" s="7" t="s">
        <v>82</v>
      </c>
      <c r="M15" s="7" t="s">
        <v>82</v>
      </c>
      <c r="N15" s="7" t="s">
        <v>82</v>
      </c>
      <c r="O15" s="7" t="s">
        <v>82</v>
      </c>
      <c r="P15" s="7" t="s">
        <v>82</v>
      </c>
      <c r="Q15" s="7" t="s">
        <v>82</v>
      </c>
      <c r="R15" s="7" t="s">
        <v>82</v>
      </c>
      <c r="S15" s="7" t="s">
        <v>82</v>
      </c>
      <c r="T15" s="46" t="s">
        <v>88</v>
      </c>
      <c r="U15" s="46" t="s">
        <v>82</v>
      </c>
      <c r="V15" s="46" t="s">
        <v>82</v>
      </c>
      <c r="W15" s="46" t="s">
        <v>82</v>
      </c>
      <c r="X15" s="47"/>
      <c r="Y15" s="1" t="s">
        <v>84</v>
      </c>
      <c r="AA15" s="41" t="b">
        <f t="shared" si="1"/>
        <v>0</v>
      </c>
      <c r="AB15" s="41" t="str">
        <f t="shared" si="2"/>
        <v/>
      </c>
      <c r="AC15" s="41" t="str">
        <f t="shared" si="3"/>
        <v/>
      </c>
      <c r="AD15" s="31"/>
    </row>
    <row r="16" spans="1:30" x14ac:dyDescent="0.35">
      <c r="A16" s="50"/>
      <c r="B16" s="1">
        <f t="shared" si="0"/>
        <v>309</v>
      </c>
      <c r="C16" s="7" t="s">
        <v>82</v>
      </c>
      <c r="D16" s="7" t="s">
        <v>82</v>
      </c>
      <c r="E16" s="7" t="s">
        <v>82</v>
      </c>
      <c r="F16" s="7" t="s">
        <v>82</v>
      </c>
      <c r="G16" s="7" t="s">
        <v>82</v>
      </c>
      <c r="H16" s="7" t="s">
        <v>82</v>
      </c>
      <c r="I16" s="7" t="s">
        <v>82</v>
      </c>
      <c r="J16" s="7" t="s">
        <v>82</v>
      </c>
      <c r="K16" s="7" t="s">
        <v>82</v>
      </c>
      <c r="L16" s="7" t="s">
        <v>82</v>
      </c>
      <c r="M16" s="7" t="s">
        <v>82</v>
      </c>
      <c r="N16" s="7" t="s">
        <v>82</v>
      </c>
      <c r="O16" s="7" t="s">
        <v>82</v>
      </c>
      <c r="P16" s="7" t="s">
        <v>82</v>
      </c>
      <c r="Q16" s="7" t="s">
        <v>82</v>
      </c>
      <c r="R16" s="7" t="s">
        <v>82</v>
      </c>
      <c r="S16" s="7" t="s">
        <v>82</v>
      </c>
      <c r="T16" s="46" t="s">
        <v>89</v>
      </c>
      <c r="U16" s="46" t="s">
        <v>82</v>
      </c>
      <c r="V16" s="46" t="s">
        <v>82</v>
      </c>
      <c r="W16" s="46" t="s">
        <v>82</v>
      </c>
      <c r="X16" s="47"/>
      <c r="Y16" s="1" t="s">
        <v>84</v>
      </c>
      <c r="AA16" s="41" t="b">
        <f t="shared" si="1"/>
        <v>0</v>
      </c>
      <c r="AB16" s="41" t="str">
        <f t="shared" si="2"/>
        <v/>
      </c>
      <c r="AC16" s="41" t="str">
        <f t="shared" si="3"/>
        <v/>
      </c>
      <c r="AD16" s="31"/>
    </row>
    <row r="17" spans="1:30" ht="28.75" customHeight="1" x14ac:dyDescent="0.35">
      <c r="A17" s="50"/>
      <c r="B17" s="1">
        <f t="shared" si="0"/>
        <v>310</v>
      </c>
      <c r="C17" s="7" t="s">
        <v>82</v>
      </c>
      <c r="D17" s="7" t="s">
        <v>82</v>
      </c>
      <c r="E17" s="7" t="s">
        <v>82</v>
      </c>
      <c r="F17" s="7" t="s">
        <v>82</v>
      </c>
      <c r="G17" s="7" t="s">
        <v>82</v>
      </c>
      <c r="H17" s="7" t="s">
        <v>82</v>
      </c>
      <c r="I17" s="7" t="s">
        <v>82</v>
      </c>
      <c r="J17" s="7" t="s">
        <v>82</v>
      </c>
      <c r="K17" s="7" t="s">
        <v>82</v>
      </c>
      <c r="L17" s="7" t="s">
        <v>82</v>
      </c>
      <c r="M17" s="7" t="s">
        <v>82</v>
      </c>
      <c r="N17" s="7" t="s">
        <v>82</v>
      </c>
      <c r="O17" s="7" t="s">
        <v>82</v>
      </c>
      <c r="P17" s="7" t="s">
        <v>82</v>
      </c>
      <c r="Q17" s="7" t="s">
        <v>82</v>
      </c>
      <c r="R17" s="7" t="s">
        <v>82</v>
      </c>
      <c r="S17" s="7" t="s">
        <v>82</v>
      </c>
      <c r="T17" s="46" t="s">
        <v>90</v>
      </c>
      <c r="U17" s="46" t="s">
        <v>82</v>
      </c>
      <c r="V17" s="46" t="s">
        <v>82</v>
      </c>
      <c r="W17" s="46" t="s">
        <v>82</v>
      </c>
      <c r="X17" s="47"/>
      <c r="Y17" s="1" t="s">
        <v>84</v>
      </c>
      <c r="AA17" s="41" t="b">
        <f t="shared" si="1"/>
        <v>0</v>
      </c>
      <c r="AB17" s="41" t="str">
        <f t="shared" si="2"/>
        <v/>
      </c>
      <c r="AC17" s="41" t="str">
        <f t="shared" si="3"/>
        <v/>
      </c>
      <c r="AD17" s="31"/>
    </row>
    <row r="18" spans="1:30" x14ac:dyDescent="0.35">
      <c r="A18" s="50"/>
      <c r="B18" s="1">
        <f t="shared" si="0"/>
        <v>311</v>
      </c>
      <c r="C18" s="7" t="s">
        <v>82</v>
      </c>
      <c r="D18" s="7" t="s">
        <v>82</v>
      </c>
      <c r="E18" s="7" t="s">
        <v>82</v>
      </c>
      <c r="F18" s="7" t="s">
        <v>82</v>
      </c>
      <c r="G18" s="7" t="s">
        <v>82</v>
      </c>
      <c r="H18" s="7" t="s">
        <v>82</v>
      </c>
      <c r="I18" s="7" t="s">
        <v>82</v>
      </c>
      <c r="J18" s="7" t="s">
        <v>82</v>
      </c>
      <c r="K18" s="7" t="s">
        <v>82</v>
      </c>
      <c r="L18" s="7" t="s">
        <v>82</v>
      </c>
      <c r="M18" s="7" t="s">
        <v>82</v>
      </c>
      <c r="N18" s="7" t="s">
        <v>82</v>
      </c>
      <c r="O18" s="7" t="s">
        <v>82</v>
      </c>
      <c r="P18" s="7" t="s">
        <v>82</v>
      </c>
      <c r="Q18" s="7" t="s">
        <v>82</v>
      </c>
      <c r="R18" s="7" t="s">
        <v>82</v>
      </c>
      <c r="S18" s="7" t="s">
        <v>82</v>
      </c>
      <c r="T18" s="46" t="s">
        <v>91</v>
      </c>
      <c r="U18" s="46" t="s">
        <v>82</v>
      </c>
      <c r="V18" s="46" t="s">
        <v>82</v>
      </c>
      <c r="W18" s="46" t="s">
        <v>82</v>
      </c>
      <c r="X18" s="47"/>
      <c r="Y18" s="1" t="s">
        <v>84</v>
      </c>
      <c r="AA18" s="41" t="b">
        <f t="shared" si="1"/>
        <v>0</v>
      </c>
      <c r="AB18" s="41" t="str">
        <f t="shared" si="2"/>
        <v/>
      </c>
      <c r="AC18" s="41" t="str">
        <f t="shared" si="3"/>
        <v/>
      </c>
      <c r="AD18" s="31"/>
    </row>
    <row r="19" spans="1:30" x14ac:dyDescent="0.35">
      <c r="A19" s="50"/>
      <c r="B19" s="1">
        <f t="shared" si="0"/>
        <v>312</v>
      </c>
      <c r="C19" s="7" t="s">
        <v>82</v>
      </c>
      <c r="D19" s="7" t="s">
        <v>82</v>
      </c>
      <c r="E19" s="7" t="s">
        <v>82</v>
      </c>
      <c r="F19" s="7" t="s">
        <v>82</v>
      </c>
      <c r="G19" s="7" t="s">
        <v>82</v>
      </c>
      <c r="H19" s="7" t="s">
        <v>82</v>
      </c>
      <c r="I19" s="7" t="s">
        <v>82</v>
      </c>
      <c r="J19" s="7" t="s">
        <v>82</v>
      </c>
      <c r="K19" s="7" t="s">
        <v>82</v>
      </c>
      <c r="L19" s="7" t="s">
        <v>82</v>
      </c>
      <c r="M19" s="7" t="s">
        <v>82</v>
      </c>
      <c r="N19" s="7" t="s">
        <v>82</v>
      </c>
      <c r="O19" s="7" t="s">
        <v>82</v>
      </c>
      <c r="P19" s="7" t="s">
        <v>82</v>
      </c>
      <c r="Q19" s="7" t="s">
        <v>82</v>
      </c>
      <c r="R19" s="7" t="s">
        <v>82</v>
      </c>
      <c r="S19" s="7" t="s">
        <v>82</v>
      </c>
      <c r="T19" s="46" t="s">
        <v>92</v>
      </c>
      <c r="U19" s="46" t="s">
        <v>82</v>
      </c>
      <c r="V19" s="46" t="s">
        <v>82</v>
      </c>
      <c r="W19" s="46" t="s">
        <v>82</v>
      </c>
      <c r="X19" s="47"/>
      <c r="Y19" s="1" t="s">
        <v>84</v>
      </c>
      <c r="AA19" s="41" t="b">
        <f t="shared" si="1"/>
        <v>0</v>
      </c>
      <c r="AB19" s="41" t="str">
        <f t="shared" si="2"/>
        <v/>
      </c>
      <c r="AC19" s="41" t="str">
        <f t="shared" si="3"/>
        <v/>
      </c>
      <c r="AD19" s="31"/>
    </row>
    <row r="20" spans="1:30" x14ac:dyDescent="0.35">
      <c r="A20" s="50"/>
      <c r="B20" s="1">
        <f t="shared" si="0"/>
        <v>313</v>
      </c>
      <c r="C20" s="7" t="s">
        <v>82</v>
      </c>
      <c r="D20" s="7" t="s">
        <v>82</v>
      </c>
      <c r="E20" s="7" t="s">
        <v>82</v>
      </c>
      <c r="F20" s="7" t="s">
        <v>82</v>
      </c>
      <c r="G20" s="7" t="s">
        <v>82</v>
      </c>
      <c r="H20" s="7" t="s">
        <v>82</v>
      </c>
      <c r="I20" s="7" t="s">
        <v>82</v>
      </c>
      <c r="J20" s="7" t="s">
        <v>82</v>
      </c>
      <c r="K20" s="7" t="s">
        <v>82</v>
      </c>
      <c r="L20" s="7" t="s">
        <v>82</v>
      </c>
      <c r="M20" s="7" t="s">
        <v>82</v>
      </c>
      <c r="N20" s="7" t="s">
        <v>82</v>
      </c>
      <c r="O20" s="7" t="s">
        <v>82</v>
      </c>
      <c r="P20" s="7" t="s">
        <v>82</v>
      </c>
      <c r="Q20" s="7" t="s">
        <v>82</v>
      </c>
      <c r="R20" s="7" t="s">
        <v>82</v>
      </c>
      <c r="S20" s="7" t="s">
        <v>82</v>
      </c>
      <c r="T20" s="46" t="s">
        <v>82</v>
      </c>
      <c r="U20" s="46" t="s">
        <v>93</v>
      </c>
      <c r="V20" s="46" t="s">
        <v>82</v>
      </c>
      <c r="W20" s="46" t="s">
        <v>82</v>
      </c>
      <c r="X20" s="47"/>
      <c r="Y20" s="1" t="s">
        <v>84</v>
      </c>
      <c r="AA20" s="41" t="b">
        <f t="shared" si="1"/>
        <v>0</v>
      </c>
      <c r="AB20" s="41" t="str">
        <f t="shared" si="2"/>
        <v/>
      </c>
      <c r="AC20" s="41" t="str">
        <f t="shared" si="3"/>
        <v/>
      </c>
      <c r="AD20" s="31"/>
    </row>
    <row r="21" spans="1:30" x14ac:dyDescent="0.35">
      <c r="A21" s="50"/>
      <c r="B21" s="1">
        <f t="shared" si="0"/>
        <v>314</v>
      </c>
      <c r="C21" s="7" t="s">
        <v>82</v>
      </c>
      <c r="D21" s="7" t="s">
        <v>82</v>
      </c>
      <c r="E21" s="7" t="s">
        <v>82</v>
      </c>
      <c r="F21" s="7" t="s">
        <v>82</v>
      </c>
      <c r="G21" s="7" t="s">
        <v>82</v>
      </c>
      <c r="H21" s="7" t="s">
        <v>82</v>
      </c>
      <c r="I21" s="7" t="s">
        <v>82</v>
      </c>
      <c r="J21" s="7" t="s">
        <v>82</v>
      </c>
      <c r="K21" s="7" t="s">
        <v>82</v>
      </c>
      <c r="L21" s="7" t="s">
        <v>82</v>
      </c>
      <c r="M21" s="7" t="s">
        <v>82</v>
      </c>
      <c r="N21" s="7" t="s">
        <v>82</v>
      </c>
      <c r="O21" s="7" t="s">
        <v>82</v>
      </c>
      <c r="P21" s="7" t="s">
        <v>82</v>
      </c>
      <c r="Q21" s="7" t="s">
        <v>82</v>
      </c>
      <c r="R21" s="7" t="s">
        <v>82</v>
      </c>
      <c r="S21" s="7" t="s">
        <v>82</v>
      </c>
      <c r="T21" s="46" t="s">
        <v>82</v>
      </c>
      <c r="U21" s="46" t="s">
        <v>94</v>
      </c>
      <c r="V21" s="46" t="s">
        <v>82</v>
      </c>
      <c r="W21" s="46" t="s">
        <v>82</v>
      </c>
      <c r="X21" s="47"/>
      <c r="Y21" s="1" t="s">
        <v>84</v>
      </c>
      <c r="AA21" s="41" t="b">
        <f t="shared" si="1"/>
        <v>0</v>
      </c>
      <c r="AB21" s="41" t="str">
        <f t="shared" si="2"/>
        <v/>
      </c>
      <c r="AC21" s="41" t="str">
        <f t="shared" si="3"/>
        <v/>
      </c>
      <c r="AD21" s="31"/>
    </row>
    <row r="22" spans="1:30" ht="129.65" customHeight="1" x14ac:dyDescent="0.35">
      <c r="A22" s="50"/>
      <c r="B22" s="1">
        <f t="shared" si="0"/>
        <v>315</v>
      </c>
      <c r="C22" s="7" t="s">
        <v>82</v>
      </c>
      <c r="D22" s="7" t="s">
        <v>82</v>
      </c>
      <c r="E22" s="7" t="s">
        <v>82</v>
      </c>
      <c r="F22" s="7" t="s">
        <v>82</v>
      </c>
      <c r="G22" s="7" t="s">
        <v>82</v>
      </c>
      <c r="H22" s="7" t="s">
        <v>82</v>
      </c>
      <c r="I22" s="7" t="s">
        <v>82</v>
      </c>
      <c r="J22" s="7" t="s">
        <v>82</v>
      </c>
      <c r="K22" s="7" t="s">
        <v>82</v>
      </c>
      <c r="L22" s="7" t="s">
        <v>82</v>
      </c>
      <c r="M22" s="7" t="s">
        <v>82</v>
      </c>
      <c r="N22" s="7" t="s">
        <v>82</v>
      </c>
      <c r="O22" s="7" t="s">
        <v>82</v>
      </c>
      <c r="P22" s="7" t="s">
        <v>82</v>
      </c>
      <c r="Q22" s="7" t="s">
        <v>82</v>
      </c>
      <c r="R22" s="7" t="s">
        <v>82</v>
      </c>
      <c r="S22" s="7" t="s">
        <v>82</v>
      </c>
      <c r="T22" s="46" t="s">
        <v>82</v>
      </c>
      <c r="U22" s="49" t="s">
        <v>95</v>
      </c>
      <c r="V22" s="46" t="s">
        <v>82</v>
      </c>
      <c r="W22" s="46" t="s">
        <v>82</v>
      </c>
      <c r="X22" s="47"/>
      <c r="Y22" s="1" t="s">
        <v>84</v>
      </c>
      <c r="AA22" s="41" t="b">
        <f t="shared" si="1"/>
        <v>0</v>
      </c>
      <c r="AB22" s="41" t="str">
        <f t="shared" si="2"/>
        <v/>
      </c>
      <c r="AC22" s="41" t="str">
        <f t="shared" si="3"/>
        <v/>
      </c>
      <c r="AD22" s="31"/>
    </row>
    <row r="23" spans="1:30" x14ac:dyDescent="0.35">
      <c r="A23" s="50"/>
      <c r="B23" s="1">
        <f t="shared" si="0"/>
        <v>316</v>
      </c>
      <c r="C23" s="7" t="s">
        <v>82</v>
      </c>
      <c r="D23" s="7" t="s">
        <v>82</v>
      </c>
      <c r="E23" s="7" t="s">
        <v>82</v>
      </c>
      <c r="F23" s="7" t="s">
        <v>82</v>
      </c>
      <c r="G23" s="7" t="s">
        <v>82</v>
      </c>
      <c r="H23" s="7" t="s">
        <v>82</v>
      </c>
      <c r="I23" s="7" t="s">
        <v>82</v>
      </c>
      <c r="J23" s="7" t="s">
        <v>82</v>
      </c>
      <c r="K23" s="7" t="s">
        <v>82</v>
      </c>
      <c r="L23" s="7" t="s">
        <v>82</v>
      </c>
      <c r="M23" s="7" t="s">
        <v>82</v>
      </c>
      <c r="N23" s="7" t="s">
        <v>82</v>
      </c>
      <c r="O23" s="7" t="s">
        <v>82</v>
      </c>
      <c r="P23" s="7" t="s">
        <v>82</v>
      </c>
      <c r="Q23" s="7" t="s">
        <v>82</v>
      </c>
      <c r="R23" s="7" t="s">
        <v>82</v>
      </c>
      <c r="S23" s="7" t="s">
        <v>82</v>
      </c>
      <c r="T23" s="46" t="s">
        <v>82</v>
      </c>
      <c r="U23" s="46" t="s">
        <v>82</v>
      </c>
      <c r="V23" s="46" t="s">
        <v>96</v>
      </c>
      <c r="W23" s="46" t="s">
        <v>82</v>
      </c>
      <c r="X23" s="47"/>
      <c r="Y23" s="1" t="s">
        <v>84</v>
      </c>
      <c r="AA23" s="41" t="b">
        <f t="shared" si="1"/>
        <v>0</v>
      </c>
      <c r="AB23" s="41" t="str">
        <f t="shared" si="2"/>
        <v/>
      </c>
      <c r="AC23" s="41" t="str">
        <f t="shared" si="3"/>
        <v/>
      </c>
      <c r="AD23" s="31"/>
    </row>
    <row r="24" spans="1:30" x14ac:dyDescent="0.35">
      <c r="A24" s="50"/>
      <c r="B24" s="1">
        <f t="shared" si="0"/>
        <v>317</v>
      </c>
      <c r="C24" s="7" t="s">
        <v>82</v>
      </c>
      <c r="D24" s="7" t="s">
        <v>82</v>
      </c>
      <c r="E24" s="7" t="s">
        <v>82</v>
      </c>
      <c r="F24" s="7" t="s">
        <v>82</v>
      </c>
      <c r="G24" s="7" t="s">
        <v>82</v>
      </c>
      <c r="H24" s="7" t="s">
        <v>82</v>
      </c>
      <c r="I24" s="7" t="s">
        <v>82</v>
      </c>
      <c r="J24" s="7" t="s">
        <v>82</v>
      </c>
      <c r="K24" s="7" t="s">
        <v>82</v>
      </c>
      <c r="L24" s="7" t="s">
        <v>82</v>
      </c>
      <c r="M24" s="7" t="s">
        <v>82</v>
      </c>
      <c r="N24" s="7" t="s">
        <v>82</v>
      </c>
      <c r="O24" s="7" t="s">
        <v>82</v>
      </c>
      <c r="P24" s="7" t="s">
        <v>82</v>
      </c>
      <c r="Q24" s="7" t="s">
        <v>82</v>
      </c>
      <c r="R24" s="7" t="s">
        <v>82</v>
      </c>
      <c r="S24" s="7" t="s">
        <v>82</v>
      </c>
      <c r="T24" s="46" t="s">
        <v>82</v>
      </c>
      <c r="U24" s="46" t="s">
        <v>82</v>
      </c>
      <c r="V24" s="46" t="s">
        <v>97</v>
      </c>
      <c r="W24" s="46" t="s">
        <v>82</v>
      </c>
      <c r="X24" s="47"/>
      <c r="Y24" s="1" t="s">
        <v>84</v>
      </c>
      <c r="AA24" s="41" t="b">
        <f t="shared" si="1"/>
        <v>0</v>
      </c>
      <c r="AB24" s="41" t="str">
        <f t="shared" si="2"/>
        <v/>
      </c>
      <c r="AC24" s="41" t="str">
        <f t="shared" si="3"/>
        <v/>
      </c>
      <c r="AD24" s="31"/>
    </row>
    <row r="25" spans="1:30" x14ac:dyDescent="0.35">
      <c r="A25" s="50"/>
      <c r="B25" s="1">
        <f t="shared" si="0"/>
        <v>318</v>
      </c>
      <c r="C25" s="7" t="s">
        <v>82</v>
      </c>
      <c r="D25" s="7" t="s">
        <v>82</v>
      </c>
      <c r="E25" s="7" t="s">
        <v>82</v>
      </c>
      <c r="F25" s="7" t="s">
        <v>82</v>
      </c>
      <c r="G25" s="7" t="s">
        <v>82</v>
      </c>
      <c r="H25" s="7" t="s">
        <v>82</v>
      </c>
      <c r="I25" s="7" t="s">
        <v>82</v>
      </c>
      <c r="J25" s="7" t="s">
        <v>82</v>
      </c>
      <c r="K25" s="7" t="s">
        <v>82</v>
      </c>
      <c r="L25" s="7" t="s">
        <v>82</v>
      </c>
      <c r="M25" s="7" t="s">
        <v>82</v>
      </c>
      <c r="N25" s="7" t="s">
        <v>82</v>
      </c>
      <c r="O25" s="7" t="s">
        <v>82</v>
      </c>
      <c r="P25" s="7" t="s">
        <v>82</v>
      </c>
      <c r="Q25" s="7" t="s">
        <v>82</v>
      </c>
      <c r="R25" s="7" t="s">
        <v>82</v>
      </c>
      <c r="S25" s="7" t="s">
        <v>82</v>
      </c>
      <c r="T25" s="46" t="s">
        <v>82</v>
      </c>
      <c r="U25" s="46" t="s">
        <v>82</v>
      </c>
      <c r="V25" s="46" t="s">
        <v>98</v>
      </c>
      <c r="W25" s="46" t="s">
        <v>82</v>
      </c>
      <c r="X25" s="47"/>
      <c r="Y25" s="1" t="s">
        <v>84</v>
      </c>
      <c r="AA25" s="41" t="b">
        <f t="shared" si="1"/>
        <v>0</v>
      </c>
      <c r="AB25" s="41" t="str">
        <f t="shared" si="2"/>
        <v/>
      </c>
      <c r="AC25" s="41" t="str">
        <f t="shared" si="3"/>
        <v/>
      </c>
      <c r="AD25" s="31"/>
    </row>
    <row r="26" spans="1:30" x14ac:dyDescent="0.35">
      <c r="A26" s="50"/>
      <c r="B26" s="1">
        <f t="shared" si="0"/>
        <v>319</v>
      </c>
      <c r="C26" s="7" t="s">
        <v>82</v>
      </c>
      <c r="D26" s="7" t="s">
        <v>82</v>
      </c>
      <c r="E26" s="7" t="s">
        <v>82</v>
      </c>
      <c r="F26" s="7" t="s">
        <v>82</v>
      </c>
      <c r="G26" s="7" t="s">
        <v>82</v>
      </c>
      <c r="H26" s="7" t="s">
        <v>82</v>
      </c>
      <c r="I26" s="7" t="s">
        <v>82</v>
      </c>
      <c r="J26" s="7" t="s">
        <v>82</v>
      </c>
      <c r="K26" s="7" t="s">
        <v>82</v>
      </c>
      <c r="L26" s="7" t="s">
        <v>82</v>
      </c>
      <c r="M26" s="7" t="s">
        <v>82</v>
      </c>
      <c r="N26" s="7" t="s">
        <v>82</v>
      </c>
      <c r="O26" s="7" t="s">
        <v>82</v>
      </c>
      <c r="P26" s="7" t="s">
        <v>82</v>
      </c>
      <c r="Q26" s="7" t="s">
        <v>82</v>
      </c>
      <c r="R26" s="7" t="s">
        <v>82</v>
      </c>
      <c r="S26" s="7" t="s">
        <v>82</v>
      </c>
      <c r="T26" s="46" t="s">
        <v>82</v>
      </c>
      <c r="U26" s="46" t="s">
        <v>82</v>
      </c>
      <c r="V26" s="46" t="s">
        <v>99</v>
      </c>
      <c r="W26" s="46" t="s">
        <v>82</v>
      </c>
      <c r="X26" s="47"/>
      <c r="Y26" s="1" t="s">
        <v>84</v>
      </c>
      <c r="AA26" s="41" t="b">
        <f t="shared" si="1"/>
        <v>0</v>
      </c>
      <c r="AB26" s="41" t="str">
        <f t="shared" si="2"/>
        <v/>
      </c>
      <c r="AC26" s="41" t="str">
        <f t="shared" si="3"/>
        <v/>
      </c>
      <c r="AD26" s="31"/>
    </row>
    <row r="27" spans="1:30" x14ac:dyDescent="0.35">
      <c r="A27" s="50"/>
      <c r="B27" s="1">
        <f t="shared" si="0"/>
        <v>320</v>
      </c>
      <c r="C27" s="7" t="s">
        <v>82</v>
      </c>
      <c r="D27" s="7" t="s">
        <v>82</v>
      </c>
      <c r="E27" s="7" t="s">
        <v>82</v>
      </c>
      <c r="F27" s="7" t="s">
        <v>82</v>
      </c>
      <c r="G27" s="7" t="s">
        <v>82</v>
      </c>
      <c r="H27" s="7" t="s">
        <v>82</v>
      </c>
      <c r="I27" s="7" t="s">
        <v>82</v>
      </c>
      <c r="J27" s="7" t="s">
        <v>82</v>
      </c>
      <c r="K27" s="7" t="s">
        <v>82</v>
      </c>
      <c r="L27" s="7" t="s">
        <v>82</v>
      </c>
      <c r="M27" s="7" t="s">
        <v>82</v>
      </c>
      <c r="N27" s="7" t="s">
        <v>82</v>
      </c>
      <c r="O27" s="7" t="s">
        <v>82</v>
      </c>
      <c r="P27" s="7" t="s">
        <v>82</v>
      </c>
      <c r="Q27" s="7" t="s">
        <v>82</v>
      </c>
      <c r="R27" s="7" t="s">
        <v>82</v>
      </c>
      <c r="S27" s="7" t="s">
        <v>82</v>
      </c>
      <c r="T27" s="46" t="s">
        <v>82</v>
      </c>
      <c r="U27" s="46" t="s">
        <v>82</v>
      </c>
      <c r="V27" s="46" t="s">
        <v>100</v>
      </c>
      <c r="W27" s="46" t="s">
        <v>82</v>
      </c>
      <c r="X27" s="47"/>
      <c r="Y27" s="1" t="s">
        <v>84</v>
      </c>
      <c r="AA27" s="41" t="b">
        <f t="shared" si="1"/>
        <v>0</v>
      </c>
      <c r="AB27" s="41" t="str">
        <f t="shared" si="2"/>
        <v/>
      </c>
      <c r="AC27" s="41" t="str">
        <f t="shared" si="3"/>
        <v/>
      </c>
      <c r="AD27" s="31"/>
    </row>
    <row r="28" spans="1:30" x14ac:dyDescent="0.35">
      <c r="A28" s="50"/>
      <c r="B28" s="1">
        <f t="shared" si="0"/>
        <v>321</v>
      </c>
      <c r="C28" s="7" t="s">
        <v>82</v>
      </c>
      <c r="D28" s="7" t="s">
        <v>82</v>
      </c>
      <c r="E28" s="7" t="s">
        <v>82</v>
      </c>
      <c r="F28" s="7" t="s">
        <v>82</v>
      </c>
      <c r="G28" s="7" t="s">
        <v>82</v>
      </c>
      <c r="H28" s="7" t="s">
        <v>82</v>
      </c>
      <c r="I28" s="7" t="s">
        <v>82</v>
      </c>
      <c r="J28" s="7" t="s">
        <v>82</v>
      </c>
      <c r="K28" s="7" t="s">
        <v>82</v>
      </c>
      <c r="L28" s="7" t="s">
        <v>82</v>
      </c>
      <c r="M28" s="7" t="s">
        <v>82</v>
      </c>
      <c r="N28" s="7" t="s">
        <v>82</v>
      </c>
      <c r="O28" s="7" t="s">
        <v>82</v>
      </c>
      <c r="P28" s="7" t="s">
        <v>82</v>
      </c>
      <c r="Q28" s="7" t="s">
        <v>82</v>
      </c>
      <c r="R28" s="7" t="s">
        <v>82</v>
      </c>
      <c r="S28" s="7" t="s">
        <v>82</v>
      </c>
      <c r="T28" s="46" t="s">
        <v>82</v>
      </c>
      <c r="U28" s="46" t="s">
        <v>82</v>
      </c>
      <c r="V28" s="46" t="s">
        <v>101</v>
      </c>
      <c r="W28" s="46" t="s">
        <v>82</v>
      </c>
      <c r="X28" s="47"/>
      <c r="Y28" s="1" t="s">
        <v>84</v>
      </c>
      <c r="AA28" s="41" t="b">
        <f t="shared" si="1"/>
        <v>0</v>
      </c>
      <c r="AB28" s="41" t="str">
        <f t="shared" si="2"/>
        <v/>
      </c>
      <c r="AC28" s="41" t="str">
        <f t="shared" si="3"/>
        <v/>
      </c>
      <c r="AD28" s="31"/>
    </row>
    <row r="29" spans="1:30" x14ac:dyDescent="0.35">
      <c r="A29" s="50"/>
      <c r="B29" s="1">
        <f t="shared" si="0"/>
        <v>322</v>
      </c>
      <c r="C29" s="7" t="s">
        <v>82</v>
      </c>
      <c r="D29" s="7" t="s">
        <v>82</v>
      </c>
      <c r="E29" s="7" t="s">
        <v>82</v>
      </c>
      <c r="F29" s="7" t="s">
        <v>82</v>
      </c>
      <c r="G29" s="7" t="s">
        <v>82</v>
      </c>
      <c r="H29" s="7" t="s">
        <v>82</v>
      </c>
      <c r="I29" s="7" t="s">
        <v>82</v>
      </c>
      <c r="J29" s="7" t="s">
        <v>82</v>
      </c>
      <c r="K29" s="7" t="s">
        <v>82</v>
      </c>
      <c r="L29" s="7" t="s">
        <v>82</v>
      </c>
      <c r="M29" s="7" t="s">
        <v>82</v>
      </c>
      <c r="N29" s="7" t="s">
        <v>82</v>
      </c>
      <c r="O29" s="7" t="s">
        <v>82</v>
      </c>
      <c r="P29" s="7" t="s">
        <v>82</v>
      </c>
      <c r="Q29" s="7" t="s">
        <v>82</v>
      </c>
      <c r="R29" s="7" t="s">
        <v>82</v>
      </c>
      <c r="S29" s="7" t="s">
        <v>82</v>
      </c>
      <c r="T29" s="46" t="s">
        <v>82</v>
      </c>
      <c r="U29" s="46" t="s">
        <v>82</v>
      </c>
      <c r="V29" s="46" t="s">
        <v>82</v>
      </c>
      <c r="W29" s="46" t="s">
        <v>102</v>
      </c>
      <c r="X29" s="47"/>
      <c r="Y29" s="1" t="s">
        <v>84</v>
      </c>
      <c r="AA29" s="41" t="b">
        <f t="shared" si="1"/>
        <v>0</v>
      </c>
      <c r="AB29" s="41" t="str">
        <f t="shared" si="2"/>
        <v/>
      </c>
      <c r="AC29" s="41" t="str">
        <f t="shared" si="3"/>
        <v/>
      </c>
      <c r="AD29" s="31"/>
    </row>
    <row r="30" spans="1:30" ht="28.75" customHeight="1" x14ac:dyDescent="0.35">
      <c r="A30" s="50"/>
      <c r="B30" s="1">
        <f t="shared" si="0"/>
        <v>323</v>
      </c>
      <c r="C30" s="7" t="s">
        <v>82</v>
      </c>
      <c r="D30" s="7" t="s">
        <v>82</v>
      </c>
      <c r="E30" s="7" t="s">
        <v>82</v>
      </c>
      <c r="F30" s="7" t="s">
        <v>82</v>
      </c>
      <c r="G30" s="7" t="s">
        <v>82</v>
      </c>
      <c r="H30" s="7" t="s">
        <v>82</v>
      </c>
      <c r="I30" s="7" t="s">
        <v>82</v>
      </c>
      <c r="J30" s="7" t="s">
        <v>82</v>
      </c>
      <c r="K30" s="7" t="s">
        <v>82</v>
      </c>
      <c r="L30" s="7" t="s">
        <v>82</v>
      </c>
      <c r="M30" s="7" t="s">
        <v>82</v>
      </c>
      <c r="N30" s="7" t="s">
        <v>82</v>
      </c>
      <c r="O30" s="7" t="s">
        <v>82</v>
      </c>
      <c r="P30" s="7" t="s">
        <v>82</v>
      </c>
      <c r="Q30" s="7" t="s">
        <v>82</v>
      </c>
      <c r="R30" s="7" t="s">
        <v>82</v>
      </c>
      <c r="S30" s="7" t="s">
        <v>82</v>
      </c>
      <c r="T30" s="46" t="s">
        <v>82</v>
      </c>
      <c r="U30" s="46" t="s">
        <v>82</v>
      </c>
      <c r="V30" s="46" t="s">
        <v>82</v>
      </c>
      <c r="W30" s="46" t="s">
        <v>103</v>
      </c>
      <c r="X30" s="47"/>
      <c r="Y30" s="1" t="s">
        <v>84</v>
      </c>
      <c r="AA30" s="41" t="b">
        <f t="shared" si="1"/>
        <v>0</v>
      </c>
      <c r="AB30" s="41" t="str">
        <f t="shared" si="2"/>
        <v/>
      </c>
      <c r="AC30" s="41" t="str">
        <f t="shared" si="3"/>
        <v/>
      </c>
      <c r="AD30" s="31"/>
    </row>
    <row r="31" spans="1:30" ht="28.75" customHeight="1" x14ac:dyDescent="0.35">
      <c r="A31" s="50"/>
      <c r="B31" s="1">
        <f t="shared" si="0"/>
        <v>324</v>
      </c>
      <c r="C31" s="7" t="s">
        <v>82</v>
      </c>
      <c r="D31" s="7" t="s">
        <v>82</v>
      </c>
      <c r="E31" s="7" t="s">
        <v>82</v>
      </c>
      <c r="F31" s="7" t="s">
        <v>82</v>
      </c>
      <c r="G31" s="7" t="s">
        <v>82</v>
      </c>
      <c r="H31" s="7" t="s">
        <v>82</v>
      </c>
      <c r="I31" s="7" t="s">
        <v>82</v>
      </c>
      <c r="J31" s="7" t="s">
        <v>82</v>
      </c>
      <c r="K31" s="7" t="s">
        <v>82</v>
      </c>
      <c r="L31" s="7" t="s">
        <v>82</v>
      </c>
      <c r="M31" s="7" t="s">
        <v>82</v>
      </c>
      <c r="N31" s="7" t="s">
        <v>82</v>
      </c>
      <c r="O31" s="7" t="s">
        <v>82</v>
      </c>
      <c r="P31" s="7" t="s">
        <v>82</v>
      </c>
      <c r="Q31" s="7" t="s">
        <v>82</v>
      </c>
      <c r="R31" s="7" t="s">
        <v>82</v>
      </c>
      <c r="S31" s="7" t="s">
        <v>82</v>
      </c>
      <c r="T31" s="46" t="s">
        <v>82</v>
      </c>
      <c r="U31" s="46" t="s">
        <v>82</v>
      </c>
      <c r="V31" s="46" t="s">
        <v>82</v>
      </c>
      <c r="W31" s="46" t="s">
        <v>104</v>
      </c>
      <c r="X31" s="47"/>
      <c r="Y31" s="1" t="s">
        <v>84</v>
      </c>
      <c r="AA31" s="41" t="b">
        <f t="shared" si="1"/>
        <v>0</v>
      </c>
      <c r="AB31" s="41" t="str">
        <f t="shared" si="2"/>
        <v/>
      </c>
      <c r="AC31" s="41" t="str">
        <f t="shared" si="3"/>
        <v/>
      </c>
      <c r="AD31" s="31"/>
    </row>
    <row r="32" spans="1:30" x14ac:dyDescent="0.35">
      <c r="A32" s="50"/>
      <c r="B32" s="1">
        <f t="shared" si="0"/>
        <v>325</v>
      </c>
      <c r="C32" s="7" t="s">
        <v>82</v>
      </c>
      <c r="D32" s="7" t="s">
        <v>82</v>
      </c>
      <c r="E32" s="7" t="s">
        <v>82</v>
      </c>
      <c r="F32" s="7" t="s">
        <v>82</v>
      </c>
      <c r="G32" s="7" t="s">
        <v>82</v>
      </c>
      <c r="H32" s="7" t="s">
        <v>82</v>
      </c>
      <c r="I32" s="7" t="s">
        <v>82</v>
      </c>
      <c r="J32" s="7" t="s">
        <v>82</v>
      </c>
      <c r="K32" s="7" t="s">
        <v>82</v>
      </c>
      <c r="L32" s="7" t="s">
        <v>82</v>
      </c>
      <c r="M32" s="7" t="s">
        <v>82</v>
      </c>
      <c r="N32" s="7" t="s">
        <v>82</v>
      </c>
      <c r="O32" s="7" t="s">
        <v>82</v>
      </c>
      <c r="P32" s="7" t="s">
        <v>82</v>
      </c>
      <c r="Q32" s="7" t="s">
        <v>82</v>
      </c>
      <c r="R32" s="7" t="s">
        <v>82</v>
      </c>
      <c r="S32" s="7" t="s">
        <v>82</v>
      </c>
      <c r="T32" s="46" t="s">
        <v>82</v>
      </c>
      <c r="U32" s="46" t="s">
        <v>82</v>
      </c>
      <c r="V32" s="46" t="s">
        <v>82</v>
      </c>
      <c r="W32" s="46" t="s">
        <v>105</v>
      </c>
      <c r="X32" s="47"/>
      <c r="Y32" s="1" t="s">
        <v>84</v>
      </c>
      <c r="AA32" s="41" t="b">
        <f t="shared" si="1"/>
        <v>0</v>
      </c>
      <c r="AB32" s="41" t="str">
        <f t="shared" si="2"/>
        <v/>
      </c>
      <c r="AC32" s="41" t="str">
        <f t="shared" si="3"/>
        <v/>
      </c>
      <c r="AD32" s="31"/>
    </row>
    <row r="33" spans="1:30" x14ac:dyDescent="0.35">
      <c r="A33" s="50"/>
      <c r="B33" s="1">
        <f t="shared" si="0"/>
        <v>326</v>
      </c>
      <c r="C33" s="7" t="s">
        <v>82</v>
      </c>
      <c r="D33" s="7" t="s">
        <v>82</v>
      </c>
      <c r="E33" s="7" t="s">
        <v>82</v>
      </c>
      <c r="F33" s="7" t="s">
        <v>82</v>
      </c>
      <c r="G33" s="7" t="s">
        <v>82</v>
      </c>
      <c r="H33" s="7" t="s">
        <v>82</v>
      </c>
      <c r="I33" s="7" t="s">
        <v>82</v>
      </c>
      <c r="J33" s="7" t="s">
        <v>82</v>
      </c>
      <c r="K33" s="7" t="s">
        <v>82</v>
      </c>
      <c r="L33" s="7" t="s">
        <v>82</v>
      </c>
      <c r="M33" s="7" t="s">
        <v>82</v>
      </c>
      <c r="N33" s="7" t="s">
        <v>82</v>
      </c>
      <c r="O33" s="7" t="s">
        <v>82</v>
      </c>
      <c r="P33" s="7" t="s">
        <v>82</v>
      </c>
      <c r="Q33" s="7" t="s">
        <v>82</v>
      </c>
      <c r="R33" s="7" t="s">
        <v>82</v>
      </c>
      <c r="S33" s="7" t="s">
        <v>82</v>
      </c>
      <c r="T33" s="46" t="s">
        <v>82</v>
      </c>
      <c r="U33" s="46" t="s">
        <v>82</v>
      </c>
      <c r="V33" s="46" t="s">
        <v>82</v>
      </c>
      <c r="W33" s="46" t="s">
        <v>106</v>
      </c>
      <c r="X33" s="47"/>
      <c r="Y33" s="1" t="s">
        <v>84</v>
      </c>
      <c r="AA33" s="41" t="b">
        <f t="shared" si="1"/>
        <v>0</v>
      </c>
      <c r="AB33" s="41" t="str">
        <f t="shared" si="2"/>
        <v/>
      </c>
      <c r="AC33" s="41" t="str">
        <f t="shared" si="3"/>
        <v/>
      </c>
      <c r="AD33" s="31"/>
    </row>
    <row r="34" spans="1:30" ht="18" customHeight="1" x14ac:dyDescent="0.35">
      <c r="A34" s="50"/>
      <c r="B34" s="1">
        <f t="shared" si="0"/>
        <v>327</v>
      </c>
      <c r="C34" s="7" t="s">
        <v>82</v>
      </c>
      <c r="D34" s="7" t="s">
        <v>82</v>
      </c>
      <c r="E34" s="7" t="s">
        <v>82</v>
      </c>
      <c r="F34" s="7" t="s">
        <v>82</v>
      </c>
      <c r="G34" s="7" t="s">
        <v>82</v>
      </c>
      <c r="H34" s="7" t="s">
        <v>82</v>
      </c>
      <c r="I34" s="7" t="s">
        <v>82</v>
      </c>
      <c r="J34" s="7" t="s">
        <v>82</v>
      </c>
      <c r="K34" s="7" t="s">
        <v>82</v>
      </c>
      <c r="L34" s="7" t="s">
        <v>82</v>
      </c>
      <c r="M34" s="7" t="s">
        <v>82</v>
      </c>
      <c r="N34" s="7" t="s">
        <v>82</v>
      </c>
      <c r="O34" s="7" t="s">
        <v>82</v>
      </c>
      <c r="P34" s="7" t="s">
        <v>82</v>
      </c>
      <c r="Q34" s="7" t="s">
        <v>82</v>
      </c>
      <c r="R34" s="7" t="s">
        <v>82</v>
      </c>
      <c r="S34" s="7" t="s">
        <v>82</v>
      </c>
      <c r="T34" s="46" t="s">
        <v>82</v>
      </c>
      <c r="U34" s="46" t="s">
        <v>82</v>
      </c>
      <c r="V34" s="46" t="s">
        <v>82</v>
      </c>
      <c r="W34" s="46" t="s">
        <v>107</v>
      </c>
      <c r="X34" s="47"/>
      <c r="Y34" s="1" t="s">
        <v>84</v>
      </c>
      <c r="AA34" s="41" t="b">
        <f t="shared" si="1"/>
        <v>0</v>
      </c>
      <c r="AB34" s="41" t="str">
        <f t="shared" si="2"/>
        <v/>
      </c>
      <c r="AC34" s="41" t="str">
        <f t="shared" si="3"/>
        <v/>
      </c>
      <c r="AD34" s="31"/>
    </row>
    <row r="35" spans="1:30" ht="28.75" customHeight="1" x14ac:dyDescent="0.35">
      <c r="A35" s="51"/>
      <c r="B35" s="1">
        <f t="shared" si="0"/>
        <v>328</v>
      </c>
      <c r="C35" s="1" t="s">
        <v>82</v>
      </c>
      <c r="D35" s="1" t="s">
        <v>82</v>
      </c>
      <c r="E35" s="1" t="s">
        <v>82</v>
      </c>
      <c r="F35" s="1" t="s">
        <v>82</v>
      </c>
      <c r="G35" s="2" t="s">
        <v>82</v>
      </c>
      <c r="H35" s="2" t="s">
        <v>82</v>
      </c>
      <c r="I35" s="1" t="s">
        <v>82</v>
      </c>
      <c r="J35" s="1" t="s">
        <v>82</v>
      </c>
      <c r="K35" s="3" t="s">
        <v>82</v>
      </c>
      <c r="L35" s="3" t="s">
        <v>82</v>
      </c>
      <c r="M35" s="3" t="s">
        <v>82</v>
      </c>
      <c r="N35" s="3" t="s">
        <v>82</v>
      </c>
      <c r="O35" s="4" t="s">
        <v>82</v>
      </c>
      <c r="P35" s="5" t="s">
        <v>82</v>
      </c>
      <c r="Q35" s="6" t="s">
        <v>82</v>
      </c>
      <c r="R35" s="6" t="s">
        <v>82</v>
      </c>
      <c r="S35" s="1">
        <f t="shared" ref="S35:S44" ca="1" si="4">IF(RAND()&gt;0.5, 1, 0)</f>
        <v>0</v>
      </c>
      <c r="T35" s="31" t="str">
        <f t="shared" ref="T35:T44" ca="1" si="5">IF(RAND()&lt;0.34,"0x02030405FF0102030405",IF(RAND()&lt;0.67,"[01, 02, 03, 101, 102, 103, 252, 254, 254, 255]","[0x01, 0xA1, 0xB9, 0xCA, 0xDB, 0xEC, 0xFD, 0xFE, 0xFF]"))</f>
        <v>0x02030405FF0102030405</v>
      </c>
      <c r="U35" s="31" t="str">
        <f t="shared" ref="U35:U44" ca="1" si="6">IF(RAND()&lt;0.34,"0xFF0102030405FF0102030405",IF(RAND()&lt;0.67,"[01, 02, 03, 101, 102, 103, 252, 254, 254, 255]","[0x01, 0xA1, 0xB9, 0xCA, 0xDB, 0xEC, 0xFD, 0xFE, 0xFF]"))</f>
        <v>[01, 02, 03, 101, 102, 103, 252, 254, 254, 255]</v>
      </c>
      <c r="V35" s="31" t="str">
        <f t="shared" ref="V35:V44" ca="1" si="7">LEFT(10000000000+RAND()*10000000000,8)&amp;"-"&amp;LEFT(100000+RAND()*10000000000,4)&amp;"-"&amp;LEFT(100000+RAND()*10000000000,4)&amp;"-"&amp;LEFT(100000+RAND()*10000000000,4)&amp;"-"&amp;LEFT(1000000000000+RAND()*1000000000000,12)</f>
        <v>11112115-6202-3595-8018-110857433573</v>
      </c>
      <c r="W35" s="31" t="str">
        <f t="shared" ref="W35:W44" si="8">"&lt;data id=""1""&gt;&lt;name&gt;テスト"&amp;ROW(W35)-35&amp;"&lt;/name&gt;&lt;value&gt;" &amp; ROW(W35)-35&amp;"&lt;/value&gt;&lt;/data&gt;"</f>
        <v>&lt;data id="1"&gt;&lt;name&gt;テスト0&lt;/name&gt;&lt;value&gt;0&lt;/value&gt;&lt;/data&gt;</v>
      </c>
      <c r="AA35" s="41" t="b">
        <f t="shared" si="1"/>
        <v>0</v>
      </c>
      <c r="AB35" s="41" t="str">
        <f t="shared" si="2"/>
        <v/>
      </c>
      <c r="AC35" s="41" t="str">
        <f t="shared" si="3"/>
        <v/>
      </c>
    </row>
    <row r="36" spans="1:30" ht="28.75" customHeight="1" x14ac:dyDescent="0.35">
      <c r="A36" s="51"/>
      <c r="B36" s="1">
        <f t="shared" si="0"/>
        <v>329</v>
      </c>
      <c r="C36" s="1" t="s">
        <v>82</v>
      </c>
      <c r="D36" s="1" t="s">
        <v>82</v>
      </c>
      <c r="E36" s="1" t="s">
        <v>82</v>
      </c>
      <c r="F36" s="1" t="s">
        <v>82</v>
      </c>
      <c r="G36" s="2" t="s">
        <v>82</v>
      </c>
      <c r="H36" s="2" t="s">
        <v>82</v>
      </c>
      <c r="I36" s="1" t="s">
        <v>82</v>
      </c>
      <c r="J36" s="1" t="s">
        <v>82</v>
      </c>
      <c r="K36" s="3" t="s">
        <v>82</v>
      </c>
      <c r="L36" s="3" t="s">
        <v>82</v>
      </c>
      <c r="M36" s="3" t="s">
        <v>82</v>
      </c>
      <c r="N36" s="3" t="s">
        <v>82</v>
      </c>
      <c r="O36" s="4" t="s">
        <v>82</v>
      </c>
      <c r="P36" s="5" t="s">
        <v>82</v>
      </c>
      <c r="Q36" s="6" t="s">
        <v>82</v>
      </c>
      <c r="R36" s="6" t="s">
        <v>82</v>
      </c>
      <c r="S36" s="1">
        <f t="shared" ca="1" si="4"/>
        <v>0</v>
      </c>
      <c r="T36" s="3" t="str">
        <f t="shared" ca="1" si="5"/>
        <v>0x02030405FF0102030405</v>
      </c>
      <c r="U36" s="3" t="str">
        <f t="shared" ca="1" si="6"/>
        <v>[01, 02, 03, 101, 102, 103, 252, 254, 254, 255]</v>
      </c>
      <c r="V36" s="3" t="str">
        <f t="shared" ca="1" si="7"/>
        <v>16491688-1095-7456-7921-196934108796</v>
      </c>
      <c r="W36" s="3" t="str">
        <f t="shared" si="8"/>
        <v>&lt;data id="1"&gt;&lt;name&gt;テスト1&lt;/name&gt;&lt;value&gt;1&lt;/value&gt;&lt;/data&gt;</v>
      </c>
      <c r="AA36" s="41" t="b">
        <f t="shared" si="1"/>
        <v>0</v>
      </c>
      <c r="AB36" s="41" t="str">
        <f t="shared" si="2"/>
        <v/>
      </c>
      <c r="AC36" s="41" t="str">
        <f t="shared" si="3"/>
        <v/>
      </c>
    </row>
    <row r="37" spans="1:30" ht="28.75" customHeight="1" x14ac:dyDescent="0.35">
      <c r="A37" s="51"/>
      <c r="B37" s="1">
        <f t="shared" si="0"/>
        <v>330</v>
      </c>
      <c r="C37" s="1" t="s">
        <v>82</v>
      </c>
      <c r="D37" s="1" t="s">
        <v>82</v>
      </c>
      <c r="E37" s="1" t="s">
        <v>82</v>
      </c>
      <c r="F37" s="1" t="s">
        <v>82</v>
      </c>
      <c r="G37" s="2" t="s">
        <v>82</v>
      </c>
      <c r="H37" s="2" t="s">
        <v>82</v>
      </c>
      <c r="I37" s="1" t="s">
        <v>82</v>
      </c>
      <c r="J37" s="1" t="s">
        <v>82</v>
      </c>
      <c r="K37" s="3" t="s">
        <v>82</v>
      </c>
      <c r="L37" s="3" t="s">
        <v>82</v>
      </c>
      <c r="M37" s="3" t="s">
        <v>82</v>
      </c>
      <c r="N37" s="3" t="s">
        <v>82</v>
      </c>
      <c r="O37" s="4" t="s">
        <v>82</v>
      </c>
      <c r="P37" s="5" t="s">
        <v>82</v>
      </c>
      <c r="Q37" s="6" t="s">
        <v>82</v>
      </c>
      <c r="R37" s="6" t="s">
        <v>82</v>
      </c>
      <c r="S37" s="1">
        <f t="shared" ca="1" si="4"/>
        <v>1</v>
      </c>
      <c r="T37" s="3" t="str">
        <f t="shared" ca="1" si="5"/>
        <v>[01, 02, 03, 101, 102, 103, 252, 254, 254, 255]</v>
      </c>
      <c r="U37" s="3" t="str">
        <f t="shared" ca="1" si="6"/>
        <v>0xFF0102030405FF0102030405</v>
      </c>
      <c r="V37" s="3" t="str">
        <f t="shared" ca="1" si="7"/>
        <v>15942102-5892-5486-2349-199408888073</v>
      </c>
      <c r="W37" s="3" t="str">
        <f t="shared" si="8"/>
        <v>&lt;data id="1"&gt;&lt;name&gt;テスト2&lt;/name&gt;&lt;value&gt;2&lt;/value&gt;&lt;/data&gt;</v>
      </c>
      <c r="AA37" s="41" t="b">
        <f t="shared" si="1"/>
        <v>0</v>
      </c>
      <c r="AB37" s="41" t="str">
        <f t="shared" si="2"/>
        <v/>
      </c>
      <c r="AC37" s="41" t="str">
        <f t="shared" si="3"/>
        <v/>
      </c>
    </row>
    <row r="38" spans="1:30" ht="28.75" customHeight="1" x14ac:dyDescent="0.35">
      <c r="A38" s="51"/>
      <c r="B38" s="1">
        <f t="shared" si="0"/>
        <v>331</v>
      </c>
      <c r="C38" s="1" t="s">
        <v>82</v>
      </c>
      <c r="D38" s="1" t="s">
        <v>82</v>
      </c>
      <c r="E38" s="1" t="s">
        <v>82</v>
      </c>
      <c r="F38" s="1" t="s">
        <v>82</v>
      </c>
      <c r="G38" s="2" t="s">
        <v>82</v>
      </c>
      <c r="H38" s="2" t="s">
        <v>82</v>
      </c>
      <c r="I38" s="1" t="s">
        <v>82</v>
      </c>
      <c r="J38" s="1" t="s">
        <v>82</v>
      </c>
      <c r="K38" s="3" t="s">
        <v>82</v>
      </c>
      <c r="L38" s="3" t="s">
        <v>82</v>
      </c>
      <c r="M38" s="3" t="s">
        <v>82</v>
      </c>
      <c r="N38" s="3" t="s">
        <v>82</v>
      </c>
      <c r="O38" s="4" t="s">
        <v>82</v>
      </c>
      <c r="P38" s="5" t="s">
        <v>82</v>
      </c>
      <c r="Q38" s="6" t="s">
        <v>82</v>
      </c>
      <c r="R38" s="6" t="s">
        <v>82</v>
      </c>
      <c r="S38" s="1">
        <f t="shared" ca="1" si="4"/>
        <v>1</v>
      </c>
      <c r="T38" s="3" t="str">
        <f t="shared" ca="1" si="5"/>
        <v>[01, 02, 03, 101, 102, 103, 252, 254, 254, 255]</v>
      </c>
      <c r="U38" s="3" t="str">
        <f t="shared" ca="1" si="6"/>
        <v>0xFF0102030405FF0102030405</v>
      </c>
      <c r="V38" s="3" t="str">
        <f t="shared" ca="1" si="7"/>
        <v>15994843-8584-7478-5477-128409400221</v>
      </c>
      <c r="W38" s="3" t="str">
        <f t="shared" si="8"/>
        <v>&lt;data id="1"&gt;&lt;name&gt;テスト3&lt;/name&gt;&lt;value&gt;3&lt;/value&gt;&lt;/data&gt;</v>
      </c>
      <c r="AA38" s="41" t="b">
        <f t="shared" si="1"/>
        <v>0</v>
      </c>
      <c r="AB38" s="41" t="str">
        <f t="shared" si="2"/>
        <v/>
      </c>
      <c r="AC38" s="41" t="str">
        <f t="shared" si="3"/>
        <v/>
      </c>
    </row>
    <row r="39" spans="1:30" ht="28.75" customHeight="1" x14ac:dyDescent="0.35">
      <c r="A39" s="51"/>
      <c r="B39" s="1">
        <f t="shared" si="0"/>
        <v>332</v>
      </c>
      <c r="C39" s="1" t="s">
        <v>82</v>
      </c>
      <c r="D39" s="1" t="s">
        <v>82</v>
      </c>
      <c r="E39" s="1" t="s">
        <v>82</v>
      </c>
      <c r="F39" s="1" t="s">
        <v>82</v>
      </c>
      <c r="G39" s="2" t="s">
        <v>82</v>
      </c>
      <c r="H39" s="2" t="s">
        <v>82</v>
      </c>
      <c r="I39" s="1" t="s">
        <v>82</v>
      </c>
      <c r="J39" s="1" t="s">
        <v>82</v>
      </c>
      <c r="K39" s="3" t="s">
        <v>82</v>
      </c>
      <c r="L39" s="3" t="s">
        <v>82</v>
      </c>
      <c r="M39" s="3" t="s">
        <v>82</v>
      </c>
      <c r="N39" s="3" t="s">
        <v>82</v>
      </c>
      <c r="O39" s="4" t="s">
        <v>82</v>
      </c>
      <c r="P39" s="5" t="s">
        <v>82</v>
      </c>
      <c r="Q39" s="6" t="s">
        <v>82</v>
      </c>
      <c r="R39" s="6" t="s">
        <v>82</v>
      </c>
      <c r="S39" s="1">
        <f t="shared" ca="1" si="4"/>
        <v>0</v>
      </c>
      <c r="T39" s="3" t="str">
        <f t="shared" ca="1" si="5"/>
        <v>[01, 02, 03, 101, 102, 103, 252, 254, 254, 255]</v>
      </c>
      <c r="U39" s="3" t="str">
        <f t="shared" ca="1" si="6"/>
        <v>[01, 02, 03, 101, 102, 103, 252, 254, 254, 255]</v>
      </c>
      <c r="V39" s="3" t="str">
        <f t="shared" ca="1" si="7"/>
        <v>10331647-9196-8150-7263-136384657878</v>
      </c>
      <c r="W39" s="3" t="str">
        <f t="shared" si="8"/>
        <v>&lt;data id="1"&gt;&lt;name&gt;テスト4&lt;/name&gt;&lt;value&gt;4&lt;/value&gt;&lt;/data&gt;</v>
      </c>
      <c r="AA39" s="41" t="b">
        <f t="shared" si="1"/>
        <v>0</v>
      </c>
      <c r="AB39" s="41" t="str">
        <f t="shared" si="2"/>
        <v/>
      </c>
      <c r="AC39" s="41" t="str">
        <f t="shared" si="3"/>
        <v/>
      </c>
    </row>
    <row r="40" spans="1:30" ht="28.75" customHeight="1" x14ac:dyDescent="0.35">
      <c r="A40" s="51"/>
      <c r="B40" s="1">
        <f t="shared" si="0"/>
        <v>333</v>
      </c>
      <c r="C40" s="1" t="s">
        <v>82</v>
      </c>
      <c r="D40" s="1" t="s">
        <v>82</v>
      </c>
      <c r="E40" s="1" t="s">
        <v>82</v>
      </c>
      <c r="F40" s="1" t="s">
        <v>82</v>
      </c>
      <c r="G40" s="2" t="s">
        <v>82</v>
      </c>
      <c r="H40" s="2" t="s">
        <v>82</v>
      </c>
      <c r="I40" s="1" t="s">
        <v>82</v>
      </c>
      <c r="J40" s="1" t="s">
        <v>82</v>
      </c>
      <c r="K40" s="3" t="s">
        <v>82</v>
      </c>
      <c r="L40" s="3" t="s">
        <v>82</v>
      </c>
      <c r="M40" s="3" t="s">
        <v>82</v>
      </c>
      <c r="N40" s="3" t="s">
        <v>82</v>
      </c>
      <c r="O40" s="4" t="s">
        <v>82</v>
      </c>
      <c r="P40" s="5" t="s">
        <v>82</v>
      </c>
      <c r="Q40" s="6" t="s">
        <v>82</v>
      </c>
      <c r="R40" s="6" t="s">
        <v>82</v>
      </c>
      <c r="S40" s="1">
        <f t="shared" ca="1" si="4"/>
        <v>1</v>
      </c>
      <c r="T40" s="3" t="str">
        <f t="shared" ca="1" si="5"/>
        <v>[01, 02, 03, 101, 102, 103, 252, 254, 254, 255]</v>
      </c>
      <c r="U40" s="3" t="str">
        <f t="shared" ca="1" si="6"/>
        <v>0xFF0102030405FF0102030405</v>
      </c>
      <c r="V40" s="3" t="str">
        <f t="shared" ca="1" si="7"/>
        <v>12809271-3141-6737-2346-178735685803</v>
      </c>
      <c r="W40" s="3" t="str">
        <f t="shared" si="8"/>
        <v>&lt;data id="1"&gt;&lt;name&gt;テスト5&lt;/name&gt;&lt;value&gt;5&lt;/value&gt;&lt;/data&gt;</v>
      </c>
      <c r="AA40" s="41" t="b">
        <f t="shared" si="1"/>
        <v>0</v>
      </c>
      <c r="AB40" s="41" t="str">
        <f t="shared" si="2"/>
        <v/>
      </c>
      <c r="AC40" s="41" t="str">
        <f t="shared" si="3"/>
        <v/>
      </c>
    </row>
    <row r="41" spans="1:30" ht="28.75" customHeight="1" x14ac:dyDescent="0.35">
      <c r="A41" s="51"/>
      <c r="B41" s="1">
        <f t="shared" si="0"/>
        <v>334</v>
      </c>
      <c r="C41" s="1" t="s">
        <v>82</v>
      </c>
      <c r="D41" s="1" t="s">
        <v>82</v>
      </c>
      <c r="E41" s="1" t="s">
        <v>82</v>
      </c>
      <c r="F41" s="1" t="s">
        <v>82</v>
      </c>
      <c r="G41" s="2" t="s">
        <v>82</v>
      </c>
      <c r="H41" s="2" t="s">
        <v>82</v>
      </c>
      <c r="I41" s="1" t="s">
        <v>82</v>
      </c>
      <c r="J41" s="1" t="s">
        <v>82</v>
      </c>
      <c r="K41" s="3" t="s">
        <v>82</v>
      </c>
      <c r="L41" s="3" t="s">
        <v>82</v>
      </c>
      <c r="M41" s="3" t="s">
        <v>82</v>
      </c>
      <c r="N41" s="3" t="s">
        <v>82</v>
      </c>
      <c r="O41" s="4" t="s">
        <v>82</v>
      </c>
      <c r="P41" s="5" t="s">
        <v>82</v>
      </c>
      <c r="Q41" s="6" t="s">
        <v>82</v>
      </c>
      <c r="R41" s="6" t="s">
        <v>82</v>
      </c>
      <c r="S41" s="1">
        <f t="shared" ca="1" si="4"/>
        <v>0</v>
      </c>
      <c r="T41" s="3" t="str">
        <f t="shared" ca="1" si="5"/>
        <v>[0x01, 0xA1, 0xB9, 0xCA, 0xDB, 0xEC, 0xFD, 0xFE, 0xFF]</v>
      </c>
      <c r="U41" s="3" t="str">
        <f t="shared" ca="1" si="6"/>
        <v>[0x01, 0xA1, 0xB9, 0xCA, 0xDB, 0xEC, 0xFD, 0xFE, 0xFF]</v>
      </c>
      <c r="V41" s="3" t="str">
        <f t="shared" ca="1" si="7"/>
        <v>19268173-1946-4592-9198-170245646343</v>
      </c>
      <c r="W41" s="3" t="str">
        <f t="shared" si="8"/>
        <v>&lt;data id="1"&gt;&lt;name&gt;テスト6&lt;/name&gt;&lt;value&gt;6&lt;/value&gt;&lt;/data&gt;</v>
      </c>
      <c r="AA41" s="41" t="b">
        <f t="shared" si="1"/>
        <v>0</v>
      </c>
      <c r="AB41" s="41" t="str">
        <f t="shared" si="2"/>
        <v/>
      </c>
      <c r="AC41" s="41" t="str">
        <f t="shared" si="3"/>
        <v/>
      </c>
    </row>
    <row r="42" spans="1:30" ht="28.75" customHeight="1" x14ac:dyDescent="0.35">
      <c r="A42" s="51"/>
      <c r="B42" s="1">
        <f t="shared" si="0"/>
        <v>335</v>
      </c>
      <c r="C42" s="1" t="s">
        <v>82</v>
      </c>
      <c r="D42" s="1" t="s">
        <v>82</v>
      </c>
      <c r="E42" s="1" t="s">
        <v>82</v>
      </c>
      <c r="F42" s="1" t="s">
        <v>82</v>
      </c>
      <c r="G42" s="2" t="s">
        <v>82</v>
      </c>
      <c r="H42" s="2" t="s">
        <v>82</v>
      </c>
      <c r="I42" s="1" t="s">
        <v>82</v>
      </c>
      <c r="J42" s="1" t="s">
        <v>82</v>
      </c>
      <c r="K42" s="3" t="s">
        <v>82</v>
      </c>
      <c r="L42" s="3" t="s">
        <v>82</v>
      </c>
      <c r="M42" s="3" t="s">
        <v>82</v>
      </c>
      <c r="N42" s="3" t="s">
        <v>82</v>
      </c>
      <c r="O42" s="4" t="s">
        <v>82</v>
      </c>
      <c r="P42" s="5" t="s">
        <v>82</v>
      </c>
      <c r="Q42" s="6" t="s">
        <v>82</v>
      </c>
      <c r="R42" s="6" t="s">
        <v>82</v>
      </c>
      <c r="S42" s="1">
        <f t="shared" ca="1" si="4"/>
        <v>0</v>
      </c>
      <c r="T42" s="3" t="str">
        <f t="shared" ca="1" si="5"/>
        <v>[01, 02, 03, 101, 102, 103, 252, 254, 254, 255]</v>
      </c>
      <c r="U42" s="3" t="str">
        <f t="shared" ca="1" si="6"/>
        <v>[0x01, 0xA1, 0xB9, 0xCA, 0xDB, 0xEC, 0xFD, 0xFE, 0xFF]</v>
      </c>
      <c r="V42" s="3" t="str">
        <f t="shared" ca="1" si="7"/>
        <v>19845806-5937-9980-6515-162663855363</v>
      </c>
      <c r="W42" s="3" t="str">
        <f t="shared" si="8"/>
        <v>&lt;data id="1"&gt;&lt;name&gt;テスト7&lt;/name&gt;&lt;value&gt;7&lt;/value&gt;&lt;/data&gt;</v>
      </c>
      <c r="AA42" s="41" t="b">
        <f t="shared" si="1"/>
        <v>0</v>
      </c>
      <c r="AB42" s="41" t="str">
        <f t="shared" si="2"/>
        <v/>
      </c>
      <c r="AC42" s="41" t="str">
        <f t="shared" si="3"/>
        <v/>
      </c>
    </row>
    <row r="43" spans="1:30" ht="28.75" customHeight="1" x14ac:dyDescent="0.35">
      <c r="A43" s="51"/>
      <c r="B43" s="1">
        <f t="shared" si="0"/>
        <v>336</v>
      </c>
      <c r="C43" s="1" t="s">
        <v>82</v>
      </c>
      <c r="D43" s="1" t="s">
        <v>82</v>
      </c>
      <c r="E43" s="1" t="s">
        <v>82</v>
      </c>
      <c r="F43" s="1" t="s">
        <v>82</v>
      </c>
      <c r="G43" s="2" t="s">
        <v>82</v>
      </c>
      <c r="H43" s="2" t="s">
        <v>82</v>
      </c>
      <c r="I43" s="1" t="s">
        <v>82</v>
      </c>
      <c r="J43" s="1" t="s">
        <v>82</v>
      </c>
      <c r="K43" s="3" t="s">
        <v>82</v>
      </c>
      <c r="L43" s="3" t="s">
        <v>82</v>
      </c>
      <c r="M43" s="3" t="s">
        <v>82</v>
      </c>
      <c r="N43" s="3" t="s">
        <v>82</v>
      </c>
      <c r="O43" s="4" t="s">
        <v>82</v>
      </c>
      <c r="P43" s="5" t="s">
        <v>82</v>
      </c>
      <c r="Q43" s="6" t="s">
        <v>82</v>
      </c>
      <c r="R43" s="6" t="s">
        <v>82</v>
      </c>
      <c r="S43" s="1">
        <f t="shared" ca="1" si="4"/>
        <v>1</v>
      </c>
      <c r="T43" s="3" t="str">
        <f t="shared" ca="1" si="5"/>
        <v>[01, 02, 03, 101, 102, 103, 252, 254, 254, 255]</v>
      </c>
      <c r="U43" s="3" t="str">
        <f t="shared" ca="1" si="6"/>
        <v>[01, 02, 03, 101, 102, 103, 252, 254, 254, 255]</v>
      </c>
      <c r="V43" s="3" t="str">
        <f t="shared" ca="1" si="7"/>
        <v>10854382-4118-2148-9188-102558992186</v>
      </c>
      <c r="W43" s="3" t="str">
        <f t="shared" si="8"/>
        <v>&lt;data id="1"&gt;&lt;name&gt;テスト8&lt;/name&gt;&lt;value&gt;8&lt;/value&gt;&lt;/data&gt;</v>
      </c>
      <c r="AA43" s="41" t="b">
        <f t="shared" si="1"/>
        <v>0</v>
      </c>
      <c r="AB43" s="41" t="str">
        <f t="shared" si="2"/>
        <v/>
      </c>
      <c r="AC43" s="41" t="str">
        <f t="shared" si="3"/>
        <v/>
      </c>
    </row>
    <row r="44" spans="1:30" ht="28.75" customHeight="1" x14ac:dyDescent="0.35">
      <c r="A44" s="51"/>
      <c r="B44" s="1">
        <f t="shared" si="0"/>
        <v>337</v>
      </c>
      <c r="C44" s="1" t="s">
        <v>82</v>
      </c>
      <c r="D44" s="1" t="s">
        <v>82</v>
      </c>
      <c r="E44" s="1" t="s">
        <v>82</v>
      </c>
      <c r="F44" s="1" t="s">
        <v>82</v>
      </c>
      <c r="G44" s="2" t="s">
        <v>82</v>
      </c>
      <c r="H44" s="2" t="s">
        <v>82</v>
      </c>
      <c r="I44" s="1" t="s">
        <v>82</v>
      </c>
      <c r="J44" s="1" t="s">
        <v>82</v>
      </c>
      <c r="K44" s="3" t="s">
        <v>82</v>
      </c>
      <c r="L44" s="3" t="s">
        <v>82</v>
      </c>
      <c r="M44" s="3" t="s">
        <v>82</v>
      </c>
      <c r="N44" s="3" t="s">
        <v>82</v>
      </c>
      <c r="O44" s="4" t="s">
        <v>82</v>
      </c>
      <c r="P44" s="5" t="s">
        <v>82</v>
      </c>
      <c r="Q44" s="6" t="s">
        <v>82</v>
      </c>
      <c r="R44" s="6" t="s">
        <v>82</v>
      </c>
      <c r="S44" s="1">
        <f t="shared" ca="1" si="4"/>
        <v>1</v>
      </c>
      <c r="T44" s="3" t="str">
        <f t="shared" ca="1" si="5"/>
        <v>0x02030405FF0102030405</v>
      </c>
      <c r="U44" s="3" t="str">
        <f t="shared" ca="1" si="6"/>
        <v>[0x01, 0xA1, 0xB9, 0xCA, 0xDB, 0xEC, 0xFD, 0xFE, 0xFF]</v>
      </c>
      <c r="V44" s="3" t="str">
        <f t="shared" ca="1" si="7"/>
        <v>11287624-7993-5667-4642-170230597730</v>
      </c>
      <c r="W44" s="3" t="str">
        <f t="shared" si="8"/>
        <v>&lt;data id="1"&gt;&lt;name&gt;テスト9&lt;/name&gt;&lt;value&gt;9&lt;/value&gt;&lt;/data&gt;</v>
      </c>
      <c r="AA44" s="41" t="b">
        <f t="shared" si="1"/>
        <v>0</v>
      </c>
      <c r="AB44" s="41" t="str">
        <f t="shared" si="2"/>
        <v/>
      </c>
      <c r="AC44" s="41" t="str">
        <f t="shared" si="3"/>
        <v/>
      </c>
    </row>
  </sheetData>
  <phoneticPr fontId="1"/>
  <conditionalFormatting sqref="B7:W7">
    <cfRule type="expression" dxfId="9" priority="7">
      <formula>AND(ISNUMBER(FIND("K",B6)),B7="*")</formula>
    </cfRule>
    <cfRule type="expression" dxfId="8" priority="8">
      <formula>AND(ISNUMBER(FIND("N",B6)),B7="*")</formula>
    </cfRule>
    <cfRule type="expression" dxfId="7" priority="9">
      <formula>B7="*"</formula>
    </cfRule>
    <cfRule type="expression" dxfId="6" priority="10">
      <formula>B7=""</formula>
    </cfRule>
  </conditionalFormatting>
  <conditionalFormatting sqref="AA8:AA44">
    <cfRule type="expression" dxfId="5" priority="5">
      <formula>AA8=TRUE</formula>
    </cfRule>
    <cfRule type="expression" dxfId="4" priority="6">
      <formula>AA8=FALSE</formula>
    </cfRule>
  </conditionalFormatting>
  <conditionalFormatting sqref="AB8:AB44">
    <cfRule type="expression" dxfId="3" priority="3">
      <formula>AB8=TRUE</formula>
    </cfRule>
    <cfRule type="expression" dxfId="2" priority="4">
      <formula>AB8=FALSE</formula>
    </cfRule>
  </conditionalFormatting>
  <conditionalFormatting sqref="AC8:AC44">
    <cfRule type="expression" dxfId="1" priority="1">
      <formula>AC8=TRUE</formula>
    </cfRule>
    <cfRule type="expression" dxfId="0" priority="2">
      <formula>AC8=FALSE</formula>
    </cfRule>
  </conditionalFormatting>
  <dataValidations count="1">
    <dataValidation type="list" allowBlank="1" showInputMessage="1" showErrorMessage="1" sqref="B7:W7" xr:uid="{00000000-0002-0000-0000-000000000000}">
      <formula1>"*,"</formula1>
    </dataValidation>
  </dataValidations>
  <pageMargins left="0.75" right="0.75" top="0.75" bottom="0.5" header="0.5" footer="0.75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all_types_test2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雅俊 古谷</cp:lastModifiedBy>
  <dcterms:created xsi:type="dcterms:W3CDTF">2026-05-13T03:14:59Z</dcterms:created>
  <dcterms:modified xsi:type="dcterms:W3CDTF">2026-09-06T15:24:46Z</dcterms:modified>
</cp:coreProperties>
</file>