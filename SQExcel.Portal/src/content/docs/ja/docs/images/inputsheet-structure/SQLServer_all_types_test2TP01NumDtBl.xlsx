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Repos_GitEms\sqexcel\SQExcel.Portal\src\content\docs\ja\docs\images\inputsheet-structure\"/>
    </mc:Choice>
  </mc:AlternateContent>
  <xr:revisionPtr revIDLastSave="0" documentId="13_ncr:1_{E789B153-4839-489F-A77E-FF30DC080A78}" xr6:coauthVersionLast="47" xr6:coauthVersionMax="47" xr10:uidLastSave="{00000000-0000-0000-0000-000000000000}"/>
  <bookViews>
    <workbookView xWindow="4668" yWindow="4536" windowWidth="23184" windowHeight="9888" xr2:uid="{00000000-000D-0000-FFFF-FFFF00000000}"/>
  </bookViews>
  <sheets>
    <sheet name="all_types_tes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" i="1" l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AA16" i="1"/>
  <c r="AA18" i="1"/>
  <c r="AA17" i="1"/>
  <c r="AB27" i="1"/>
  <c r="AA27" i="1"/>
  <c r="AB26" i="1"/>
  <c r="AA26" i="1"/>
  <c r="AC26" i="1" s="1"/>
  <c r="AB25" i="1"/>
  <c r="AA25" i="1"/>
  <c r="AC25" i="1" s="1"/>
  <c r="AB24" i="1"/>
  <c r="AA24" i="1"/>
  <c r="AC24" i="1" s="1"/>
  <c r="AB23" i="1"/>
  <c r="AA23" i="1"/>
  <c r="AC23" i="1" s="1"/>
  <c r="AB22" i="1"/>
  <c r="AA22" i="1"/>
  <c r="AC22" i="1" s="1"/>
  <c r="AB21" i="1"/>
  <c r="AA21" i="1"/>
  <c r="AB20" i="1"/>
  <c r="AA20" i="1"/>
  <c r="AC20" i="1" s="1"/>
  <c r="AB19" i="1"/>
  <c r="AA19" i="1"/>
  <c r="AB18" i="1"/>
  <c r="AB17" i="1"/>
  <c r="AB16" i="1"/>
  <c r="AB15" i="1"/>
  <c r="AA15" i="1"/>
  <c r="AC15" i="1" s="1"/>
  <c r="AB14" i="1"/>
  <c r="AA14" i="1"/>
  <c r="AC14" i="1" s="1"/>
  <c r="AB13" i="1"/>
  <c r="AA13" i="1"/>
  <c r="AC13" i="1" s="1"/>
  <c r="AB12" i="1"/>
  <c r="AA12" i="1"/>
  <c r="AC12" i="1" s="1"/>
  <c r="AB11" i="1"/>
  <c r="AA11" i="1"/>
  <c r="AB10" i="1"/>
  <c r="AA10" i="1"/>
  <c r="AC10" i="1" s="1"/>
  <c r="AB9" i="1"/>
  <c r="AA9" i="1"/>
  <c r="AC9" i="1" s="1"/>
  <c r="AB8" i="1"/>
  <c r="AA8" i="1"/>
  <c r="AC8" i="1" s="1"/>
  <c r="AC17" i="1" l="1"/>
  <c r="AC27" i="1"/>
  <c r="AC18" i="1"/>
  <c r="AC19" i="1"/>
  <c r="AC16" i="1"/>
  <c r="AC21" i="1"/>
  <c r="AC11" i="1"/>
  <c r="S27" i="1"/>
  <c r="R27" i="1"/>
  <c r="Q27" i="1"/>
  <c r="P27" i="1"/>
  <c r="O27" i="1"/>
  <c r="I27" i="1"/>
  <c r="H27" i="1"/>
  <c r="G27" i="1"/>
  <c r="F27" i="1"/>
  <c r="E27" i="1"/>
  <c r="D27" i="1"/>
  <c r="C27" i="1"/>
  <c r="B27" i="1"/>
  <c r="S26" i="1"/>
  <c r="R26" i="1"/>
  <c r="Q26" i="1"/>
  <c r="P26" i="1"/>
  <c r="O26" i="1"/>
  <c r="I26" i="1"/>
  <c r="H26" i="1"/>
  <c r="G26" i="1"/>
  <c r="F26" i="1"/>
  <c r="E26" i="1"/>
  <c r="D26" i="1"/>
  <c r="C26" i="1"/>
  <c r="B26" i="1"/>
  <c r="S25" i="1"/>
  <c r="R25" i="1"/>
  <c r="Q25" i="1"/>
  <c r="P25" i="1"/>
  <c r="O25" i="1"/>
  <c r="I25" i="1"/>
  <c r="H25" i="1"/>
  <c r="G25" i="1"/>
  <c r="F25" i="1"/>
  <c r="E25" i="1"/>
  <c r="D25" i="1"/>
  <c r="C25" i="1"/>
  <c r="B25" i="1"/>
  <c r="S24" i="1"/>
  <c r="R24" i="1"/>
  <c r="Q24" i="1"/>
  <c r="P24" i="1"/>
  <c r="O24" i="1"/>
  <c r="I24" i="1"/>
  <c r="H24" i="1"/>
  <c r="G24" i="1"/>
  <c r="F24" i="1"/>
  <c r="E24" i="1"/>
  <c r="D24" i="1"/>
  <c r="C24" i="1"/>
  <c r="B24" i="1"/>
  <c r="S23" i="1"/>
  <c r="R23" i="1"/>
  <c r="Q23" i="1"/>
  <c r="P23" i="1"/>
  <c r="O23" i="1"/>
  <c r="I23" i="1"/>
  <c r="H23" i="1"/>
  <c r="G23" i="1"/>
  <c r="F23" i="1"/>
  <c r="E23" i="1"/>
  <c r="D23" i="1"/>
  <c r="C23" i="1"/>
  <c r="B23" i="1"/>
  <c r="S22" i="1"/>
  <c r="R22" i="1"/>
  <c r="Q22" i="1"/>
  <c r="P22" i="1"/>
  <c r="O22" i="1"/>
  <c r="I22" i="1"/>
  <c r="H22" i="1"/>
  <c r="G22" i="1"/>
  <c r="F22" i="1"/>
  <c r="E22" i="1"/>
  <c r="D22" i="1"/>
  <c r="C22" i="1"/>
  <c r="B22" i="1"/>
  <c r="S21" i="1"/>
  <c r="R21" i="1"/>
  <c r="Q21" i="1"/>
  <c r="P21" i="1"/>
  <c r="O21" i="1"/>
  <c r="I21" i="1"/>
  <c r="H21" i="1"/>
  <c r="G21" i="1"/>
  <c r="F21" i="1"/>
  <c r="E21" i="1"/>
  <c r="D21" i="1"/>
  <c r="C21" i="1"/>
  <c r="B21" i="1"/>
  <c r="S20" i="1"/>
  <c r="R20" i="1"/>
  <c r="Q20" i="1"/>
  <c r="P20" i="1"/>
  <c r="O20" i="1"/>
  <c r="I20" i="1"/>
  <c r="H20" i="1"/>
  <c r="G20" i="1"/>
  <c r="F20" i="1"/>
  <c r="E20" i="1"/>
  <c r="D20" i="1"/>
  <c r="C20" i="1"/>
  <c r="B20" i="1"/>
  <c r="S19" i="1"/>
  <c r="R19" i="1"/>
  <c r="Q19" i="1"/>
  <c r="P19" i="1"/>
  <c r="O19" i="1"/>
  <c r="I19" i="1"/>
  <c r="H19" i="1"/>
  <c r="G19" i="1"/>
  <c r="F19" i="1"/>
  <c r="E19" i="1"/>
  <c r="D19" i="1"/>
  <c r="C19" i="1"/>
  <c r="B19" i="1"/>
  <c r="S18" i="1"/>
  <c r="R18" i="1"/>
  <c r="Q18" i="1"/>
  <c r="P18" i="1"/>
  <c r="O18" i="1"/>
  <c r="I18" i="1"/>
  <c r="H18" i="1"/>
  <c r="G18" i="1"/>
  <c r="F18" i="1"/>
  <c r="E18" i="1"/>
  <c r="D18" i="1"/>
  <c r="C18" i="1"/>
  <c r="B18" i="1"/>
  <c r="S17" i="1"/>
  <c r="R17" i="1"/>
  <c r="Q17" i="1"/>
  <c r="P17" i="1"/>
  <c r="O17" i="1"/>
  <c r="I17" i="1"/>
  <c r="H17" i="1"/>
  <c r="G17" i="1"/>
  <c r="F17" i="1"/>
  <c r="E17" i="1"/>
  <c r="D17" i="1"/>
  <c r="C17" i="1"/>
  <c r="B17" i="1"/>
  <c r="S16" i="1"/>
  <c r="R16" i="1"/>
  <c r="Q16" i="1"/>
  <c r="P16" i="1"/>
  <c r="O16" i="1"/>
  <c r="I16" i="1"/>
  <c r="H16" i="1"/>
  <c r="G16" i="1"/>
  <c r="F16" i="1"/>
  <c r="E16" i="1"/>
  <c r="D16" i="1"/>
  <c r="C16" i="1"/>
  <c r="B16" i="1"/>
  <c r="S15" i="1"/>
  <c r="R15" i="1"/>
  <c r="Q15" i="1"/>
  <c r="P15" i="1"/>
  <c r="O15" i="1"/>
  <c r="I15" i="1"/>
  <c r="H15" i="1"/>
  <c r="G15" i="1"/>
  <c r="F15" i="1"/>
  <c r="E15" i="1"/>
  <c r="D15" i="1"/>
  <c r="C15" i="1"/>
  <c r="B15" i="1"/>
  <c r="S14" i="1"/>
  <c r="R14" i="1"/>
  <c r="Q14" i="1"/>
  <c r="P14" i="1"/>
  <c r="O14" i="1"/>
  <c r="I14" i="1"/>
  <c r="H14" i="1"/>
  <c r="G14" i="1"/>
  <c r="F14" i="1"/>
  <c r="E14" i="1"/>
  <c r="D14" i="1"/>
  <c r="C14" i="1"/>
  <c r="B14" i="1"/>
  <c r="S13" i="1"/>
  <c r="R13" i="1"/>
  <c r="Q13" i="1"/>
  <c r="P13" i="1"/>
  <c r="O13" i="1"/>
  <c r="I13" i="1"/>
  <c r="H13" i="1"/>
  <c r="G13" i="1"/>
  <c r="F13" i="1"/>
  <c r="E13" i="1"/>
  <c r="D13" i="1"/>
  <c r="C13" i="1"/>
  <c r="B13" i="1"/>
  <c r="S12" i="1"/>
  <c r="R12" i="1"/>
  <c r="Q12" i="1"/>
  <c r="P12" i="1"/>
  <c r="O12" i="1"/>
  <c r="I12" i="1"/>
  <c r="H12" i="1"/>
  <c r="G12" i="1"/>
  <c r="F12" i="1"/>
  <c r="E12" i="1"/>
  <c r="D12" i="1"/>
  <c r="C12" i="1"/>
  <c r="B12" i="1"/>
  <c r="S11" i="1"/>
  <c r="R11" i="1"/>
  <c r="Q11" i="1"/>
  <c r="P11" i="1"/>
  <c r="O11" i="1"/>
  <c r="I11" i="1"/>
  <c r="H11" i="1"/>
  <c r="G11" i="1"/>
  <c r="F11" i="1"/>
  <c r="E11" i="1"/>
  <c r="D11" i="1"/>
  <c r="C11" i="1"/>
  <c r="B11" i="1"/>
  <c r="S10" i="1"/>
  <c r="R10" i="1"/>
  <c r="Q10" i="1"/>
  <c r="P10" i="1"/>
  <c r="O10" i="1"/>
  <c r="I10" i="1"/>
  <c r="H10" i="1"/>
  <c r="G10" i="1"/>
  <c r="F10" i="1"/>
  <c r="E10" i="1"/>
  <c r="D10" i="1"/>
  <c r="C10" i="1"/>
  <c r="B10" i="1"/>
  <c r="S9" i="1"/>
  <c r="R9" i="1"/>
  <c r="Q9" i="1"/>
  <c r="P9" i="1"/>
  <c r="O9" i="1"/>
  <c r="I9" i="1"/>
  <c r="H9" i="1"/>
  <c r="G9" i="1"/>
  <c r="F9" i="1"/>
  <c r="E9" i="1"/>
  <c r="D9" i="1"/>
  <c r="C9" i="1"/>
  <c r="B9" i="1"/>
  <c r="S8" i="1"/>
  <c r="R8" i="1"/>
  <c r="Q8" i="1"/>
  <c r="P8" i="1"/>
  <c r="O8" i="1"/>
  <c r="I8" i="1"/>
  <c r="H8" i="1"/>
  <c r="G8" i="1"/>
  <c r="F8" i="1"/>
  <c r="E8" i="1"/>
  <c r="D8" i="1"/>
  <c r="C8" i="1"/>
  <c r="B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Masatoshi</author>
  </authors>
  <commentList>
    <comment ref="A6" authorId="0" shapeId="0" xr:uid="{00000000-0006-0000-0000-000001000000}">
      <text>
        <r>
          <rPr>
            <sz val="11"/>
            <color rgb="FF000000"/>
            <rFont val="Calibri"/>
            <family val="2"/>
          </rPr>
          <t>K=キー項目
A=自動設定項目
N=NULL許容項目
D=既定値設定あり</t>
        </r>
      </text>
    </comment>
    <comment ref="A7" authorId="0" shapeId="0" xr:uid="{00000000-0006-0000-0000-000002000000}">
      <text>
        <r>
          <rPr>
            <sz val="11"/>
            <color rgb="FF000000"/>
            <rFont val="Calibri"/>
            <family val="2"/>
          </rPr>
          <t>入力対象とする場合は「*」をセットする。
空白にすると入力対象から外される。</t>
        </r>
      </text>
    </comment>
  </commentList>
</comments>
</file>

<file path=xl/sharedStrings.xml><?xml version="1.0" encoding="utf-8"?>
<sst xmlns="http://schemas.openxmlformats.org/spreadsheetml/2006/main" count="308" uniqueCount="87">
  <si>
    <t>テーブル名</t>
  </si>
  <si>
    <r>
      <rPr>
        <sz val="11"/>
        <color rgb="FF000000"/>
        <rFont val="Calibri"/>
        <family val="2"/>
      </rPr>
      <t>applog.all_types_test2</t>
    </r>
    <phoneticPr fontId="0"/>
  </si>
  <si>
    <t>論理名</t>
  </si>
  <si>
    <t>全データ型テストテーブル（SQL Server用）</t>
  </si>
  <si>
    <t>処理結果</t>
  </si>
  <si>
    <t>項目名</t>
  </si>
  <si>
    <t>id</t>
  </si>
  <si>
    <t>col_tinyint</t>
  </si>
  <si>
    <t>col_smallint</t>
  </si>
  <si>
    <t>col_int</t>
  </si>
  <si>
    <t>col_bigint</t>
  </si>
  <si>
    <t>col_decimal</t>
  </si>
  <si>
    <t>col_numeric</t>
  </si>
  <si>
    <t>col_float</t>
  </si>
  <si>
    <t>col_real</t>
  </si>
  <si>
    <t>col_char</t>
  </si>
  <si>
    <t>col_nchar</t>
  </si>
  <si>
    <t>col_varchar</t>
  </si>
  <si>
    <t>col_nvarchar</t>
  </si>
  <si>
    <t>col_date</t>
  </si>
  <si>
    <t>col_time</t>
  </si>
  <si>
    <t>col_datetime</t>
  </si>
  <si>
    <t>col_datetime2</t>
  </si>
  <si>
    <t>col_bit</t>
  </si>
  <si>
    <t>col_binary</t>
  </si>
  <si>
    <t>col_varbinary</t>
  </si>
  <si>
    <t>col_uniqueidentifier</t>
  </si>
  <si>
    <t>col_xml</t>
  </si>
  <si>
    <t>処理成否</t>
  </si>
  <si>
    <t>処理失敗時メッセージ</t>
  </si>
  <si>
    <t>項目論理名</t>
  </si>
  <si>
    <t>テスト行ID</t>
  </si>
  <si>
    <t>TinyInt型テスト列（使用DB: SQ/MY/MA）</t>
  </si>
  <si>
    <t>SmallInt型テスト列（使用DB: SQ/PS/MY/MA/OR）</t>
  </si>
  <si>
    <t>Int型テスト列（使用DB: SQ/PS/MY/MA/LT/OR）</t>
  </si>
  <si>
    <t>BigInt型テスト列（使用DB: SQ/PS/MY/MA/LT/OR）</t>
  </si>
  <si>
    <t>Decimal型テスト列（使用DB: SQ/PS/MY/MA/LT/OR）</t>
  </si>
  <si>
    <t>Numeric型テスト列（使用DB: SQ/PS/MY/MA/LT/OR）</t>
  </si>
  <si>
    <t>Float型テスト列（使用DB: SQ/PS/MY/MA/OR）</t>
  </si>
  <si>
    <t>Real型テスト列（使用DB: SQ/PS/MY/MA/LT/OR）</t>
  </si>
  <si>
    <t>Char型テスト列（使用DB: SQ/PS/MY/MA/LT/OR）</t>
  </si>
  <si>
    <t>NChar型テスト列（使用DB: SQ/OR）</t>
  </si>
  <si>
    <t>VarChar型テスト列（使用DB: SQ/PS/MY/MA/LT/OR）</t>
  </si>
  <si>
    <t>NVarChar型テスト列（使用DB: SQ/OR）</t>
  </si>
  <si>
    <t>Date型テスト列（使用DB: SQ/PS/MY/MA/LT/OR）</t>
  </si>
  <si>
    <t>Time型テスト列（使用DB: SQ/PS/MY/MA/LT）</t>
  </si>
  <si>
    <t>DateTime型テスト列（使用DB: SQ/MY/MA）</t>
  </si>
  <si>
    <t>DateTime2型テスト列（使用DB: SQ のみ）</t>
  </si>
  <si>
    <t>Bit型テスト列（使用DB: SQ のみ）</t>
  </si>
  <si>
    <t>Binary型テスト列（使用DB: SQ/MY/MA）</t>
  </si>
  <si>
    <t>VarBinary型テスト列（使用DB: SQ/MY/MA）</t>
  </si>
  <si>
    <t>UniqueIdentifier型テスト列（使用DB: SQ のみ）</t>
  </si>
  <si>
    <t>Xml型テスト列（使用DB: SQ/OR）</t>
  </si>
  <si>
    <t>データ型</t>
  </si>
  <si>
    <t>Int</t>
  </si>
  <si>
    <t>TinyInt</t>
  </si>
  <si>
    <t>SmallInt</t>
  </si>
  <si>
    <t>BigInt</t>
  </si>
  <si>
    <t>Decimal(18,4)</t>
  </si>
  <si>
    <t>Float</t>
  </si>
  <si>
    <t>Real</t>
  </si>
  <si>
    <t>Char(10)</t>
  </si>
  <si>
    <t>NChar(10)</t>
  </si>
  <si>
    <t>VarChar(255)</t>
  </si>
  <si>
    <t>NVarChar(255)</t>
  </si>
  <si>
    <t>Date</t>
  </si>
  <si>
    <t>Time</t>
  </si>
  <si>
    <t>DateTime</t>
  </si>
  <si>
    <t>DateTime2</t>
  </si>
  <si>
    <t>Bit</t>
  </si>
  <si>
    <t>UniqueIdentifier</t>
  </si>
  <si>
    <t>Xml</t>
  </si>
  <si>
    <t>項目属性</t>
  </si>
  <si>
    <t>KA</t>
  </si>
  <si>
    <t>N</t>
  </si>
  <si>
    <t>入力対象</t>
  </si>
  <si>
    <t>*</t>
  </si>
  <si>
    <r>
      <rPr>
        <sz val="11"/>
        <color rgb="FF000000"/>
        <rFont val="Noto Sans JP"/>
        <family val="2"/>
        <charset val="128"/>
      </rPr>
      <t>齟齬の原因</t>
    </r>
    <rPh sb="0" eb="2">
      <t>ソゴ</t>
    </rPh>
    <rPh sb="3" eb="5">
      <t>ゲンイン</t>
    </rPh>
    <phoneticPr fontId="0"/>
  </si>
  <si>
    <r>
      <rPr>
        <sz val="11"/>
        <color rgb="FF000000"/>
        <rFont val="Calibri"/>
        <family val="2"/>
      </rPr>
      <t>エラー予想</t>
    </r>
    <rPh sb="3" eb="5">
      <t>ヨソウ</t>
    </rPh>
    <phoneticPr fontId="0"/>
  </si>
  <si>
    <r>
      <rPr>
        <sz val="11"/>
        <color rgb="FF000000"/>
        <rFont val="Noto Sans JP"/>
        <family val="2"/>
        <charset val="128"/>
      </rPr>
      <t>実エラー</t>
    </r>
    <rPh sb="0" eb="1">
      <t>ジツ</t>
    </rPh>
    <phoneticPr fontId="0"/>
  </si>
  <si>
    <r>
      <rPr>
        <sz val="11"/>
        <color rgb="FF000000"/>
        <rFont val="Noto Sans JP"/>
        <family val="2"/>
        <charset val="128"/>
      </rPr>
      <t>齟齬</t>
    </r>
    <rPh sb="0" eb="2">
      <t>ソゴ</t>
    </rPh>
    <phoneticPr fontId="0"/>
  </si>
  <si>
    <t>(null)</t>
  </si>
  <si>
    <t/>
  </si>
  <si>
    <t>Binary(10)</t>
  </si>
  <si>
    <t>VarBinary(255)</t>
  </si>
  <si>
    <t>DB種類</t>
  </si>
  <si>
    <t>Microsoft SQL 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</si>
</sst>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0"/>
    <numFmt numFmtId="177" formatCode="yyyy/mm/dd"/>
    <numFmt numFmtId="178" formatCode="hh:mm:ss"/>
    <numFmt numFmtId="179" formatCode="yyyy/mm/dd\ hh:mm:ss"/>
    <numFmt numFmtId="180" formatCode="0_ "/>
    <numFmt numFmtId="181" formatCode="0.00000_ "/>
    <numFmt numFmtId="182" formatCode="0.0000_ "/>
  </numFmts>
  <fonts count="4" x14ac:knownFonts="1">
    <font>
      <sz val="11"/>
      <color rgb="FF000000"/>
      <name val="Calibri"/>
      <family val="2"/>
    </font>
    <font>
      <sz val="6"/>
      <name val="ＭＳ ゴシック"/>
      <family val="3"/>
      <charset val="128"/>
    </font>
    <font>
      <sz val="11"/>
      <color rgb="FF000000"/>
      <name val="Noto Sans JP"/>
      <family val="2"/>
      <charset val="128"/>
    </font>
    <font>
      <b/>
      <sz val="11"/>
      <color rgb="FF0000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2F2F2"/>
      </patternFill>
    </fill>
    <fill>
      <patternFill patternType="solid">
        <fgColor rgb="FFBDD7EE"/>
      </patternFill>
    </fill>
    <fill>
      <patternFill patternType="solid">
        <fgColor rgb="FFC0C0C0"/>
      </patternFill>
    </fill>
    <fill>
      <patternFill patternType="solid">
        <fgColor rgb="FFD9E1F2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Alignment="1" applyProtection="1">
      <alignment vertical="top"/>
      <protection locked="0"/>
    </xf>
    <xf numFmtId="176" fontId="0" fillId="0" borderId="0" xfId="0" applyNumberFormat="1" applyAlignment="1" applyProtection="1">
      <alignment vertical="top"/>
      <protection locked="0"/>
    </xf>
    <xf numFmtId="49" fontId="0" fillId="0" borderId="0" xfId="0" applyNumberFormat="1" applyAlignment="1" applyProtection="1">
      <alignment vertical="top" wrapText="1"/>
      <protection locked="0"/>
    </xf>
    <xf numFmtId="177" fontId="0" fillId="0" borderId="0" xfId="0" applyNumberFormat="1" applyAlignment="1" applyProtection="1">
      <alignment vertical="top"/>
      <protection locked="0"/>
    </xf>
    <xf numFmtId="178" fontId="0" fillId="0" borderId="0" xfId="0" applyNumberFormat="1" applyAlignment="1" applyProtection="1">
      <alignment vertical="top"/>
      <protection locked="0"/>
    </xf>
    <xf numFmtId="179" fontId="0" fillId="0" borderId="0" xfId="0" applyNumberFormat="1" applyAlignment="1" applyProtection="1">
      <alignment vertical="top"/>
      <protection locked="0"/>
    </xf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176" fontId="0" fillId="0" borderId="0" xfId="0" applyNumberFormat="1" applyAlignment="1">
      <alignment vertical="top"/>
    </xf>
    <xf numFmtId="177" fontId="0" fillId="0" borderId="0" xfId="0" applyNumberFormat="1" applyAlignment="1">
      <alignment vertical="top"/>
    </xf>
    <xf numFmtId="178" fontId="0" fillId="0" borderId="0" xfId="0" applyNumberFormat="1" applyAlignment="1">
      <alignment vertical="top"/>
    </xf>
    <xf numFmtId="179" fontId="0" fillId="0" borderId="0" xfId="0" applyNumberFormat="1" applyAlignment="1">
      <alignment vertical="top"/>
    </xf>
    <xf numFmtId="49" fontId="0" fillId="2" borderId="0" xfId="0" applyNumberFormat="1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176" fontId="0" fillId="5" borderId="0" xfId="0" applyNumberFormat="1" applyFill="1" applyAlignment="1">
      <alignment vertical="top" wrapText="1"/>
    </xf>
    <xf numFmtId="49" fontId="0" fillId="5" borderId="0" xfId="0" applyNumberFormat="1" applyFill="1" applyAlignment="1">
      <alignment vertical="top" wrapText="1"/>
    </xf>
    <xf numFmtId="177" fontId="0" fillId="5" borderId="0" xfId="0" applyNumberFormat="1" applyFill="1" applyAlignment="1">
      <alignment vertical="top" wrapText="1"/>
    </xf>
    <xf numFmtId="178" fontId="0" fillId="5" borderId="0" xfId="0" applyNumberFormat="1" applyFill="1" applyAlignment="1">
      <alignment vertical="top" wrapText="1"/>
    </xf>
    <xf numFmtId="179" fontId="0" fillId="5" borderId="0" xfId="0" applyNumberFormat="1" applyFill="1" applyAlignment="1">
      <alignment vertical="top" wrapText="1"/>
    </xf>
    <xf numFmtId="0" fontId="0" fillId="5" borderId="0" xfId="0" applyFill="1" applyAlignment="1">
      <alignment vertical="top"/>
    </xf>
    <xf numFmtId="0" fontId="0" fillId="3" borderId="0" xfId="0" applyFill="1" applyAlignment="1">
      <alignment vertical="top"/>
    </xf>
    <xf numFmtId="49" fontId="0" fillId="0" borderId="0" xfId="0" applyNumberFormat="1" applyAlignment="1">
      <alignment vertical="top"/>
    </xf>
    <xf numFmtId="49" fontId="0" fillId="2" borderId="0" xfId="0" applyNumberFormat="1" applyFill="1" applyAlignment="1">
      <alignment vertical="top"/>
    </xf>
    <xf numFmtId="0" fontId="0" fillId="4" borderId="0" xfId="0" applyFill="1" applyAlignment="1">
      <alignment vertical="top"/>
    </xf>
    <xf numFmtId="176" fontId="0" fillId="5" borderId="0" xfId="0" applyNumberFormat="1" applyFill="1" applyAlignment="1">
      <alignment vertical="top"/>
    </xf>
    <xf numFmtId="49" fontId="0" fillId="5" borderId="0" xfId="0" applyNumberFormat="1" applyFill="1" applyAlignment="1">
      <alignment vertical="top"/>
    </xf>
    <xf numFmtId="177" fontId="0" fillId="5" borderId="0" xfId="0" applyNumberFormat="1" applyFill="1" applyAlignment="1">
      <alignment vertical="top"/>
    </xf>
    <xf numFmtId="178" fontId="0" fillId="5" borderId="0" xfId="0" applyNumberFormat="1" applyFill="1" applyAlignment="1">
      <alignment vertical="top"/>
    </xf>
    <xf numFmtId="179" fontId="0" fillId="5" borderId="0" xfId="0" applyNumberFormat="1" applyFill="1" applyAlignment="1">
      <alignment vertical="top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0" fontId="3" fillId="0" borderId="0" xfId="0" applyFont="1" applyAlignment="1" applyProtection="1">
      <alignment vertical="top" wrapText="1"/>
      <protection locked="0"/>
    </xf>
    <xf numFmtId="181" fontId="0" fillId="0" borderId="0" xfId="0" applyNumberFormat="1" applyAlignment="1">
      <alignment vertical="top"/>
    </xf>
    <xf numFmtId="180" fontId="0" fillId="0" borderId="0" xfId="0" applyNumberFormat="1" applyAlignment="1" applyProtection="1">
      <alignment vertical="top"/>
      <protection locked="0"/>
    </xf>
    <xf numFmtId="182" fontId="0" fillId="0" borderId="0" xfId="0" applyNumberFormat="1" applyAlignment="1" applyProtection="1">
      <alignment vertical="top"/>
      <protection locked="0"/>
    </xf>
    <xf numFmtId="0" fontId="0" fillId="2" borderId="0" xfId="0" applyFill="1" applyBorder="1" applyAlignment="1" applyProtection="1">
      <alignment vertical="top"/>
      <protection locked="0"/>
    </xf>
    <xf numFmtId="0" fontId="0" fillId="4" borderId="0" xfId="0" applyFill="1" applyBorder="1" applyAlignment="1" applyProtection="1">
      <alignment vertical="top"/>
      <protection locked="0"/>
    </xf>
    <xf numFmtId="0" fontId="0" fillId="5" borderId="0" xfId="0" applyFill="1" applyBorder="1" applyAlignment="1" applyProtection="1">
      <alignment vertical="top"/>
      <protection locked="0"/>
    </xf>
    <xf numFmtId="176" fontId="0" fillId="5" borderId="0" xfId="0" applyNumberFormat="1" applyFill="1" applyBorder="1" applyAlignment="1" applyProtection="1">
      <alignment vertical="top"/>
      <protection locked="0"/>
    </xf>
    <xf numFmtId="49" fontId="0" fillId="5" borderId="0" xfId="0" applyNumberFormat="1" applyFill="1" applyBorder="1" applyAlignment="1" applyProtection="1">
      <alignment vertical="top" wrapText="1"/>
      <protection locked="0"/>
    </xf>
    <xf numFmtId="177" fontId="0" fillId="5" borderId="0" xfId="0" applyNumberFormat="1" applyFill="1" applyBorder="1" applyAlignment="1" applyProtection="1">
      <alignment vertical="top"/>
      <protection locked="0"/>
    </xf>
    <xf numFmtId="178" fontId="0" fillId="5" borderId="0" xfId="0" applyNumberFormat="1" applyFill="1" applyBorder="1" applyAlignment="1" applyProtection="1">
      <alignment vertical="top"/>
      <protection locked="0"/>
    </xf>
    <xf numFmtId="179" fontId="0" fillId="5" borderId="0" xfId="0" applyNumberFormat="1" applyFill="1" applyBorder="1" applyAlignment="1" applyProtection="1">
      <alignment vertical="top"/>
      <protection locked="0"/>
    </xf>
    <xf numFmtId="0" fontId="0" fillId="6" borderId="0" xfId="0" applyFill="1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6" borderId="0" xfId="0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center" vertical="center"/>
    </xf>
    <xf numFmtId="0" fontId="0" fillId="0" borderId="0" xfId="0" applyBorder="1" applyAlignment="1">
      <alignment vertical="top"/>
    </xf>
    <xf numFmtId="180" fontId="0" fillId="0" borderId="0" xfId="0" applyNumberFormat="1" applyBorder="1" applyAlignment="1">
      <alignment vertical="top"/>
    </xf>
    <xf numFmtId="182" fontId="0" fillId="0" borderId="0" xfId="0" applyNumberFormat="1" applyBorder="1" applyAlignment="1">
      <alignment vertical="top"/>
    </xf>
    <xf numFmtId="176" fontId="0" fillId="0" borderId="0" xfId="0" applyNumberFormat="1" applyBorder="1" applyAlignment="1" applyProtection="1">
      <alignment vertical="top"/>
      <protection locked="0"/>
    </xf>
    <xf numFmtId="49" fontId="0" fillId="0" borderId="0" xfId="0" applyNumberFormat="1" applyBorder="1" applyAlignment="1" applyProtection="1">
      <alignment vertical="top" wrapText="1"/>
      <protection locked="0"/>
    </xf>
    <xf numFmtId="177" fontId="0" fillId="0" borderId="0" xfId="0" applyNumberFormat="1" applyBorder="1" applyAlignment="1" applyProtection="1">
      <alignment vertical="top"/>
      <protection locked="0"/>
    </xf>
    <xf numFmtId="178" fontId="0" fillId="0" borderId="0" xfId="0" applyNumberFormat="1" applyBorder="1" applyAlignment="1" applyProtection="1">
      <alignment vertical="top"/>
      <protection locked="0"/>
    </xf>
    <xf numFmtId="179" fontId="0" fillId="0" borderId="0" xfId="0" applyNumberFormat="1" applyBorder="1" applyAlignment="1" applyProtection="1">
      <alignment vertical="top"/>
      <protection locked="0"/>
    </xf>
    <xf numFmtId="0" fontId="3" fillId="0" borderId="0" xfId="0" applyFont="1" applyBorder="1" applyAlignment="1" applyProtection="1">
      <alignment vertical="top"/>
      <protection locked="0"/>
    </xf>
    <xf numFmtId="0" fontId="0" fillId="0" borderId="0" xfId="0" applyBorder="1" applyAlignment="1">
      <alignment vertical="center"/>
    </xf>
    <xf numFmtId="0" fontId="0" fillId="0" borderId="0" xfId="0" applyBorder="1" applyAlignment="1" applyProtection="1">
      <alignment vertical="top" wrapText="1"/>
      <protection locked="0"/>
    </xf>
    <xf numFmtId="0" fontId="0" fillId="0" borderId="0" xfId="0" applyFill="1" applyAlignment="1" applyProtection="1">
      <alignment vertical="top"/>
      <protection locked="0"/>
    </xf>
    <xf numFmtId="0" fontId="0" fillId="0" borderId="0" xfId="0" applyFill="1" applyAlignment="1">
      <alignment vertical="top"/>
    </xf>
    <xf numFmtId="176" fontId="0" fillId="0" borderId="0" xfId="0" applyNumberFormat="1" applyFill="1" applyAlignment="1" applyProtection="1">
      <alignment vertical="top"/>
      <protection locked="0"/>
    </xf>
    <xf numFmtId="182" fontId="0" fillId="0" borderId="0" xfId="0" applyNumberFormat="1" applyFill="1" applyAlignment="1" applyProtection="1">
      <alignment vertical="top"/>
      <protection locked="0"/>
    </xf>
    <xf numFmtId="49" fontId="0" fillId="0" borderId="0" xfId="0" applyNumberFormat="1" applyFill="1" applyAlignment="1" applyProtection="1">
      <alignment vertical="top" wrapText="1"/>
      <protection locked="0"/>
    </xf>
    <xf numFmtId="177" fontId="0" fillId="0" borderId="0" xfId="0" applyNumberFormat="1" applyFill="1" applyAlignment="1" applyProtection="1">
      <alignment vertical="top"/>
      <protection locked="0"/>
    </xf>
    <xf numFmtId="178" fontId="0" fillId="0" borderId="0" xfId="0" applyNumberFormat="1" applyFill="1" applyAlignment="1" applyProtection="1">
      <alignment vertical="top"/>
      <protection locked="0"/>
    </xf>
    <xf numFmtId="179" fontId="0" fillId="0" borderId="0" xfId="0" applyNumberFormat="1" applyFill="1" applyAlignment="1" applyProtection="1">
      <alignment vertical="top"/>
      <protection locked="0"/>
    </xf>
    <xf numFmtId="0" fontId="0" fillId="0" borderId="0" xfId="0" applyFill="1" applyAlignment="1" applyProtection="1">
      <alignment vertical="center"/>
      <protection locked="0"/>
    </xf>
    <xf numFmtId="181" fontId="0" fillId="0" borderId="0" xfId="0" applyNumberFormat="1" applyFill="1" applyAlignment="1">
      <alignment vertical="top"/>
    </xf>
    <xf numFmtId="0" fontId="3" fillId="0" borderId="0" xfId="0" applyFont="1" applyFill="1" applyAlignment="1" applyProtection="1">
      <alignment vertical="top"/>
      <protection locked="0"/>
    </xf>
    <xf numFmtId="0" fontId="0" fillId="0" borderId="0" xfId="0" applyFill="1" applyAlignment="1">
      <alignment vertical="center"/>
    </xf>
    <xf numFmtId="0" fontId="0" fillId="0" borderId="0" xfId="0" applyFill="1" applyAlignment="1" applyProtection="1">
      <alignment vertical="top" wrapText="1"/>
      <protection locked="0"/>
    </xf>
    <xf numFmtId="179" fontId="0" fillId="2" borderId="0" xfId="0" applyNumberFormat="1" applyFill="1" applyAlignment="1">
      <alignment vertical="top"/>
    </xf>
    <xf numFmtId="49" fontId="0" fillId="3" borderId="0" xfId="0" applyNumberFormat="1" applyFill="1" applyAlignment="1">
      <alignment vertical="top"/>
    </xf>
  </cellXfs>
  <cellStyles count="1">
    <cellStyle name="標準" xfId="0" builtinId="0"/>
  </cellStyles>
  <dxfs count="14">
    <dxf>
      <font>
        <color theme="0" tint="-0.14996795556505021"/>
      </font>
    </dxf>
    <dxf>
      <font>
        <color theme="0"/>
      </font>
      <fill>
        <patternFill patternType="solid">
          <fgColor auto="1"/>
          <bgColor rgb="FFFF0000"/>
        </patternFill>
      </fill>
    </dxf>
    <dxf>
      <font>
        <color theme="0" tint="-0.14996795556505021"/>
      </font>
    </dxf>
    <dxf>
      <font>
        <color theme="0"/>
      </font>
      <fill>
        <patternFill patternType="solid">
          <fgColor auto="1"/>
          <bgColor rgb="FFFF0000"/>
        </patternFill>
      </fill>
    </dxf>
    <dxf>
      <font>
        <color theme="0" tint="-0.14996795556505021"/>
      </font>
    </dxf>
    <dxf>
      <font>
        <color theme="0"/>
      </font>
      <fill>
        <patternFill patternType="solid">
          <fgColor auto="1"/>
          <bgColor rgb="FFFF0000"/>
        </patternFill>
      </fill>
    </dxf>
    <dxf>
      <font>
        <color theme="0" tint="-0.24994659260841701"/>
      </font>
    </dxf>
    <dxf>
      <fill>
        <patternFill patternType="solid">
          <fgColor auto="1"/>
          <bgColor rgb="FFFFC000"/>
        </patternFill>
      </fill>
    </dxf>
    <dxf>
      <font>
        <color theme="0" tint="-0.34998626667073579"/>
      </font>
    </dxf>
    <dxf>
      <fill>
        <patternFill patternType="solid">
          <fgColor auto="1"/>
          <bgColor theme="9" tint="0.39994506668294322"/>
        </patternFill>
      </fill>
    </dxf>
    <dxf>
      <fill>
        <patternFill patternType="solid">
          <fgColor auto="1"/>
          <bgColor rgb="FFFFFF99"/>
        </patternFill>
      </fill>
    </dxf>
    <dxf>
      <fill>
        <patternFill patternType="solid">
          <fgColor auto="1"/>
          <bgColor rgb="FFDDEBF7"/>
        </patternFill>
      </fill>
    </dxf>
    <dxf>
      <fill>
        <patternFill patternType="solid">
          <fgColor auto="1"/>
          <bgColor rgb="FFCCFF99"/>
        </patternFill>
      </fill>
    </dxf>
    <dxf>
      <fill>
        <patternFill patternType="solid">
          <fgColor auto="1"/>
          <bgColor rgb="FFBDD7E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1"/>
  <sheetViews>
    <sheetView tabSelected="1" zoomScale="85" zoomScaleNormal="85" workbookViewId="0">
      <pane xSplit="3660" ySplit="2520" topLeftCell="C8"/>
      <selection pane="topRight" activeCell="E4" sqref="E4"/>
      <selection pane="bottomLeft" activeCell="A11" sqref="A11:XFD31"/>
      <selection pane="bottomRight" activeCell="G37" sqref="G37"/>
    </sheetView>
  </sheetViews>
  <sheetFormatPr defaultColWidth="9.21875" defaultRowHeight="14.4" outlineLevelCol="1" x14ac:dyDescent="0.3"/>
  <cols>
    <col min="1" max="1" width="15.77734375" style="1" customWidth="1"/>
    <col min="2" max="2" width="17.21875" style="1" customWidth="1"/>
    <col min="3" max="5" width="14.77734375" style="1" customWidth="1"/>
    <col min="6" max="6" width="28.21875" style="1" customWidth="1"/>
    <col min="7" max="7" width="23" style="2" customWidth="1"/>
    <col min="8" max="8" width="22.109375" style="2" customWidth="1"/>
    <col min="9" max="9" width="14.77734375" style="1" customWidth="1"/>
    <col min="10" max="10" width="18.5546875" style="1" customWidth="1"/>
    <col min="11" max="12" width="16.77734375" style="3" hidden="1" customWidth="1" outlineLevel="1"/>
    <col min="13" max="13" width="50.77734375" style="3" hidden="1" customWidth="1" outlineLevel="1"/>
    <col min="14" max="14" width="2" style="3" hidden="1" customWidth="1" outlineLevel="1"/>
    <col min="15" max="15" width="14.77734375" style="4" customWidth="1" collapsed="1"/>
    <col min="16" max="16" width="14.77734375" style="5" customWidth="1"/>
    <col min="17" max="17" width="22.77734375" style="6" customWidth="1"/>
    <col min="18" max="18" width="28.44140625" style="6" customWidth="1"/>
    <col min="19" max="19" width="14.77734375" style="1" customWidth="1"/>
    <col min="20" max="21" width="50.77734375" style="3" hidden="1" customWidth="1" outlineLevel="1"/>
    <col min="22" max="22" width="36.77734375" style="3" hidden="1" customWidth="1" outlineLevel="1"/>
    <col min="23" max="23" width="50.77734375" style="3" hidden="1" customWidth="1" outlineLevel="1"/>
    <col min="24" max="24" width="10.77734375" style="1" customWidth="1" collapsed="1"/>
    <col min="25" max="25" width="48.77734375" style="1" customWidth="1"/>
    <col min="26" max="26" width="2.77734375" style="1" customWidth="1"/>
    <col min="27" max="29" width="10.77734375" style="32" customWidth="1"/>
    <col min="30" max="30" width="55.5546875" style="1" customWidth="1"/>
    <col min="31" max="31" width="9.21875" style="1" customWidth="1"/>
    <col min="32" max="16384" width="9.21875" style="1"/>
  </cols>
  <sheetData>
    <row r="1" spans="1:30" s="7" customFormat="1" x14ac:dyDescent="0.3">
      <c r="A1" s="8" t="s">
        <v>0</v>
      </c>
      <c r="B1" s="22" t="s">
        <v>1</v>
      </c>
      <c r="C1" s="8" t="s">
        <v>2</v>
      </c>
      <c r="D1" s="22" t="s">
        <v>3</v>
      </c>
      <c r="E1" s="74" t="s">
        <v>85</v>
      </c>
      <c r="F1" s="75" t="s">
        <v>86</v>
      </c>
      <c r="G1" s="9"/>
      <c r="H1" s="9"/>
      <c r="K1" s="23"/>
      <c r="L1" s="23"/>
      <c r="M1" s="23"/>
      <c r="N1" s="23"/>
      <c r="O1" s="10"/>
      <c r="P1" s="11"/>
      <c r="Q1" s="12"/>
      <c r="R1" s="12"/>
      <c r="T1" s="23"/>
      <c r="U1" s="23"/>
      <c r="V1" s="23"/>
      <c r="W1" s="23"/>
      <c r="AA1" s="31"/>
      <c r="AB1" s="31"/>
      <c r="AC1" s="31"/>
    </row>
    <row r="2" spans="1:30" s="7" customFormat="1" x14ac:dyDescent="0.3">
      <c r="A2" s="8" t="s">
        <v>4</v>
      </c>
      <c r="B2" s="33"/>
      <c r="G2" s="9"/>
      <c r="H2" s="9"/>
      <c r="K2" s="23"/>
      <c r="L2" s="23"/>
      <c r="M2" s="23"/>
      <c r="N2" s="23"/>
      <c r="O2" s="10"/>
      <c r="P2" s="11"/>
      <c r="Q2" s="12"/>
      <c r="R2" s="12"/>
      <c r="T2" s="23"/>
      <c r="U2" s="23"/>
      <c r="V2" s="23"/>
      <c r="W2" s="23"/>
      <c r="AA2" s="31"/>
      <c r="AB2" s="31"/>
      <c r="AC2" s="31"/>
    </row>
    <row r="3" spans="1:30" s="7" customFormat="1" x14ac:dyDescent="0.3">
      <c r="A3" s="24" t="s">
        <v>5</v>
      </c>
      <c r="B3" s="25" t="s">
        <v>6</v>
      </c>
      <c r="C3" s="21" t="s">
        <v>7</v>
      </c>
      <c r="D3" s="21" t="s">
        <v>8</v>
      </c>
      <c r="E3" s="21" t="s">
        <v>9</v>
      </c>
      <c r="F3" s="21" t="s">
        <v>10</v>
      </c>
      <c r="G3" s="26" t="s">
        <v>11</v>
      </c>
      <c r="H3" s="26" t="s">
        <v>12</v>
      </c>
      <c r="I3" s="21" t="s">
        <v>13</v>
      </c>
      <c r="J3" s="21" t="s">
        <v>14</v>
      </c>
      <c r="K3" s="27" t="s">
        <v>15</v>
      </c>
      <c r="L3" s="27" t="s">
        <v>16</v>
      </c>
      <c r="M3" s="27" t="s">
        <v>17</v>
      </c>
      <c r="N3" s="27" t="s">
        <v>18</v>
      </c>
      <c r="O3" s="28" t="s">
        <v>19</v>
      </c>
      <c r="P3" s="29" t="s">
        <v>20</v>
      </c>
      <c r="Q3" s="30" t="s">
        <v>21</v>
      </c>
      <c r="R3" s="30" t="s">
        <v>22</v>
      </c>
      <c r="S3" s="21" t="s">
        <v>23</v>
      </c>
      <c r="T3" s="27" t="s">
        <v>24</v>
      </c>
      <c r="U3" s="27" t="s">
        <v>25</v>
      </c>
      <c r="V3" s="27" t="s">
        <v>26</v>
      </c>
      <c r="W3" s="27" t="s">
        <v>27</v>
      </c>
      <c r="X3" s="27" t="s">
        <v>28</v>
      </c>
      <c r="Y3" s="27" t="s">
        <v>29</v>
      </c>
      <c r="AA3" s="31"/>
      <c r="AB3" s="31"/>
      <c r="AC3" s="31"/>
    </row>
    <row r="4" spans="1:30" s="7" customFormat="1" x14ac:dyDescent="0.3">
      <c r="A4" s="24" t="s">
        <v>30</v>
      </c>
      <c r="B4" s="25" t="s">
        <v>31</v>
      </c>
      <c r="C4" s="21" t="s">
        <v>32</v>
      </c>
      <c r="D4" s="21" t="s">
        <v>33</v>
      </c>
      <c r="E4" s="21" t="s">
        <v>34</v>
      </c>
      <c r="F4" s="21" t="s">
        <v>35</v>
      </c>
      <c r="G4" s="26" t="s">
        <v>36</v>
      </c>
      <c r="H4" s="26" t="s">
        <v>37</v>
      </c>
      <c r="I4" s="21" t="s">
        <v>38</v>
      </c>
      <c r="J4" s="21" t="s">
        <v>39</v>
      </c>
      <c r="K4" s="27" t="s">
        <v>40</v>
      </c>
      <c r="L4" s="27" t="s">
        <v>41</v>
      </c>
      <c r="M4" s="27" t="s">
        <v>42</v>
      </c>
      <c r="N4" s="27" t="s">
        <v>43</v>
      </c>
      <c r="O4" s="28" t="s">
        <v>44</v>
      </c>
      <c r="P4" s="29" t="s">
        <v>45</v>
      </c>
      <c r="Q4" s="30" t="s">
        <v>46</v>
      </c>
      <c r="R4" s="30" t="s">
        <v>47</v>
      </c>
      <c r="S4" s="21" t="s">
        <v>48</v>
      </c>
      <c r="T4" s="27" t="s">
        <v>49</v>
      </c>
      <c r="U4" s="27" t="s">
        <v>50</v>
      </c>
      <c r="V4" s="27" t="s">
        <v>51</v>
      </c>
      <c r="W4" s="27" t="s">
        <v>52</v>
      </c>
      <c r="X4" s="21"/>
      <c r="Y4" s="21"/>
      <c r="AA4" s="31"/>
      <c r="AB4" s="31"/>
      <c r="AC4" s="31"/>
    </row>
    <row r="5" spans="1:30" s="7" customFormat="1" x14ac:dyDescent="0.3">
      <c r="A5" s="13" t="s">
        <v>53</v>
      </c>
      <c r="B5" s="14" t="s">
        <v>54</v>
      </c>
      <c r="C5" s="15" t="s">
        <v>55</v>
      </c>
      <c r="D5" s="15" t="s">
        <v>56</v>
      </c>
      <c r="E5" s="15" t="s">
        <v>54</v>
      </c>
      <c r="F5" s="15" t="s">
        <v>57</v>
      </c>
      <c r="G5" s="16" t="s">
        <v>58</v>
      </c>
      <c r="H5" s="16" t="s">
        <v>58</v>
      </c>
      <c r="I5" s="15" t="s">
        <v>59</v>
      </c>
      <c r="J5" s="15" t="s">
        <v>60</v>
      </c>
      <c r="K5" s="17" t="s">
        <v>61</v>
      </c>
      <c r="L5" s="17" t="s">
        <v>62</v>
      </c>
      <c r="M5" s="17" t="s">
        <v>63</v>
      </c>
      <c r="N5" s="17" t="s">
        <v>64</v>
      </c>
      <c r="O5" s="18" t="s">
        <v>65</v>
      </c>
      <c r="P5" s="19" t="s">
        <v>66</v>
      </c>
      <c r="Q5" s="20" t="s">
        <v>67</v>
      </c>
      <c r="R5" s="20" t="s">
        <v>68</v>
      </c>
      <c r="S5" s="15" t="s">
        <v>69</v>
      </c>
      <c r="T5" s="17" t="s">
        <v>83</v>
      </c>
      <c r="U5" s="17" t="s">
        <v>84</v>
      </c>
      <c r="V5" s="17" t="s">
        <v>70</v>
      </c>
      <c r="W5" s="17" t="s">
        <v>71</v>
      </c>
      <c r="X5" s="21"/>
      <c r="Y5" s="21"/>
      <c r="AA5" s="31"/>
      <c r="AB5" s="31"/>
      <c r="AC5" s="31"/>
    </row>
    <row r="6" spans="1:30" s="7" customFormat="1" x14ac:dyDescent="0.3">
      <c r="A6" s="8" t="s">
        <v>72</v>
      </c>
      <c r="B6" s="14" t="s">
        <v>73</v>
      </c>
      <c r="C6" s="15" t="s">
        <v>74</v>
      </c>
      <c r="D6" s="15" t="s">
        <v>74</v>
      </c>
      <c r="E6" s="15" t="s">
        <v>74</v>
      </c>
      <c r="F6" s="15" t="s">
        <v>74</v>
      </c>
      <c r="G6" s="16" t="s">
        <v>74</v>
      </c>
      <c r="H6" s="16" t="s">
        <v>74</v>
      </c>
      <c r="I6" s="15" t="s">
        <v>74</v>
      </c>
      <c r="J6" s="15" t="s">
        <v>74</v>
      </c>
      <c r="K6" s="17" t="s">
        <v>74</v>
      </c>
      <c r="L6" s="17" t="s">
        <v>74</v>
      </c>
      <c r="M6" s="17" t="s">
        <v>74</v>
      </c>
      <c r="N6" s="17" t="s">
        <v>74</v>
      </c>
      <c r="O6" s="18" t="s">
        <v>74</v>
      </c>
      <c r="P6" s="19" t="s">
        <v>74</v>
      </c>
      <c r="Q6" s="20" t="s">
        <v>74</v>
      </c>
      <c r="R6" s="20" t="s">
        <v>74</v>
      </c>
      <c r="S6" s="15" t="s">
        <v>74</v>
      </c>
      <c r="T6" s="17" t="s">
        <v>74</v>
      </c>
      <c r="U6" s="17" t="s">
        <v>74</v>
      </c>
      <c r="V6" s="17" t="s">
        <v>74</v>
      </c>
      <c r="W6" s="17" t="s">
        <v>74</v>
      </c>
      <c r="X6" s="21"/>
      <c r="Y6" s="21"/>
      <c r="AA6" s="31"/>
      <c r="AB6" s="31"/>
      <c r="AC6" s="31"/>
    </row>
    <row r="7" spans="1:30" s="46" customFormat="1" ht="18" x14ac:dyDescent="0.3">
      <c r="A7" s="37" t="s">
        <v>75</v>
      </c>
      <c r="B7" s="38" t="s">
        <v>76</v>
      </c>
      <c r="C7" s="39" t="s">
        <v>76</v>
      </c>
      <c r="D7" s="39" t="s">
        <v>76</v>
      </c>
      <c r="E7" s="39" t="s">
        <v>76</v>
      </c>
      <c r="F7" s="39" t="s">
        <v>76</v>
      </c>
      <c r="G7" s="40" t="s">
        <v>76</v>
      </c>
      <c r="H7" s="40" t="s">
        <v>76</v>
      </c>
      <c r="I7" s="39" t="s">
        <v>76</v>
      </c>
      <c r="J7" s="39" t="s">
        <v>76</v>
      </c>
      <c r="K7" s="41" t="s">
        <v>76</v>
      </c>
      <c r="L7" s="41" t="s">
        <v>76</v>
      </c>
      <c r="M7" s="41" t="s">
        <v>76</v>
      </c>
      <c r="N7" s="41" t="s">
        <v>76</v>
      </c>
      <c r="O7" s="42" t="s">
        <v>76</v>
      </c>
      <c r="P7" s="43" t="s">
        <v>76</v>
      </c>
      <c r="Q7" s="44" t="s">
        <v>76</v>
      </c>
      <c r="R7" s="44" t="s">
        <v>76</v>
      </c>
      <c r="S7" s="39" t="s">
        <v>76</v>
      </c>
      <c r="T7" s="41" t="s">
        <v>76</v>
      </c>
      <c r="U7" s="41" t="s">
        <v>76</v>
      </c>
      <c r="V7" s="41" t="s">
        <v>76</v>
      </c>
      <c r="W7" s="41" t="s">
        <v>76</v>
      </c>
      <c r="X7" s="45"/>
      <c r="Y7" s="45"/>
      <c r="AA7" s="47" t="s">
        <v>78</v>
      </c>
      <c r="AB7" s="48" t="s">
        <v>79</v>
      </c>
      <c r="AC7" s="48" t="s">
        <v>80</v>
      </c>
      <c r="AD7" s="49" t="s">
        <v>77</v>
      </c>
    </row>
    <row r="8" spans="1:30" s="46" customFormat="1" x14ac:dyDescent="0.3">
      <c r="A8" s="50"/>
      <c r="B8" s="46">
        <f t="shared" ref="B8:B27" si="0">ROW(B8)-7</f>
        <v>1</v>
      </c>
      <c r="C8" s="46">
        <f ca="1">ROUND(255-RAND()*255, 0)</f>
        <v>186</v>
      </c>
      <c r="D8" s="46">
        <f ca="1">0+ROUND(RAND()*32767,0)*(IF(RAND()&gt;0.5,1,-1))</f>
        <v>-21793</v>
      </c>
      <c r="E8" s="46">
        <f ca="1">0+ROUND(RAND()*2147483647,0)*(IF(RAND()&gt;0.5,1,-1))</f>
        <v>1469968567</v>
      </c>
      <c r="F8" s="51">
        <f ca="1">0+ROUND(RAND()*9223372036854770000,0)*(IF(RAND()&gt;0.5,1,-1))</f>
        <v>-3.3158071260370898E+18</v>
      </c>
      <c r="G8" s="52">
        <f ca="1">0+(ROUND(RAND()*99999999999999,0)*(IF(RAND()&gt;0.5,1,-1)))+ROUND(RAND(), 4)</f>
        <v>50627062117692.445</v>
      </c>
      <c r="H8" s="53">
        <f ca="1">0+(ROUND(RAND()*99999999999999,0)*(IF(RAND()&gt;0.5,1,-1)))+ROUND(RAND(), 4)</f>
        <v>-76683796637435.828</v>
      </c>
      <c r="I8" s="46">
        <f ca="1">PI()*RAND()*100</f>
        <v>144.16206000481122</v>
      </c>
      <c r="J8" s="46">
        <f ca="1">PI()*RAND()*10000000000+RAND()</f>
        <v>1167674932.9043303</v>
      </c>
      <c r="K8" s="54" t="s">
        <v>81</v>
      </c>
      <c r="L8" s="54" t="s">
        <v>81</v>
      </c>
      <c r="M8" s="54" t="s">
        <v>81</v>
      </c>
      <c r="N8" s="54" t="s">
        <v>81</v>
      </c>
      <c r="O8" s="55">
        <f ca="1">TODAY()</f>
        <v>46269</v>
      </c>
      <c r="P8" s="56">
        <f ca="1">NOW()</f>
        <v>46269.047565856483</v>
      </c>
      <c r="Q8" s="57">
        <f ca="1">TODAY()+(RAND()*100*IF(RAND()&gt;5, 1, -1))</f>
        <v>46194.048319987363</v>
      </c>
      <c r="R8" s="57" t="str">
        <f ca="1">TEXT(TODAY()+(RAND()*100*IF(RAND()&gt;5, 1, -1)), "yyyy/MM/dd HH:mm:ss")&amp;".9999999"</f>
        <v>2026/07/13 12:29:24.9999999</v>
      </c>
      <c r="S8" s="46" t="b">
        <f ca="1">IF(RAND()&gt;0.5, TRUE, FALSE)</f>
        <v>1</v>
      </c>
      <c r="T8" s="54" t="s">
        <v>81</v>
      </c>
      <c r="U8" s="54" t="s">
        <v>81</v>
      </c>
      <c r="V8" s="54" t="s">
        <v>81</v>
      </c>
      <c r="W8" s="54" t="s">
        <v>81</v>
      </c>
      <c r="X8" s="58"/>
      <c r="Y8" s="46" t="s">
        <v>82</v>
      </c>
      <c r="AA8" s="59" t="b">
        <f t="shared" ref="AA8:AA27" si="1">NOT(ISERROR(FIND("エラー",A8, 1)))</f>
        <v>0</v>
      </c>
      <c r="AB8" s="59" t="str">
        <f t="shared" ref="AB8:AB27" si="2">IF(X8&lt;&gt;"", NOT(X8), "")</f>
        <v/>
      </c>
      <c r="AC8" s="59" t="str">
        <f t="shared" ref="AC8:AC27" si="3">IF(AND(AA8&lt;&gt;"", AB8&lt;&gt;""), AA8&lt;&gt;AB8, "")</f>
        <v/>
      </c>
      <c r="AD8" s="60"/>
    </row>
    <row r="9" spans="1:30" x14ac:dyDescent="0.3">
      <c r="B9" s="1">
        <f t="shared" si="0"/>
        <v>2</v>
      </c>
      <c r="C9" s="1">
        <f t="shared" ref="C9:C27" ca="1" si="4">ROUND(255-RAND()*255, 0)</f>
        <v>13</v>
      </c>
      <c r="D9" s="7">
        <f t="shared" ref="D9:D27" ca="1" si="5">0+ROUND(RAND()*32767,0)*(IF(RAND()&gt;0.5,1,-1))</f>
        <v>6144</v>
      </c>
      <c r="E9" s="1">
        <f t="shared" ref="E9:E27" ca="1" si="6">0+ROUND(RAND()*2147483647,0)*(IF(RAND()&gt;0.5,1,-1))</f>
        <v>-17485035</v>
      </c>
      <c r="F9" s="34">
        <f t="shared" ref="F9:F27" ca="1" si="7">0+ROUND(RAND()*9223372036854770000,0)*(IF(RAND()&gt;0.5,1,-1))</f>
        <v>1.07500650220571E+18</v>
      </c>
      <c r="G9" s="2">
        <f t="shared" ref="G9:H24" ca="1" si="8">0+(ROUND(RAND()*99999999999999,0)*(IF(RAND()&gt;0.5,1,-1)))+ROUND(RAND(), 4)</f>
        <v>73150411496691.047</v>
      </c>
      <c r="H9" s="2">
        <f t="shared" ca="1" si="8"/>
        <v>-5968990809418.0654</v>
      </c>
      <c r="I9" s="1">
        <f t="shared" ref="I9:I27" ca="1" si="9">PI()*RAND()*100</f>
        <v>75.495917747555055</v>
      </c>
      <c r="J9" s="36">
        <f t="shared" ref="J9:J27" ca="1" si="10">PI()*RAND()*10000000000+RAND()</f>
        <v>16709180032.107279</v>
      </c>
      <c r="K9" s="3" t="s">
        <v>81</v>
      </c>
      <c r="L9" s="3" t="s">
        <v>81</v>
      </c>
      <c r="M9" s="3" t="s">
        <v>81</v>
      </c>
      <c r="N9" s="3" t="s">
        <v>81</v>
      </c>
      <c r="O9" s="4">
        <f t="shared" ref="O9:O27" ca="1" si="11">TODAY()</f>
        <v>46269</v>
      </c>
      <c r="P9" s="5">
        <f t="shared" ref="P9:P27" ca="1" si="12">NOW()</f>
        <v>46269.047565856483</v>
      </c>
      <c r="Q9" s="6">
        <f t="shared" ref="Q9:Q27" ca="1" si="13">TODAY()+(RAND()*100*IF(RAND()&gt;5, 1, -1))</f>
        <v>46200.422618561613</v>
      </c>
      <c r="R9" s="6" t="str">
        <f t="shared" ref="R9:R27" ca="1" si="14">TEXT(TODAY()+(RAND()*100*IF(RAND()&gt;5, 1, -1)), "yyyy/MM/dd HH:mm:ss")&amp;".9999999"</f>
        <v>2026/06/06 00:24:13.9999999</v>
      </c>
      <c r="S9" s="1" t="b">
        <f t="shared" ref="S9:S27" ca="1" si="15">IF(RAND()&gt;0.5, TRUE, FALSE)</f>
        <v>1</v>
      </c>
      <c r="T9" s="3" t="s">
        <v>81</v>
      </c>
      <c r="U9" s="3" t="s">
        <v>81</v>
      </c>
      <c r="V9" s="3" t="s">
        <v>81</v>
      </c>
      <c r="W9" s="3" t="s">
        <v>81</v>
      </c>
      <c r="Y9" s="1" t="s">
        <v>82</v>
      </c>
      <c r="AA9" s="32" t="b">
        <f t="shared" si="1"/>
        <v>0</v>
      </c>
      <c r="AB9" s="32" t="str">
        <f t="shared" si="2"/>
        <v/>
      </c>
      <c r="AC9" s="32" t="str">
        <f t="shared" si="3"/>
        <v/>
      </c>
    </row>
    <row r="10" spans="1:30" x14ac:dyDescent="0.3">
      <c r="A10" s="35"/>
      <c r="B10" s="1">
        <f t="shared" si="0"/>
        <v>3</v>
      </c>
      <c r="C10" s="1">
        <f t="shared" ca="1" si="4"/>
        <v>64</v>
      </c>
      <c r="D10" s="1">
        <f t="shared" ca="1" si="5"/>
        <v>-9632</v>
      </c>
      <c r="E10" s="1">
        <f t="shared" ca="1" si="6"/>
        <v>669958973</v>
      </c>
      <c r="F10" s="7">
        <f t="shared" ca="1" si="7"/>
        <v>-4.5586370592540099E+18</v>
      </c>
      <c r="G10" s="2">
        <f t="shared" ca="1" si="8"/>
        <v>-93531849295883.266</v>
      </c>
      <c r="H10" s="2">
        <f t="shared" ca="1" si="8"/>
        <v>-34397521696688.977</v>
      </c>
      <c r="I10" s="1">
        <f t="shared" ca="1" si="9"/>
        <v>312.83021715475689</v>
      </c>
      <c r="J10" s="36">
        <f t="shared" ca="1" si="10"/>
        <v>14332068817.696375</v>
      </c>
      <c r="K10" s="3" t="s">
        <v>81</v>
      </c>
      <c r="L10" s="3" t="s">
        <v>81</v>
      </c>
      <c r="M10" s="3" t="s">
        <v>81</v>
      </c>
      <c r="N10" s="3" t="s">
        <v>81</v>
      </c>
      <c r="O10" s="4">
        <f t="shared" ca="1" si="11"/>
        <v>46269</v>
      </c>
      <c r="P10" s="5">
        <f t="shared" ca="1" si="12"/>
        <v>46269.047565856483</v>
      </c>
      <c r="Q10" s="6">
        <f t="shared" ca="1" si="13"/>
        <v>46229.052844898208</v>
      </c>
      <c r="R10" s="6" t="str">
        <f t="shared" ca="1" si="14"/>
        <v>2026/09/01 14:10:04.9999999</v>
      </c>
      <c r="S10" s="1" t="b">
        <f t="shared" ca="1" si="15"/>
        <v>1</v>
      </c>
      <c r="T10" s="3" t="s">
        <v>81</v>
      </c>
      <c r="U10" s="3" t="s">
        <v>81</v>
      </c>
      <c r="V10" s="3" t="s">
        <v>81</v>
      </c>
      <c r="W10" s="3" t="s">
        <v>81</v>
      </c>
      <c r="Y10" s="1" t="s">
        <v>82</v>
      </c>
      <c r="AA10" s="32" t="b">
        <f t="shared" si="1"/>
        <v>0</v>
      </c>
      <c r="AB10" s="32" t="str">
        <f t="shared" si="2"/>
        <v/>
      </c>
      <c r="AC10" s="32" t="str">
        <f t="shared" si="3"/>
        <v/>
      </c>
    </row>
    <row r="11" spans="1:30" s="61" customFormat="1" x14ac:dyDescent="0.3">
      <c r="B11" s="61">
        <f t="shared" si="0"/>
        <v>4</v>
      </c>
      <c r="C11" s="61">
        <f t="shared" ca="1" si="4"/>
        <v>210</v>
      </c>
      <c r="D11" s="61">
        <f t="shared" ca="1" si="5"/>
        <v>4623</v>
      </c>
      <c r="E11" s="61">
        <f t="shared" ca="1" si="6"/>
        <v>417722847</v>
      </c>
      <c r="F11" s="62">
        <f t="shared" ca="1" si="7"/>
        <v>5.0582500768661596E+18</v>
      </c>
      <c r="G11" s="63">
        <f t="shared" ca="1" si="8"/>
        <v>-6810060041718.7139</v>
      </c>
      <c r="H11" s="63">
        <f t="shared" ca="1" si="8"/>
        <v>-22174403654745.129</v>
      </c>
      <c r="I11" s="61">
        <f t="shared" ca="1" si="9"/>
        <v>49.632283575978164</v>
      </c>
      <c r="J11" s="64">
        <f t="shared" ca="1" si="10"/>
        <v>8900109031.5338421</v>
      </c>
      <c r="K11" s="65" t="s">
        <v>81</v>
      </c>
      <c r="L11" s="65" t="s">
        <v>81</v>
      </c>
      <c r="M11" s="65" t="s">
        <v>81</v>
      </c>
      <c r="N11" s="65" t="s">
        <v>81</v>
      </c>
      <c r="O11" s="66">
        <f t="shared" ca="1" si="11"/>
        <v>46269</v>
      </c>
      <c r="P11" s="67">
        <f t="shared" ca="1" si="12"/>
        <v>46269.047565856483</v>
      </c>
      <c r="Q11" s="68">
        <f t="shared" ca="1" si="13"/>
        <v>46225.141076616106</v>
      </c>
      <c r="R11" s="68" t="str">
        <f t="shared" ca="1" si="14"/>
        <v>2026/07/17 04:59:16.9999999</v>
      </c>
      <c r="S11" s="61" t="b">
        <f t="shared" ca="1" si="15"/>
        <v>0</v>
      </c>
      <c r="T11" s="65" t="s">
        <v>81</v>
      </c>
      <c r="U11" s="65" t="s">
        <v>81</v>
      </c>
      <c r="V11" s="65" t="s">
        <v>81</v>
      </c>
      <c r="W11" s="65" t="s">
        <v>81</v>
      </c>
      <c r="Y11" s="61" t="s">
        <v>82</v>
      </c>
      <c r="AA11" s="69" t="b">
        <f t="shared" si="1"/>
        <v>0</v>
      </c>
      <c r="AB11" s="69" t="str">
        <f t="shared" si="2"/>
        <v/>
      </c>
      <c r="AC11" s="69" t="str">
        <f t="shared" si="3"/>
        <v/>
      </c>
    </row>
    <row r="12" spans="1:30" s="61" customFormat="1" x14ac:dyDescent="0.3">
      <c r="A12" s="62"/>
      <c r="B12" s="61">
        <f t="shared" si="0"/>
        <v>5</v>
      </c>
      <c r="C12" s="62">
        <f t="shared" ca="1" si="4"/>
        <v>159</v>
      </c>
      <c r="D12" s="62">
        <f t="shared" ca="1" si="5"/>
        <v>22466</v>
      </c>
      <c r="E12" s="62">
        <f t="shared" ca="1" si="6"/>
        <v>-1578729339</v>
      </c>
      <c r="F12" s="70">
        <f t="shared" ca="1" si="7"/>
        <v>3.8938961610966298E+18</v>
      </c>
      <c r="G12" s="62">
        <f t="shared" ca="1" si="8"/>
        <v>-15140571862082.111</v>
      </c>
      <c r="H12" s="62">
        <f t="shared" ca="1" si="8"/>
        <v>-66878602896658.844</v>
      </c>
      <c r="I12" s="62">
        <f t="shared" ca="1" si="9"/>
        <v>69.885557452778485</v>
      </c>
      <c r="J12" s="62">
        <f t="shared" ca="1" si="10"/>
        <v>25853000670.66217</v>
      </c>
      <c r="K12" s="62" t="s">
        <v>81</v>
      </c>
      <c r="L12" s="62" t="s">
        <v>81</v>
      </c>
      <c r="M12" s="62" t="s">
        <v>81</v>
      </c>
      <c r="N12" s="62" t="s">
        <v>81</v>
      </c>
      <c r="O12" s="66">
        <f t="shared" ca="1" si="11"/>
        <v>46269</v>
      </c>
      <c r="P12" s="67">
        <f t="shared" ca="1" si="12"/>
        <v>46269.047565856483</v>
      </c>
      <c r="Q12" s="68">
        <f t="shared" ca="1" si="13"/>
        <v>46197.020433621285</v>
      </c>
      <c r="R12" s="62" t="str">
        <f t="shared" ca="1" si="14"/>
        <v>2026/08/06 08:01:57.9999999</v>
      </c>
      <c r="S12" s="62" t="b">
        <f t="shared" ca="1" si="15"/>
        <v>0</v>
      </c>
      <c r="T12" s="62" t="s">
        <v>81</v>
      </c>
      <c r="U12" s="62" t="s">
        <v>81</v>
      </c>
      <c r="V12" s="62" t="s">
        <v>81</v>
      </c>
      <c r="W12" s="62" t="s">
        <v>81</v>
      </c>
      <c r="X12" s="71"/>
      <c r="Y12" s="61" t="s">
        <v>82</v>
      </c>
      <c r="AA12" s="72" t="b">
        <f t="shared" si="1"/>
        <v>0</v>
      </c>
      <c r="AB12" s="72" t="str">
        <f t="shared" si="2"/>
        <v/>
      </c>
      <c r="AC12" s="72" t="str">
        <f t="shared" si="3"/>
        <v/>
      </c>
      <c r="AD12" s="73"/>
    </row>
    <row r="13" spans="1:30" s="61" customFormat="1" x14ac:dyDescent="0.3">
      <c r="A13" s="62"/>
      <c r="B13" s="61">
        <f t="shared" si="0"/>
        <v>6</v>
      </c>
      <c r="C13" s="62">
        <f t="shared" ca="1" si="4"/>
        <v>110</v>
      </c>
      <c r="D13" s="62">
        <f t="shared" ca="1" si="5"/>
        <v>20375</v>
      </c>
      <c r="E13" s="62">
        <f t="shared" ca="1" si="6"/>
        <v>1785086272</v>
      </c>
      <c r="F13" s="70">
        <f t="shared" ca="1" si="7"/>
        <v>-1.6008000948552699E+18</v>
      </c>
      <c r="G13" s="62">
        <f t="shared" ca="1" si="8"/>
        <v>84312795270293.359</v>
      </c>
      <c r="H13" s="62">
        <f t="shared" ca="1" si="8"/>
        <v>-59725983347478.523</v>
      </c>
      <c r="I13" s="62">
        <f t="shared" ca="1" si="9"/>
        <v>239.36140671739022</v>
      </c>
      <c r="J13" s="62">
        <f t="shared" ca="1" si="10"/>
        <v>8702598714.1242676</v>
      </c>
      <c r="K13" s="62" t="s">
        <v>81</v>
      </c>
      <c r="L13" s="62" t="s">
        <v>81</v>
      </c>
      <c r="M13" s="62" t="s">
        <v>81</v>
      </c>
      <c r="N13" s="62" t="s">
        <v>81</v>
      </c>
      <c r="O13" s="66">
        <f t="shared" ca="1" si="11"/>
        <v>46269</v>
      </c>
      <c r="P13" s="67">
        <f t="shared" ca="1" si="12"/>
        <v>46269.047565856483</v>
      </c>
      <c r="Q13" s="68">
        <f t="shared" ca="1" si="13"/>
        <v>46172.37870885036</v>
      </c>
      <c r="R13" s="62" t="str">
        <f t="shared" ca="1" si="14"/>
        <v>2026/07/21 03:46:29.9999999</v>
      </c>
      <c r="S13" s="62" t="b">
        <f t="shared" ca="1" si="15"/>
        <v>0</v>
      </c>
      <c r="T13" s="62" t="s">
        <v>81</v>
      </c>
      <c r="U13" s="62" t="s">
        <v>81</v>
      </c>
      <c r="V13" s="62" t="s">
        <v>81</v>
      </c>
      <c r="W13" s="62" t="s">
        <v>81</v>
      </c>
      <c r="X13" s="71"/>
      <c r="Y13" s="61" t="s">
        <v>82</v>
      </c>
      <c r="AA13" s="72" t="b">
        <f t="shared" si="1"/>
        <v>0</v>
      </c>
      <c r="AB13" s="72" t="str">
        <f t="shared" si="2"/>
        <v/>
      </c>
      <c r="AC13" s="72" t="str">
        <f t="shared" si="3"/>
        <v/>
      </c>
      <c r="AD13" s="73"/>
    </row>
    <row r="14" spans="1:30" s="61" customFormat="1" x14ac:dyDescent="0.3">
      <c r="B14" s="61">
        <f t="shared" si="0"/>
        <v>7</v>
      </c>
      <c r="C14" s="61">
        <f t="shared" ca="1" si="4"/>
        <v>254</v>
      </c>
      <c r="D14" s="61">
        <f t="shared" ca="1" si="5"/>
        <v>3676</v>
      </c>
      <c r="E14" s="61">
        <f t="shared" ca="1" si="6"/>
        <v>-1047155797</v>
      </c>
      <c r="F14" s="62">
        <f t="shared" ca="1" si="7"/>
        <v>8.9405394564900198E+18</v>
      </c>
      <c r="G14" s="63">
        <f t="shared" ca="1" si="8"/>
        <v>-25771700906033.211</v>
      </c>
      <c r="H14" s="63">
        <f t="shared" ca="1" si="8"/>
        <v>-80907083276050.438</v>
      </c>
      <c r="I14" s="61">
        <f t="shared" ca="1" si="9"/>
        <v>78.892167025112713</v>
      </c>
      <c r="J14" s="64">
        <f t="shared" ca="1" si="10"/>
        <v>13341120813.108328</v>
      </c>
      <c r="K14" s="65" t="s">
        <v>81</v>
      </c>
      <c r="L14" s="65" t="s">
        <v>81</v>
      </c>
      <c r="M14" s="65" t="s">
        <v>81</v>
      </c>
      <c r="N14" s="65" t="s">
        <v>81</v>
      </c>
      <c r="O14" s="66">
        <f t="shared" ca="1" si="11"/>
        <v>46269</v>
      </c>
      <c r="P14" s="67">
        <f t="shared" ca="1" si="12"/>
        <v>46269.047565856483</v>
      </c>
      <c r="Q14" s="68">
        <f t="shared" ca="1" si="13"/>
        <v>46231.982098553832</v>
      </c>
      <c r="R14" s="68" t="str">
        <f t="shared" ca="1" si="14"/>
        <v>2026/07/23 08:40:55.9999999</v>
      </c>
      <c r="S14" s="61" t="b">
        <f t="shared" ca="1" si="15"/>
        <v>1</v>
      </c>
      <c r="T14" s="65" t="s">
        <v>81</v>
      </c>
      <c r="U14" s="65" t="s">
        <v>81</v>
      </c>
      <c r="V14" s="65" t="s">
        <v>81</v>
      </c>
      <c r="W14" s="65" t="s">
        <v>81</v>
      </c>
      <c r="Y14" s="61" t="s">
        <v>82</v>
      </c>
      <c r="AA14" s="69" t="b">
        <f t="shared" si="1"/>
        <v>0</v>
      </c>
      <c r="AB14" s="69" t="str">
        <f t="shared" si="2"/>
        <v/>
      </c>
      <c r="AC14" s="69" t="str">
        <f t="shared" si="3"/>
        <v/>
      </c>
    </row>
    <row r="15" spans="1:30" s="61" customFormat="1" x14ac:dyDescent="0.3">
      <c r="A15" s="62"/>
      <c r="B15" s="61">
        <f t="shared" si="0"/>
        <v>8</v>
      </c>
      <c r="C15" s="62">
        <f t="shared" ca="1" si="4"/>
        <v>147</v>
      </c>
      <c r="D15" s="62">
        <f t="shared" ca="1" si="5"/>
        <v>15830</v>
      </c>
      <c r="E15" s="62">
        <f t="shared" ca="1" si="6"/>
        <v>-1318169566</v>
      </c>
      <c r="F15" s="62">
        <f t="shared" ca="1" si="7"/>
        <v>-1.8291473746345402E+17</v>
      </c>
      <c r="G15" s="62">
        <f t="shared" ca="1" si="8"/>
        <v>-4960783198534.8223</v>
      </c>
      <c r="H15" s="62">
        <f t="shared" ca="1" si="8"/>
        <v>-66842093965808.531</v>
      </c>
      <c r="I15" s="62">
        <f t="shared" ca="1" si="9"/>
        <v>254.04796908443208</v>
      </c>
      <c r="J15" s="62">
        <f t="shared" ca="1" si="10"/>
        <v>29832937201.960884</v>
      </c>
      <c r="K15" s="62" t="s">
        <v>81</v>
      </c>
      <c r="L15" s="62" t="s">
        <v>81</v>
      </c>
      <c r="M15" s="62" t="s">
        <v>81</v>
      </c>
      <c r="N15" s="62" t="s">
        <v>81</v>
      </c>
      <c r="O15" s="66">
        <f t="shared" ca="1" si="11"/>
        <v>46269</v>
      </c>
      <c r="P15" s="67">
        <f t="shared" ca="1" si="12"/>
        <v>46269.047565856483</v>
      </c>
      <c r="Q15" s="68">
        <f t="shared" ca="1" si="13"/>
        <v>46197.010731558024</v>
      </c>
      <c r="R15" s="62" t="str">
        <f t="shared" ca="1" si="14"/>
        <v>2026/07/11 01:50:35.9999999</v>
      </c>
      <c r="S15" s="62" t="b">
        <f t="shared" ca="1" si="15"/>
        <v>1</v>
      </c>
      <c r="T15" s="62" t="s">
        <v>81</v>
      </c>
      <c r="U15" s="62" t="s">
        <v>81</v>
      </c>
      <c r="V15" s="62" t="s">
        <v>81</v>
      </c>
      <c r="W15" s="62" t="s">
        <v>81</v>
      </c>
      <c r="X15" s="71"/>
      <c r="Y15" s="61" t="s">
        <v>82</v>
      </c>
      <c r="AA15" s="72" t="b">
        <f t="shared" si="1"/>
        <v>0</v>
      </c>
      <c r="AB15" s="72" t="str">
        <f t="shared" si="2"/>
        <v/>
      </c>
      <c r="AC15" s="72" t="str">
        <f t="shared" si="3"/>
        <v/>
      </c>
      <c r="AD15" s="73"/>
    </row>
    <row r="16" spans="1:30" s="61" customFormat="1" x14ac:dyDescent="0.3">
      <c r="A16" s="62"/>
      <c r="B16" s="61">
        <f t="shared" si="0"/>
        <v>9</v>
      </c>
      <c r="C16" s="62">
        <f t="shared" ca="1" si="4"/>
        <v>44</v>
      </c>
      <c r="D16" s="62">
        <f t="shared" ca="1" si="5"/>
        <v>18214</v>
      </c>
      <c r="E16" s="62">
        <f t="shared" ca="1" si="6"/>
        <v>1698744598</v>
      </c>
      <c r="F16" s="70">
        <f t="shared" ca="1" si="7"/>
        <v>-3.8075381512602998E+18</v>
      </c>
      <c r="G16" s="62">
        <f t="shared" ca="1" si="8"/>
        <v>-77784555767941.766</v>
      </c>
      <c r="H16" s="62">
        <f t="shared" ca="1" si="8"/>
        <v>-57436513383132.047</v>
      </c>
      <c r="I16" s="62">
        <f t="shared" ca="1" si="9"/>
        <v>28.960075305261874</v>
      </c>
      <c r="J16" s="62">
        <f t="shared" ca="1" si="10"/>
        <v>9952170838.5592918</v>
      </c>
      <c r="K16" s="62" t="s">
        <v>81</v>
      </c>
      <c r="L16" s="62" t="s">
        <v>81</v>
      </c>
      <c r="M16" s="62" t="s">
        <v>81</v>
      </c>
      <c r="N16" s="62" t="s">
        <v>81</v>
      </c>
      <c r="O16" s="61">
        <f t="shared" ca="1" si="11"/>
        <v>46269</v>
      </c>
      <c r="P16" s="61">
        <f t="shared" ca="1" si="12"/>
        <v>46269.047565856483</v>
      </c>
      <c r="Q16" s="61">
        <f t="shared" ca="1" si="13"/>
        <v>46201.905077014155</v>
      </c>
      <c r="R16" s="62" t="str">
        <f t="shared" ca="1" si="14"/>
        <v>2026/08/23 01:39:27.9999999</v>
      </c>
      <c r="S16" s="62" t="b">
        <f t="shared" ca="1" si="15"/>
        <v>1</v>
      </c>
      <c r="T16" s="62" t="s">
        <v>81</v>
      </c>
      <c r="U16" s="62" t="s">
        <v>81</v>
      </c>
      <c r="V16" s="62" t="s">
        <v>81</v>
      </c>
      <c r="W16" s="62" t="s">
        <v>81</v>
      </c>
      <c r="X16" s="71"/>
      <c r="Y16" s="61" t="s">
        <v>82</v>
      </c>
      <c r="AA16" s="72" t="b">
        <f t="shared" si="1"/>
        <v>0</v>
      </c>
      <c r="AB16" s="72" t="str">
        <f t="shared" si="2"/>
        <v/>
      </c>
      <c r="AC16" s="72" t="str">
        <f t="shared" si="3"/>
        <v/>
      </c>
      <c r="AD16" s="73"/>
    </row>
    <row r="17" spans="2:29" s="61" customFormat="1" x14ac:dyDescent="0.3">
      <c r="B17" s="61">
        <f t="shared" si="0"/>
        <v>10</v>
      </c>
      <c r="C17" s="61">
        <f t="shared" ca="1" si="4"/>
        <v>236</v>
      </c>
      <c r="D17" s="61">
        <f t="shared" ca="1" si="5"/>
        <v>3923</v>
      </c>
      <c r="E17" s="61">
        <f t="shared" ca="1" si="6"/>
        <v>649221913</v>
      </c>
      <c r="F17" s="70">
        <f t="shared" ca="1" si="7"/>
        <v>8.4813883458175201E+18</v>
      </c>
      <c r="G17" s="63">
        <f t="shared" ca="1" si="8"/>
        <v>69879294843363.953</v>
      </c>
      <c r="H17" s="63">
        <f t="shared" ca="1" si="8"/>
        <v>-41208330579611.273</v>
      </c>
      <c r="I17" s="61">
        <f t="shared" ca="1" si="9"/>
        <v>275.20204038372901</v>
      </c>
      <c r="J17" s="64">
        <f t="shared" ca="1" si="10"/>
        <v>9895671367.2529831</v>
      </c>
      <c r="K17" s="65" t="s">
        <v>81</v>
      </c>
      <c r="L17" s="65" t="s">
        <v>81</v>
      </c>
      <c r="M17" s="65" t="s">
        <v>81</v>
      </c>
      <c r="N17" s="65" t="s">
        <v>81</v>
      </c>
      <c r="O17" s="61">
        <f t="shared" ca="1" si="11"/>
        <v>46269</v>
      </c>
      <c r="P17" s="61">
        <f t="shared" ca="1" si="12"/>
        <v>46269.047565856483</v>
      </c>
      <c r="Q17" s="61">
        <f t="shared" ca="1" si="13"/>
        <v>46224.422898783538</v>
      </c>
      <c r="R17" s="68" t="str">
        <f t="shared" ca="1" si="14"/>
        <v>2026/08/24 23:03:12.9999999</v>
      </c>
      <c r="S17" s="61" t="b">
        <f t="shared" ca="1" si="15"/>
        <v>0</v>
      </c>
      <c r="T17" s="65" t="s">
        <v>81</v>
      </c>
      <c r="U17" s="65" t="s">
        <v>81</v>
      </c>
      <c r="V17" s="65" t="s">
        <v>81</v>
      </c>
      <c r="W17" s="65" t="s">
        <v>81</v>
      </c>
      <c r="Y17" s="61" t="s">
        <v>82</v>
      </c>
      <c r="AA17" s="69" t="b">
        <f t="shared" si="1"/>
        <v>0</v>
      </c>
      <c r="AB17" s="69" t="str">
        <f t="shared" si="2"/>
        <v/>
      </c>
      <c r="AC17" s="69" t="str">
        <f t="shared" si="3"/>
        <v/>
      </c>
    </row>
    <row r="18" spans="2:29" s="61" customFormat="1" x14ac:dyDescent="0.3">
      <c r="B18" s="61">
        <f t="shared" si="0"/>
        <v>11</v>
      </c>
      <c r="C18" s="61">
        <f ca="1">ROUND(255-RAND()*255, 0)</f>
        <v>224</v>
      </c>
      <c r="D18" s="61">
        <f ca="1">0+ROUND(RAND()*32767,0)*(IF(RAND()&gt;0.5,1,-1))</f>
        <v>2072</v>
      </c>
      <c r="E18" s="61">
        <f ca="1">0+ROUND(RAND()*2147483647,0)*(IF(RAND()&gt;0.5,1,-1))</f>
        <v>-2133976005</v>
      </c>
      <c r="F18" s="62">
        <f ca="1">0+ROUND(RAND()*9223372036854770000,0)*(IF(RAND()&gt;0.5,1,-1))</f>
        <v>-3.4463353199776799E+18</v>
      </c>
      <c r="G18" s="63">
        <f ca="1">0+(ROUND(RAND()*99999999999999,0)*(IF(RAND()&gt;0.5,1,-1)))+ROUND(RAND(), 4)</f>
        <v>-59720465548831.43</v>
      </c>
      <c r="H18" s="63">
        <f ca="1">0+(ROUND(RAND()*99999999999999,0)*(IF(RAND()&gt;0.5,1,-1)))+ROUND(RAND(), 4)</f>
        <v>54748947818976.852</v>
      </c>
      <c r="I18" s="61">
        <f ca="1">PI()*RAND()*100</f>
        <v>173.4187473693685</v>
      </c>
      <c r="J18" s="64">
        <f t="shared" ca="1" si="10"/>
        <v>26626886886.393318</v>
      </c>
      <c r="K18" s="65" t="s">
        <v>81</v>
      </c>
      <c r="L18" s="65" t="s">
        <v>81</v>
      </c>
      <c r="M18" s="65" t="s">
        <v>81</v>
      </c>
      <c r="N18" s="65" t="s">
        <v>81</v>
      </c>
      <c r="O18" s="66">
        <f ca="1">TODAY()</f>
        <v>46269</v>
      </c>
      <c r="P18" s="67">
        <f ca="1">NOW()</f>
        <v>46269.047565856483</v>
      </c>
      <c r="Q18" s="68">
        <f ca="1">TODAY()+(RAND()*100*IF(RAND()&gt;5, 1, -1))</f>
        <v>46195.287693707454</v>
      </c>
      <c r="R18" s="68" t="str">
        <f ca="1">TEXT(TODAY()+(RAND()*100*IF(RAND()&gt;5, 1, -1)), "yyyy/MM/dd HH:mm:ss")&amp;".9999999"</f>
        <v>2026/08/29 03:22:57.9999999</v>
      </c>
      <c r="S18" s="61" t="b">
        <f ca="1">IF(RAND()&gt;0.5, TRUE, FALSE)</f>
        <v>0</v>
      </c>
      <c r="T18" s="65" t="s">
        <v>81</v>
      </c>
      <c r="U18" s="65" t="s">
        <v>81</v>
      </c>
      <c r="V18" s="65" t="s">
        <v>81</v>
      </c>
      <c r="W18" s="65" t="s">
        <v>81</v>
      </c>
      <c r="Y18" s="61" t="s">
        <v>82</v>
      </c>
      <c r="AA18" s="69" t="b">
        <f t="shared" si="1"/>
        <v>0</v>
      </c>
      <c r="AB18" s="69" t="str">
        <f t="shared" si="2"/>
        <v/>
      </c>
      <c r="AC18" s="69" t="str">
        <f t="shared" si="3"/>
        <v/>
      </c>
    </row>
    <row r="19" spans="2:29" s="61" customFormat="1" x14ac:dyDescent="0.3">
      <c r="B19" s="61">
        <f t="shared" si="0"/>
        <v>12</v>
      </c>
      <c r="C19" s="61">
        <f t="shared" ca="1" si="4"/>
        <v>44</v>
      </c>
      <c r="D19" s="61">
        <f t="shared" ca="1" si="5"/>
        <v>-952</v>
      </c>
      <c r="E19" s="61">
        <f t="shared" ca="1" si="6"/>
        <v>951270121</v>
      </c>
      <c r="F19" s="62">
        <f t="shared" ca="1" si="7"/>
        <v>1.8312106153065201E+18</v>
      </c>
      <c r="G19" s="63">
        <f t="shared" ca="1" si="8"/>
        <v>-88006830170804.031</v>
      </c>
      <c r="H19" s="63">
        <f t="shared" ca="1" si="8"/>
        <v>-20890779537751.242</v>
      </c>
      <c r="I19" s="61">
        <f t="shared" ca="1" si="9"/>
        <v>240.4409555214925</v>
      </c>
      <c r="J19" s="64">
        <f t="shared" ca="1" si="10"/>
        <v>29230739044.74736</v>
      </c>
      <c r="K19" s="65" t="s">
        <v>81</v>
      </c>
      <c r="L19" s="65" t="s">
        <v>81</v>
      </c>
      <c r="M19" s="65" t="s">
        <v>81</v>
      </c>
      <c r="N19" s="65" t="s">
        <v>81</v>
      </c>
      <c r="O19" s="66">
        <f t="shared" ca="1" si="11"/>
        <v>46269</v>
      </c>
      <c r="P19" s="67">
        <f t="shared" ca="1" si="12"/>
        <v>46269.047565856483</v>
      </c>
      <c r="Q19" s="68">
        <f t="shared" ca="1" si="13"/>
        <v>46217.928968447712</v>
      </c>
      <c r="R19" s="68" t="str">
        <f t="shared" ca="1" si="14"/>
        <v>2026/07/24 02:58:35.9999999</v>
      </c>
      <c r="S19" s="61" t="b">
        <f t="shared" ca="1" si="15"/>
        <v>1</v>
      </c>
      <c r="T19" s="65" t="s">
        <v>81</v>
      </c>
      <c r="U19" s="65" t="s">
        <v>81</v>
      </c>
      <c r="V19" s="65" t="s">
        <v>81</v>
      </c>
      <c r="W19" s="65" t="s">
        <v>81</v>
      </c>
      <c r="Y19" s="61" t="s">
        <v>82</v>
      </c>
      <c r="AA19" s="69" t="b">
        <f t="shared" si="1"/>
        <v>0</v>
      </c>
      <c r="AB19" s="69" t="str">
        <f t="shared" si="2"/>
        <v/>
      </c>
      <c r="AC19" s="69" t="str">
        <f t="shared" si="3"/>
        <v/>
      </c>
    </row>
    <row r="20" spans="2:29" s="61" customFormat="1" x14ac:dyDescent="0.3">
      <c r="B20" s="61">
        <f t="shared" si="0"/>
        <v>13</v>
      </c>
      <c r="C20" s="61">
        <f t="shared" ca="1" si="4"/>
        <v>233</v>
      </c>
      <c r="D20" s="61">
        <f t="shared" ca="1" si="5"/>
        <v>-11891</v>
      </c>
      <c r="E20" s="61">
        <f t="shared" ca="1" si="6"/>
        <v>-691041196</v>
      </c>
      <c r="F20" s="70">
        <f t="shared" ca="1" si="7"/>
        <v>5.7109617073680701E+18</v>
      </c>
      <c r="G20" s="63">
        <f t="shared" ca="1" si="8"/>
        <v>25929290522487.02</v>
      </c>
      <c r="H20" s="63">
        <f t="shared" ca="1" si="8"/>
        <v>-39533615333944.055</v>
      </c>
      <c r="I20" s="61">
        <f t="shared" ca="1" si="9"/>
        <v>278.70072738082706</v>
      </c>
      <c r="J20" s="64">
        <f t="shared" ca="1" si="10"/>
        <v>21802615504.047962</v>
      </c>
      <c r="K20" s="65" t="s">
        <v>81</v>
      </c>
      <c r="L20" s="65" t="s">
        <v>81</v>
      </c>
      <c r="M20" s="65" t="s">
        <v>81</v>
      </c>
      <c r="N20" s="65" t="s">
        <v>81</v>
      </c>
      <c r="O20" s="66">
        <f t="shared" ca="1" si="11"/>
        <v>46269</v>
      </c>
      <c r="P20" s="67">
        <f t="shared" ca="1" si="12"/>
        <v>46269.047565856483</v>
      </c>
      <c r="Q20" s="68">
        <f t="shared" ca="1" si="13"/>
        <v>46232.992635901814</v>
      </c>
      <c r="R20" s="68" t="str">
        <f t="shared" ca="1" si="14"/>
        <v>2026/08/20 06:34:47.9999999</v>
      </c>
      <c r="S20" s="61" t="b">
        <f t="shared" ca="1" si="15"/>
        <v>0</v>
      </c>
      <c r="T20" s="65" t="s">
        <v>81</v>
      </c>
      <c r="U20" s="65" t="s">
        <v>81</v>
      </c>
      <c r="V20" s="65" t="s">
        <v>81</v>
      </c>
      <c r="W20" s="65" t="s">
        <v>81</v>
      </c>
      <c r="Y20" s="61" t="s">
        <v>82</v>
      </c>
      <c r="AA20" s="69" t="b">
        <f t="shared" si="1"/>
        <v>0</v>
      </c>
      <c r="AB20" s="69" t="str">
        <f t="shared" si="2"/>
        <v/>
      </c>
      <c r="AC20" s="69" t="str">
        <f t="shared" si="3"/>
        <v/>
      </c>
    </row>
    <row r="21" spans="2:29" s="61" customFormat="1" x14ac:dyDescent="0.3">
      <c r="B21" s="61">
        <f t="shared" si="0"/>
        <v>14</v>
      </c>
      <c r="C21" s="61">
        <f t="shared" ca="1" si="4"/>
        <v>7</v>
      </c>
      <c r="D21" s="61">
        <f t="shared" ca="1" si="5"/>
        <v>6234</v>
      </c>
      <c r="E21" s="61">
        <f t="shared" ca="1" si="6"/>
        <v>979429058</v>
      </c>
      <c r="F21" s="70">
        <f t="shared" ca="1" si="7"/>
        <v>7.8086577828704102E+18</v>
      </c>
      <c r="G21" s="63">
        <f t="shared" ca="1" si="8"/>
        <v>-79950015835162.297</v>
      </c>
      <c r="H21" s="63">
        <f t="shared" ca="1" si="8"/>
        <v>-33057541288176.48</v>
      </c>
      <c r="I21" s="61">
        <f t="shared" ca="1" si="9"/>
        <v>149.86330883138962</v>
      </c>
      <c r="J21" s="64">
        <f t="shared" ca="1" si="10"/>
        <v>28091653117.289246</v>
      </c>
      <c r="K21" s="65" t="s">
        <v>81</v>
      </c>
      <c r="L21" s="65" t="s">
        <v>81</v>
      </c>
      <c r="M21" s="65" t="s">
        <v>81</v>
      </c>
      <c r="N21" s="65" t="s">
        <v>81</v>
      </c>
      <c r="O21" s="66">
        <f t="shared" ca="1" si="11"/>
        <v>46269</v>
      </c>
      <c r="P21" s="67">
        <f t="shared" ca="1" si="12"/>
        <v>46269.047565856483</v>
      </c>
      <c r="Q21" s="68">
        <f t="shared" ca="1" si="13"/>
        <v>46251.267221234317</v>
      </c>
      <c r="R21" s="68" t="str">
        <f t="shared" ca="1" si="14"/>
        <v>2026/08/28 13:00:38.9999999</v>
      </c>
      <c r="S21" s="61" t="b">
        <f t="shared" ca="1" si="15"/>
        <v>0</v>
      </c>
      <c r="T21" s="65" t="s">
        <v>81</v>
      </c>
      <c r="U21" s="65" t="s">
        <v>81</v>
      </c>
      <c r="V21" s="65" t="s">
        <v>81</v>
      </c>
      <c r="W21" s="65" t="s">
        <v>81</v>
      </c>
      <c r="Y21" s="61" t="s">
        <v>82</v>
      </c>
      <c r="AA21" s="69" t="b">
        <f t="shared" si="1"/>
        <v>0</v>
      </c>
      <c r="AB21" s="69" t="str">
        <f t="shared" si="2"/>
        <v/>
      </c>
      <c r="AC21" s="69" t="str">
        <f t="shared" si="3"/>
        <v/>
      </c>
    </row>
    <row r="22" spans="2:29" s="61" customFormat="1" x14ac:dyDescent="0.3">
      <c r="B22" s="61">
        <f t="shared" si="0"/>
        <v>15</v>
      </c>
      <c r="C22" s="61">
        <f t="shared" ca="1" si="4"/>
        <v>194</v>
      </c>
      <c r="D22" s="61">
        <f t="shared" ca="1" si="5"/>
        <v>-9504</v>
      </c>
      <c r="E22" s="61">
        <f t="shared" ca="1" si="6"/>
        <v>1182018478</v>
      </c>
      <c r="F22" s="62">
        <f t="shared" ca="1" si="7"/>
        <v>5.7898508761883095E+18</v>
      </c>
      <c r="G22" s="63">
        <f t="shared" ca="1" si="8"/>
        <v>10442275669838.197</v>
      </c>
      <c r="H22" s="63">
        <f t="shared" ca="1" si="8"/>
        <v>45139891255381.102</v>
      </c>
      <c r="I22" s="61">
        <f t="shared" ca="1" si="9"/>
        <v>190.17081544372715</v>
      </c>
      <c r="J22" s="64">
        <f t="shared" ca="1" si="10"/>
        <v>25556550070.91103</v>
      </c>
      <c r="K22" s="65" t="s">
        <v>81</v>
      </c>
      <c r="L22" s="65" t="s">
        <v>81</v>
      </c>
      <c r="M22" s="65" t="s">
        <v>81</v>
      </c>
      <c r="N22" s="65" t="s">
        <v>81</v>
      </c>
      <c r="O22" s="66">
        <f t="shared" ca="1" si="11"/>
        <v>46269</v>
      </c>
      <c r="P22" s="67">
        <f t="shared" ca="1" si="12"/>
        <v>46269.047565856483</v>
      </c>
      <c r="Q22" s="68">
        <f t="shared" ca="1" si="13"/>
        <v>46247.108825622141</v>
      </c>
      <c r="R22" s="68" t="str">
        <f t="shared" ca="1" si="14"/>
        <v>2026/06/20 12:49:41.9999999</v>
      </c>
      <c r="S22" s="61" t="b">
        <f t="shared" ca="1" si="15"/>
        <v>1</v>
      </c>
      <c r="T22" s="65" t="s">
        <v>81</v>
      </c>
      <c r="U22" s="65" t="s">
        <v>81</v>
      </c>
      <c r="V22" s="65" t="s">
        <v>81</v>
      </c>
      <c r="W22" s="65" t="s">
        <v>81</v>
      </c>
      <c r="Y22" s="61" t="s">
        <v>82</v>
      </c>
      <c r="AA22" s="69" t="b">
        <f t="shared" si="1"/>
        <v>0</v>
      </c>
      <c r="AB22" s="69" t="str">
        <f t="shared" si="2"/>
        <v/>
      </c>
      <c r="AC22" s="69" t="str">
        <f t="shared" si="3"/>
        <v/>
      </c>
    </row>
    <row r="23" spans="2:29" s="61" customFormat="1" x14ac:dyDescent="0.3">
      <c r="B23" s="61">
        <f t="shared" si="0"/>
        <v>16</v>
      </c>
      <c r="C23" s="61">
        <f t="shared" ca="1" si="4"/>
        <v>228</v>
      </c>
      <c r="D23" s="61">
        <f t="shared" ca="1" si="5"/>
        <v>9484</v>
      </c>
      <c r="E23" s="61">
        <f t="shared" ca="1" si="6"/>
        <v>-178654623</v>
      </c>
      <c r="F23" s="62">
        <f t="shared" ca="1" si="7"/>
        <v>8.6023057201292503E+18</v>
      </c>
      <c r="G23" s="63">
        <f t="shared" ca="1" si="8"/>
        <v>-62107313617345.992</v>
      </c>
      <c r="H23" s="63">
        <f t="shared" ca="1" si="8"/>
        <v>15774426856526.697</v>
      </c>
      <c r="I23" s="61">
        <f t="shared" ca="1" si="9"/>
        <v>221.57695153098143</v>
      </c>
      <c r="J23" s="64">
        <f t="shared" ca="1" si="10"/>
        <v>19672006408.084862</v>
      </c>
      <c r="K23" s="65" t="s">
        <v>81</v>
      </c>
      <c r="L23" s="65" t="s">
        <v>81</v>
      </c>
      <c r="M23" s="65" t="s">
        <v>81</v>
      </c>
      <c r="N23" s="65" t="s">
        <v>81</v>
      </c>
      <c r="O23" s="66">
        <f t="shared" ca="1" si="11"/>
        <v>46269</v>
      </c>
      <c r="P23" s="67">
        <f t="shared" ca="1" si="12"/>
        <v>46269.047565856483</v>
      </c>
      <c r="Q23" s="68">
        <f t="shared" ca="1" si="13"/>
        <v>46258.709231185145</v>
      </c>
      <c r="R23" s="68" t="str">
        <f t="shared" ca="1" si="14"/>
        <v>2026/08/21 23:38:15.9999999</v>
      </c>
      <c r="S23" s="61" t="b">
        <f t="shared" ca="1" si="15"/>
        <v>1</v>
      </c>
      <c r="T23" s="65" t="s">
        <v>81</v>
      </c>
      <c r="U23" s="65" t="s">
        <v>81</v>
      </c>
      <c r="V23" s="65" t="s">
        <v>81</v>
      </c>
      <c r="W23" s="65" t="s">
        <v>81</v>
      </c>
      <c r="Y23" s="61" t="s">
        <v>82</v>
      </c>
      <c r="AA23" s="69" t="b">
        <f t="shared" si="1"/>
        <v>0</v>
      </c>
      <c r="AB23" s="69" t="str">
        <f t="shared" si="2"/>
        <v/>
      </c>
      <c r="AC23" s="69" t="str">
        <f t="shared" si="3"/>
        <v/>
      </c>
    </row>
    <row r="24" spans="2:29" s="61" customFormat="1" x14ac:dyDescent="0.3">
      <c r="B24" s="61">
        <f t="shared" si="0"/>
        <v>17</v>
      </c>
      <c r="C24" s="61">
        <f t="shared" ca="1" si="4"/>
        <v>28</v>
      </c>
      <c r="D24" s="61">
        <f t="shared" ca="1" si="5"/>
        <v>-29734</v>
      </c>
      <c r="E24" s="61">
        <f t="shared" ca="1" si="6"/>
        <v>-894283871</v>
      </c>
      <c r="F24" s="70">
        <f t="shared" ca="1" si="7"/>
        <v>-2.5191742328127099E+18</v>
      </c>
      <c r="G24" s="63">
        <f t="shared" ca="1" si="8"/>
        <v>86295705016566.797</v>
      </c>
      <c r="H24" s="63">
        <f t="shared" ca="1" si="8"/>
        <v>-66117347932118.727</v>
      </c>
      <c r="I24" s="61">
        <f t="shared" ca="1" si="9"/>
        <v>262.37177172748079</v>
      </c>
      <c r="J24" s="64">
        <f t="shared" ca="1" si="10"/>
        <v>25528624727.967495</v>
      </c>
      <c r="K24" s="65" t="s">
        <v>81</v>
      </c>
      <c r="L24" s="65" t="s">
        <v>81</v>
      </c>
      <c r="M24" s="65" t="s">
        <v>81</v>
      </c>
      <c r="N24" s="65" t="s">
        <v>81</v>
      </c>
      <c r="O24" s="66">
        <f t="shared" ca="1" si="11"/>
        <v>46269</v>
      </c>
      <c r="P24" s="67">
        <f t="shared" ca="1" si="12"/>
        <v>46269.047565856483</v>
      </c>
      <c r="Q24" s="68">
        <f t="shared" ca="1" si="13"/>
        <v>46206.054286564591</v>
      </c>
      <c r="R24" s="68" t="str">
        <f t="shared" ca="1" si="14"/>
        <v>2026/07/12 07:09:04.9999999</v>
      </c>
      <c r="S24" s="61" t="b">
        <f t="shared" ca="1" si="15"/>
        <v>1</v>
      </c>
      <c r="T24" s="65" t="s">
        <v>81</v>
      </c>
      <c r="U24" s="65" t="s">
        <v>81</v>
      </c>
      <c r="V24" s="65" t="s">
        <v>81</v>
      </c>
      <c r="W24" s="65" t="s">
        <v>81</v>
      </c>
      <c r="Y24" s="61" t="s">
        <v>82</v>
      </c>
      <c r="AA24" s="69" t="b">
        <f t="shared" si="1"/>
        <v>0</v>
      </c>
      <c r="AB24" s="69" t="str">
        <f t="shared" si="2"/>
        <v/>
      </c>
      <c r="AC24" s="69" t="str">
        <f t="shared" si="3"/>
        <v/>
      </c>
    </row>
    <row r="25" spans="2:29" s="61" customFormat="1" x14ac:dyDescent="0.3">
      <c r="B25" s="61">
        <f t="shared" si="0"/>
        <v>18</v>
      </c>
      <c r="C25" s="61">
        <f t="shared" ca="1" si="4"/>
        <v>212</v>
      </c>
      <c r="D25" s="61">
        <f t="shared" ca="1" si="5"/>
        <v>-30583</v>
      </c>
      <c r="E25" s="61">
        <f t="shared" ca="1" si="6"/>
        <v>-389997830</v>
      </c>
      <c r="F25" s="70">
        <f t="shared" ca="1" si="7"/>
        <v>-3.3251254669077601E+18</v>
      </c>
      <c r="G25" s="63">
        <f t="shared" ref="G25:H27" ca="1" si="16">0+(ROUND(RAND()*99999999999999,0)*(IF(RAND()&gt;0.5,1,-1)))+ROUND(RAND(), 4)</f>
        <v>-1451982534924.2207</v>
      </c>
      <c r="H25" s="63">
        <f t="shared" ca="1" si="16"/>
        <v>65713249593253.5</v>
      </c>
      <c r="I25" s="61">
        <f t="shared" ca="1" si="9"/>
        <v>103.5640714469283</v>
      </c>
      <c r="J25" s="64">
        <f t="shared" ca="1" si="10"/>
        <v>1548441850.5716066</v>
      </c>
      <c r="K25" s="65" t="s">
        <v>81</v>
      </c>
      <c r="L25" s="65" t="s">
        <v>81</v>
      </c>
      <c r="M25" s="65" t="s">
        <v>81</v>
      </c>
      <c r="N25" s="65" t="s">
        <v>81</v>
      </c>
      <c r="O25" s="66">
        <f t="shared" ca="1" si="11"/>
        <v>46269</v>
      </c>
      <c r="P25" s="67">
        <f t="shared" ca="1" si="12"/>
        <v>46269.047565856483</v>
      </c>
      <c r="Q25" s="68">
        <f t="shared" ca="1" si="13"/>
        <v>46233.635773737042</v>
      </c>
      <c r="R25" s="68" t="str">
        <f t="shared" ca="1" si="14"/>
        <v>2026/07/05 11:15:04.9999999</v>
      </c>
      <c r="S25" s="61" t="b">
        <f t="shared" ca="1" si="15"/>
        <v>1</v>
      </c>
      <c r="T25" s="65" t="s">
        <v>81</v>
      </c>
      <c r="U25" s="65" t="s">
        <v>81</v>
      </c>
      <c r="V25" s="65" t="s">
        <v>81</v>
      </c>
      <c r="W25" s="65" t="s">
        <v>81</v>
      </c>
      <c r="Y25" s="61" t="s">
        <v>82</v>
      </c>
      <c r="AA25" s="69" t="b">
        <f t="shared" si="1"/>
        <v>0</v>
      </c>
      <c r="AB25" s="69" t="str">
        <f t="shared" si="2"/>
        <v/>
      </c>
      <c r="AC25" s="69" t="str">
        <f t="shared" si="3"/>
        <v/>
      </c>
    </row>
    <row r="26" spans="2:29" s="61" customFormat="1" x14ac:dyDescent="0.3">
      <c r="B26" s="61">
        <f t="shared" si="0"/>
        <v>19</v>
      </c>
      <c r="C26" s="61">
        <f t="shared" ca="1" si="4"/>
        <v>163</v>
      </c>
      <c r="D26" s="61">
        <f t="shared" ca="1" si="5"/>
        <v>-27535</v>
      </c>
      <c r="E26" s="61">
        <f t="shared" ca="1" si="6"/>
        <v>847593657</v>
      </c>
      <c r="F26" s="62">
        <f t="shared" ca="1" si="7"/>
        <v>-1.8889581715792499E+18</v>
      </c>
      <c r="G26" s="63">
        <f t="shared" ca="1" si="16"/>
        <v>-3945648663794.7441</v>
      </c>
      <c r="H26" s="63">
        <f t="shared" ca="1" si="16"/>
        <v>-47775517065609.625</v>
      </c>
      <c r="I26" s="61">
        <f t="shared" ca="1" si="9"/>
        <v>25.169093162865451</v>
      </c>
      <c r="J26" s="64">
        <f t="shared" ca="1" si="10"/>
        <v>10013527038.432228</v>
      </c>
      <c r="K26" s="65" t="s">
        <v>81</v>
      </c>
      <c r="L26" s="65" t="s">
        <v>81</v>
      </c>
      <c r="M26" s="65" t="s">
        <v>81</v>
      </c>
      <c r="N26" s="65" t="s">
        <v>81</v>
      </c>
      <c r="O26" s="66">
        <f t="shared" ca="1" si="11"/>
        <v>46269</v>
      </c>
      <c r="P26" s="67">
        <f t="shared" ca="1" si="12"/>
        <v>46269.047565856483</v>
      </c>
      <c r="Q26" s="68">
        <f t="shared" ca="1" si="13"/>
        <v>46218.811289053592</v>
      </c>
      <c r="R26" s="68" t="str">
        <f t="shared" ca="1" si="14"/>
        <v>2026/08/23 07:30:29.9999999</v>
      </c>
      <c r="S26" s="61" t="b">
        <f t="shared" ca="1" si="15"/>
        <v>1</v>
      </c>
      <c r="T26" s="65" t="s">
        <v>81</v>
      </c>
      <c r="U26" s="65" t="s">
        <v>81</v>
      </c>
      <c r="V26" s="65" t="s">
        <v>81</v>
      </c>
      <c r="W26" s="65" t="s">
        <v>81</v>
      </c>
      <c r="Y26" s="61" t="s">
        <v>82</v>
      </c>
      <c r="AA26" s="69" t="b">
        <f t="shared" si="1"/>
        <v>0</v>
      </c>
      <c r="AB26" s="69" t="str">
        <f t="shared" si="2"/>
        <v/>
      </c>
      <c r="AC26" s="69" t="str">
        <f t="shared" si="3"/>
        <v/>
      </c>
    </row>
    <row r="27" spans="2:29" s="61" customFormat="1" x14ac:dyDescent="0.3">
      <c r="B27" s="61">
        <f t="shared" si="0"/>
        <v>20</v>
      </c>
      <c r="C27" s="61">
        <f t="shared" ca="1" si="4"/>
        <v>242</v>
      </c>
      <c r="D27" s="61">
        <f t="shared" ca="1" si="5"/>
        <v>12220</v>
      </c>
      <c r="E27" s="61">
        <f t="shared" ca="1" si="6"/>
        <v>2049979098</v>
      </c>
      <c r="F27" s="62">
        <f t="shared" ca="1" si="7"/>
        <v>-6.05554798089651E+18</v>
      </c>
      <c r="G27" s="63">
        <f t="shared" ca="1" si="16"/>
        <v>-89329610851560.781</v>
      </c>
      <c r="H27" s="63">
        <f t="shared" ca="1" si="16"/>
        <v>25388535527696.266</v>
      </c>
      <c r="I27" s="61">
        <f t="shared" ca="1" si="9"/>
        <v>166.26163169818426</v>
      </c>
      <c r="J27" s="64">
        <f t="shared" ca="1" si="10"/>
        <v>23965408316.722744</v>
      </c>
      <c r="K27" s="65" t="s">
        <v>81</v>
      </c>
      <c r="L27" s="65" t="s">
        <v>81</v>
      </c>
      <c r="M27" s="65" t="s">
        <v>81</v>
      </c>
      <c r="N27" s="65" t="s">
        <v>81</v>
      </c>
      <c r="O27" s="66">
        <f t="shared" ca="1" si="11"/>
        <v>46269</v>
      </c>
      <c r="P27" s="67">
        <f t="shared" ca="1" si="12"/>
        <v>46269.047565856483</v>
      </c>
      <c r="Q27" s="68">
        <f t="shared" ca="1" si="13"/>
        <v>46239.914413360842</v>
      </c>
      <c r="R27" s="68" t="str">
        <f t="shared" ca="1" si="14"/>
        <v>2026/06/08 06:53:23.9999999</v>
      </c>
      <c r="S27" s="61" t="b">
        <f t="shared" ca="1" si="15"/>
        <v>0</v>
      </c>
      <c r="T27" s="65" t="s">
        <v>81</v>
      </c>
      <c r="U27" s="65" t="s">
        <v>81</v>
      </c>
      <c r="V27" s="65" t="s">
        <v>81</v>
      </c>
      <c r="W27" s="65" t="s">
        <v>81</v>
      </c>
      <c r="Y27" s="61" t="s">
        <v>82</v>
      </c>
      <c r="AA27" s="69" t="b">
        <f t="shared" si="1"/>
        <v>0</v>
      </c>
      <c r="AB27" s="69" t="str">
        <f t="shared" si="2"/>
        <v/>
      </c>
      <c r="AC27" s="69" t="str">
        <f t="shared" si="3"/>
        <v/>
      </c>
    </row>
    <row r="28" spans="2:29" s="61" customFormat="1" x14ac:dyDescent="0.3">
      <c r="G28" s="63"/>
      <c r="H28" s="63"/>
      <c r="K28" s="65"/>
      <c r="L28" s="65"/>
      <c r="M28" s="65"/>
      <c r="N28" s="65"/>
      <c r="O28" s="66"/>
      <c r="P28" s="67"/>
      <c r="Q28" s="68"/>
      <c r="R28" s="68"/>
      <c r="T28" s="65"/>
      <c r="U28" s="65"/>
      <c r="V28" s="65"/>
      <c r="W28" s="65"/>
      <c r="AA28" s="69"/>
      <c r="AB28" s="69"/>
      <c r="AC28" s="69"/>
    </row>
    <row r="29" spans="2:29" s="61" customFormat="1" x14ac:dyDescent="0.3">
      <c r="G29" s="63"/>
      <c r="H29" s="63"/>
      <c r="K29" s="65"/>
      <c r="L29" s="65"/>
      <c r="M29" s="65"/>
      <c r="N29" s="65"/>
      <c r="O29" s="66"/>
      <c r="P29" s="67"/>
      <c r="Q29" s="68"/>
      <c r="R29" s="68"/>
      <c r="T29" s="65"/>
      <c r="U29" s="65"/>
      <c r="V29" s="65"/>
      <c r="W29" s="65"/>
      <c r="AA29" s="69"/>
      <c r="AB29" s="69"/>
      <c r="AC29" s="69"/>
    </row>
    <row r="30" spans="2:29" s="61" customFormat="1" x14ac:dyDescent="0.3">
      <c r="G30" s="63"/>
      <c r="H30" s="63"/>
      <c r="K30" s="65"/>
      <c r="L30" s="65"/>
      <c r="M30" s="65"/>
      <c r="N30" s="65"/>
      <c r="O30" s="66"/>
      <c r="P30" s="67"/>
      <c r="Q30" s="68"/>
      <c r="R30" s="68"/>
      <c r="T30" s="65"/>
      <c r="U30" s="65"/>
      <c r="V30" s="65"/>
      <c r="W30" s="65"/>
      <c r="AA30" s="69"/>
      <c r="AB30" s="69"/>
      <c r="AC30" s="69"/>
    </row>
    <row r="31" spans="2:29" s="61" customFormat="1" x14ac:dyDescent="0.3">
      <c r="G31" s="63"/>
      <c r="H31" s="63"/>
      <c r="K31" s="65"/>
      <c r="L31" s="65"/>
      <c r="M31" s="65"/>
      <c r="N31" s="65"/>
      <c r="O31" s="66"/>
      <c r="P31" s="67"/>
      <c r="Q31" s="68"/>
      <c r="R31" s="68"/>
      <c r="T31" s="65"/>
      <c r="U31" s="65"/>
      <c r="V31" s="65"/>
      <c r="W31" s="65"/>
      <c r="AA31" s="69"/>
      <c r="AB31" s="69"/>
      <c r="AC31" s="69"/>
    </row>
  </sheetData>
  <phoneticPr fontId="1"/>
  <conditionalFormatting sqref="B7:W7">
    <cfRule type="expression" dxfId="13" priority="37">
      <formula>AND(ISNUMBER(FIND("K",B6)),B7="*")</formula>
    </cfRule>
    <cfRule type="expression" dxfId="12" priority="38">
      <formula>AND(ISNUMBER(FIND("N",B6)),B7="*")</formula>
    </cfRule>
    <cfRule type="expression" dxfId="11" priority="39">
      <formula>B7="*"</formula>
    </cfRule>
    <cfRule type="expression" dxfId="10" priority="40">
      <formula>B7=""</formula>
    </cfRule>
  </conditionalFormatting>
  <conditionalFormatting sqref="AA8:AA27">
    <cfRule type="expression" dxfId="9" priority="5">
      <formula>AA8=TRUE</formula>
    </cfRule>
    <cfRule type="expression" dxfId="8" priority="6">
      <formula>AA8=FALSE</formula>
    </cfRule>
  </conditionalFormatting>
  <conditionalFormatting sqref="AB8:AB27">
    <cfRule type="expression" dxfId="7" priority="3">
      <formula>AB8=TRUE</formula>
    </cfRule>
    <cfRule type="expression" dxfId="6" priority="4">
      <formula>AB8=FALSE</formula>
    </cfRule>
  </conditionalFormatting>
  <conditionalFormatting sqref="AC8:AC27">
    <cfRule type="expression" dxfId="5" priority="31">
      <formula>AC8=TRUE</formula>
    </cfRule>
    <cfRule type="expression" dxfId="4" priority="32">
      <formula>AC8=FALSE</formula>
    </cfRule>
  </conditionalFormatting>
  <conditionalFormatting sqref="AC12:AC13">
    <cfRule type="expression" dxfId="3" priority="13">
      <formula>AC12=TRUE</formula>
    </cfRule>
    <cfRule type="expression" dxfId="2" priority="14">
      <formula>AC12=FALSE</formula>
    </cfRule>
  </conditionalFormatting>
  <conditionalFormatting sqref="AC15:AC16">
    <cfRule type="expression" dxfId="1" priority="1">
      <formula>AC15=TRUE</formula>
    </cfRule>
    <cfRule type="expression" dxfId="0" priority="2">
      <formula>AC15=FALSE</formula>
    </cfRule>
  </conditionalFormatting>
  <dataValidations disablePrompts="1" count="1">
    <dataValidation type="list" allowBlank="1" showInputMessage="1" showErrorMessage="1" sqref="B7:W7" xr:uid="{00000000-0002-0000-0000-000000000000}">
      <formula1>"*,"</formula1>
    </dataValidation>
  </dataValidations>
  <pageMargins left="0.75" right="0.75" top="0.75" bottom="0.5" header="0.5" footer="0.7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all_types_test2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雅俊 古谷</cp:lastModifiedBy>
  <dcterms:created xsi:type="dcterms:W3CDTF">2026-05-13T03:14:59Z</dcterms:created>
  <dcterms:modified xsi:type="dcterms:W3CDTF">2026-09-03T16:08:49Z</dcterms:modified>
</cp:coreProperties>
</file>