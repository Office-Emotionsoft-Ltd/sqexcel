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Repos_GitEms\sqexcel\SQExcel.Portal\src\content\docs\ja\docs\images\formulas\"/>
    </mc:Choice>
  </mc:AlternateContent>
  <xr:revisionPtr revIDLastSave="0" documentId="13_ncr:1_{572CF204-9C2E-46B2-B8C1-E0CB232874FE}" xr6:coauthVersionLast="47" xr6:coauthVersionMax="47" xr10:uidLastSave="{00000000-0000-0000-0000-000000000000}"/>
  <bookViews>
    <workbookView xWindow="2420" yWindow="3160" windowWidth="19640" windowHeight="10360" xr2:uid="{00000000-000D-0000-FFFF-FFFF00000000}"/>
  </bookViews>
  <sheets>
    <sheet name="departments" sheetId="1" r:id="rId1"/>
    <sheet name="employees" sheetId="2" r:id="rId2"/>
    <sheet name="clients" sheetId="3" r:id="rId3"/>
    <sheet name="common_codes" sheetId="4" r:id="rId4"/>
    <sheet name="services" sheetId="5" r:id="rId5"/>
  </sheets>
  <functionGroups builtInGroupCount="19"/>
  <definedNames>
    <definedName name="_xleta.RAND" hidden="1" xlm="1">#NAME?</definedName>
    <definedName name="_xlpm.v" hidden="1" xlm="1">#NAME?</definedName>
    <definedName name="dept_id_source">departments!$B$8:$B$17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8" i="2" l="1"/>
  <c r="D8" i="2"/>
  <c r="C8" i="2" a="1"/>
  <c r="C8" i="2" s="1"/>
  <c r="C17" i="2" a="1"/>
  <c r="C17" i="2" s="1"/>
  <c r="C16" i="2" a="1"/>
  <c r="C16" i="2" s="1"/>
  <c r="C15" i="2" a="1"/>
  <c r="C15" i="2" s="1"/>
  <c r="C14" i="2" a="1"/>
  <c r="C14" i="2" s="1"/>
  <c r="C13" i="2" a="1"/>
  <c r="C13" i="2" s="1"/>
  <c r="C12" i="2" a="1"/>
  <c r="C12" i="2" s="1"/>
  <c r="C11" i="2" a="1"/>
  <c r="C11" i="2" s="1"/>
  <c r="C10" i="2" a="1"/>
  <c r="C10" i="2" s="1"/>
  <c r="C9" i="2" a="1"/>
  <c r="C9" i="2" s="1"/>
  <c r="E17" i="2"/>
  <c r="D17" i="2"/>
  <c r="E16" i="2"/>
  <c r="D16" i="2"/>
  <c r="E15" i="2"/>
  <c r="D15" i="2"/>
  <c r="E14" i="2"/>
  <c r="D14" i="2"/>
  <c r="E13" i="2"/>
  <c r="D13" i="2"/>
  <c r="E12" i="2"/>
  <c r="D12" i="2"/>
  <c r="E11" i="2"/>
  <c r="D11" i="2"/>
  <c r="E10" i="2"/>
  <c r="D10" i="2"/>
  <c r="B10" i="2"/>
  <c r="B11" i="2" s="1"/>
  <c r="B12" i="2" s="1"/>
  <c r="B13" i="2" s="1"/>
  <c r="B14" i="2" s="1"/>
  <c r="B15" i="2" s="1"/>
  <c r="B16" i="2" s="1"/>
  <c r="B17" i="2" s="1"/>
  <c r="E9" i="2"/>
  <c r="D9" i="2"/>
  <c r="B9" i="2"/>
  <c r="F13" i="2" a="1"/>
  <c r="F15" i="2" a="1"/>
  <c r="F12" i="2" a="1"/>
  <c r="F9" i="2" a="1"/>
  <c r="F14" i="2" a="1"/>
  <c r="F8" i="2" a="1"/>
  <c r="F11" i="2" a="1"/>
  <c r="F16" i="2" a="1"/>
  <c r="F10" i="2" a="1"/>
  <c r="F17" i="2" a="1"/>
  <c r="F14" i="2" l="1"/>
  <c r="F17" i="2"/>
  <c r="F9" i="2"/>
  <c r="F10" i="2"/>
  <c r="F11" i="2"/>
  <c r="F12" i="2"/>
  <c r="F13" i="2"/>
  <c r="F15" i="2"/>
  <c r="F16" i="2"/>
  <c r="F8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Masatoshi</author>
  </authors>
  <commentList>
    <comment ref="A6" authorId="0" shapeId="0" xr:uid="{00000000-0006-0000-0000-000001000000}">
      <text>
        <r>
          <rPr>
            <sz val="9"/>
            <color rgb="FF000000"/>
            <rFont val="Tahoma"/>
            <family val="2"/>
          </rPr>
          <t>K=キー項目
A=自動設定項目
N=NULL許容項目
D=既定値設定あり</t>
        </r>
      </text>
    </comment>
    <comment ref="A7" authorId="0" shapeId="0" xr:uid="{00000000-0006-0000-0000-000002000000}">
      <text>
        <r>
          <rPr>
            <sz val="9"/>
            <color rgb="FF000000"/>
            <rFont val="Tahoma"/>
            <family val="2"/>
          </rPr>
          <t>入力対象とする場合は「*」をセットします。
空白にすると入力対象から外されます。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Masatoshi</author>
  </authors>
  <commentList>
    <comment ref="A6" authorId="0" shapeId="0" xr:uid="{00000000-0006-0000-0100-000001000000}">
      <text>
        <r>
          <rPr>
            <sz val="9"/>
            <color rgb="FF000000"/>
            <rFont val="Tahoma"/>
            <family val="2"/>
          </rPr>
          <t>K=キー項目
A=自動設定項目
N=NULL許容項目
D=既定値設定あり</t>
        </r>
      </text>
    </comment>
    <comment ref="A7" authorId="0" shapeId="0" xr:uid="{00000000-0006-0000-0100-000002000000}">
      <text>
        <r>
          <rPr>
            <sz val="9"/>
            <color rgb="FF000000"/>
            <rFont val="Tahoma"/>
            <family val="2"/>
          </rPr>
          <t>入力対象とする場合は「*」をセットします。
空白にすると入力対象から外されます。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Masatoshi</author>
  </authors>
  <commentList>
    <comment ref="A6" authorId="0" shapeId="0" xr:uid="{00000000-0006-0000-0200-000001000000}">
      <text>
        <r>
          <rPr>
            <sz val="9"/>
            <color rgb="FF000000"/>
            <rFont val="Tahoma"/>
            <family val="2"/>
          </rPr>
          <t>K=キー項目
A=自動設定項目
N=NULL許容項目
D=既定値設定あり</t>
        </r>
      </text>
    </comment>
    <comment ref="A7" authorId="0" shapeId="0" xr:uid="{00000000-0006-0000-0200-000002000000}">
      <text>
        <r>
          <rPr>
            <sz val="9"/>
            <color rgb="FF000000"/>
            <rFont val="Tahoma"/>
            <family val="2"/>
          </rPr>
          <t>入力対象とする場合は「*」をセットします。
空白にすると入力対象から外されます。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Masatoshi</author>
  </authors>
  <commentList>
    <comment ref="A6" authorId="0" shapeId="0" xr:uid="{00000000-0006-0000-0300-000001000000}">
      <text>
        <r>
          <rPr>
            <sz val="9"/>
            <color rgb="FF000000"/>
            <rFont val="Tahoma"/>
            <family val="2"/>
          </rPr>
          <t>K=キー項目
A=自動設定項目
N=NULL許容項目
D=既定値設定あり</t>
        </r>
      </text>
    </comment>
    <comment ref="A7" authorId="0" shapeId="0" xr:uid="{00000000-0006-0000-0300-000002000000}">
      <text>
        <r>
          <rPr>
            <sz val="9"/>
            <color rgb="FF000000"/>
            <rFont val="Tahoma"/>
            <family val="2"/>
          </rPr>
          <t>入力対象とする場合は「*」をセットします。
空白にすると入力対象から外されます。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Masatoshi</author>
  </authors>
  <commentList>
    <comment ref="A6" authorId="0" shapeId="0" xr:uid="{00000000-0006-0000-0400-000001000000}">
      <text>
        <r>
          <rPr>
            <sz val="9"/>
            <color rgb="FF000000"/>
            <rFont val="Tahoma"/>
            <family val="2"/>
          </rPr>
          <t>K=キー項目
A=自動設定項目
N=NULL許容項目
D=既定値設定あり</t>
        </r>
      </text>
    </comment>
    <comment ref="A7" authorId="0" shapeId="0" xr:uid="{00000000-0006-0000-0400-000002000000}">
      <text>
        <r>
          <rPr>
            <sz val="9"/>
            <color rgb="FF000000"/>
            <rFont val="Tahoma"/>
            <family val="2"/>
          </rPr>
          <t>入力対象とする場合は「*」をセットします。
空白にすると入力対象から外されます。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<sst xmlns="http://schemas.openxmlformats.org/spreadsheetml/2006/main" count="437" uniqueCount="147">
  <si>
    <t>テーブル名</t>
  </si>
  <si>
    <t>hr.departments</t>
  </si>
  <si>
    <t>論理名</t>
  </si>
  <si>
    <t>部門マスター</t>
  </si>
  <si>
    <t>処理結果</t>
  </si>
  <si>
    <t/>
  </si>
  <si>
    <t>項目名</t>
  </si>
  <si>
    <t>項目論理名</t>
  </si>
  <si>
    <t>データ型</t>
  </si>
  <si>
    <t>項目属性</t>
  </si>
  <si>
    <t>入力対象</t>
  </si>
  <si>
    <t>dept_id</t>
  </si>
  <si>
    <t>部門ID</t>
  </si>
  <si>
    <t>Char(6)</t>
  </si>
  <si>
    <t>K</t>
  </si>
  <si>
    <t>*</t>
  </si>
  <si>
    <t>dept_name</t>
  </si>
  <si>
    <t>部門名</t>
  </si>
  <si>
    <t>NVarChar(100)</t>
  </si>
  <si>
    <t>parent_dept_id</t>
  </si>
  <si>
    <t>親部門ID</t>
  </si>
  <si>
    <t>N</t>
  </si>
  <si>
    <t>created_at</t>
  </si>
  <si>
    <t>作成日時</t>
  </si>
  <si>
    <t>DateTime</t>
  </si>
  <si>
    <t>D</t>
  </si>
  <si>
    <t>created_by</t>
  </si>
  <si>
    <t>作成者ID</t>
  </si>
  <si>
    <t>VarChar(20)</t>
  </si>
  <si>
    <t>updated_at</t>
  </si>
  <si>
    <t>更新日時</t>
  </si>
  <si>
    <t>updated_by</t>
  </si>
  <si>
    <t>更新者ID</t>
  </si>
  <si>
    <t>処理成否</t>
  </si>
  <si>
    <t>処理失敗時メッセージ</t>
  </si>
  <si>
    <t>hr.employees</t>
  </si>
  <si>
    <t>従業員マスター（担当者マスター）</t>
  </si>
  <si>
    <t>employee_id</t>
  </si>
  <si>
    <t>従業員ID（担当者コード）</t>
  </si>
  <si>
    <t>Char(8)</t>
  </si>
  <si>
    <t>last_name</t>
  </si>
  <si>
    <t>姓</t>
  </si>
  <si>
    <t>NVarChar(50)</t>
  </si>
  <si>
    <t>first_name</t>
  </si>
  <si>
    <t>名</t>
  </si>
  <si>
    <t>email</t>
  </si>
  <si>
    <t>業務メールアドレス</t>
  </si>
  <si>
    <t>VarChar(254)</t>
  </si>
  <si>
    <t>is_active</t>
  </si>
  <si>
    <t>有効フラグ（1=有効,0=無効）</t>
  </si>
  <si>
    <t>Bit</t>
  </si>
  <si>
    <t>sales.clients</t>
  </si>
  <si>
    <t>取引先マスター</t>
  </si>
  <si>
    <t>client_id</t>
  </si>
  <si>
    <t>取引先ID</t>
  </si>
  <si>
    <t>client_name</t>
  </si>
  <si>
    <t>取引先名</t>
  </si>
  <si>
    <t>NVarChar(200)</t>
  </si>
  <si>
    <t>client_name_kana</t>
  </si>
  <si>
    <t>取引先名カナ</t>
  </si>
  <si>
    <t>contact_person</t>
  </si>
  <si>
    <t>先方担当者名</t>
  </si>
  <si>
    <t>phone</t>
  </si>
  <si>
    <t>電話番号</t>
  </si>
  <si>
    <t>メールアドレス</t>
  </si>
  <si>
    <t>address_line1</t>
  </si>
  <si>
    <t>住所1：番地・建物（日本: 丁目番地・建物名に相当）</t>
  </si>
  <si>
    <t>address_line2</t>
  </si>
  <si>
    <t>住所2：追加行（日本: 使用頻度低。集合住宅名・部屋番号等）</t>
  </si>
  <si>
    <t>city</t>
  </si>
  <si>
    <t>市区町村（日本: 市区町村に相当）</t>
  </si>
  <si>
    <t>state_province</t>
  </si>
  <si>
    <t>都道府県・州（日本: 都道府県に相当）</t>
  </si>
  <si>
    <t>postal_code</t>
  </si>
  <si>
    <t>郵便番号（日本: ハイフンなし例1500001）</t>
  </si>
  <si>
    <t>country_code</t>
  </si>
  <si>
    <t>国コード（ISO 3166-1 alpha-2）</t>
  </si>
  <si>
    <t>Char(2)</t>
  </si>
  <si>
    <t>有効フラグ</t>
  </si>
  <si>
    <t>sales.common_codes</t>
  </si>
  <si>
    <t>共通コードマスター</t>
  </si>
  <si>
    <t>category_name</t>
  </si>
  <si>
    <t>区分名（DB内のテーブルで使用される各種区分名。実際のテーブル項目の物理名を指定する）</t>
  </si>
  <si>
    <t>category_code</t>
  </si>
  <si>
    <t>区分値（その区分のコード値）</t>
  </si>
  <si>
    <t>category_code_name</t>
  </si>
  <si>
    <t>区分値名（その区分のコード値に割り当てられる名前）</t>
  </si>
  <si>
    <t>category_code_description</t>
  </si>
  <si>
    <t>区分値説明（その区分のコード値の説明）</t>
  </si>
  <si>
    <t>NVarChar(400)</t>
  </si>
  <si>
    <t>sales.services</t>
  </si>
  <si>
    <t>サービスマスター（広告種別・料金定義）</t>
  </si>
  <si>
    <t>service_id</t>
  </si>
  <si>
    <t>サービスID</t>
  </si>
  <si>
    <t>service_name</t>
  </si>
  <si>
    <t>サービス名</t>
  </si>
  <si>
    <t>ad_type</t>
  </si>
  <si>
    <t>広告種別（B=バナー広告,V=動画広告）</t>
  </si>
  <si>
    <t>Char(1)</t>
  </si>
  <si>
    <t>banner_size</t>
  </si>
  <si>
    <t>バナーサイズ（バナー広告のみ。例:468x60,728x90,300x250）</t>
  </si>
  <si>
    <t>html_embed_available</t>
  </si>
  <si>
    <t>HTML埋め込み可否（バナー広告のみ）</t>
  </si>
  <si>
    <t>js_embed_available</t>
  </si>
  <si>
    <t>JavaScript埋め込み可否（バナー広告のみ）</t>
  </si>
  <si>
    <t>video_duration_sec</t>
  </si>
  <si>
    <t>動画表示時間（秒）（動画広告のみ）</t>
  </si>
  <si>
    <t>Int</t>
  </si>
  <si>
    <t>price_weekly</t>
  </si>
  <si>
    <t>週単位料金（税抜）</t>
  </si>
  <si>
    <t>Decimal(15,2)</t>
  </si>
  <si>
    <t>price_monthly</t>
  </si>
  <si>
    <t>月単位料金（税抜）</t>
  </si>
  <si>
    <t>currency_code</t>
  </si>
  <si>
    <t>料金通貨コード（ISO 4217）</t>
  </si>
  <si>
    <t>Char(3)</t>
  </si>
  <si>
    <r>
      <rPr>
        <sz val="11"/>
        <color rgb="FF000000"/>
        <rFont val="Calibri"/>
        <family val="2"/>
      </rPr>
      <t>DP0001</t>
    </r>
    <phoneticPr fontId="0"/>
  </si>
  <si>
    <r>
      <rPr>
        <sz val="11"/>
        <color rgb="FF000000"/>
        <rFont val="Calibri"/>
        <family val="2"/>
      </rPr>
      <t>営業部</t>
    </r>
    <phoneticPr fontId="0"/>
  </si>
  <si>
    <r>
      <rPr>
        <sz val="11"/>
        <color rgb="FF000000"/>
        <rFont val="Calibri"/>
        <family val="2"/>
      </rPr>
      <t>(null)</t>
    </r>
    <phoneticPr fontId="0"/>
  </si>
  <si>
    <r>
      <rPr>
        <sz val="11"/>
        <color rgb="FF000000"/>
        <rFont val="Calibri"/>
        <family val="2"/>
      </rPr>
      <t>system</t>
    </r>
    <phoneticPr fontId="0"/>
  </si>
  <si>
    <r>
      <rPr>
        <sz val="11"/>
        <color rgb="FF000000"/>
        <rFont val="Calibri"/>
        <family val="2"/>
      </rPr>
      <t>sys_administrator</t>
    </r>
    <phoneticPr fontId="0"/>
  </si>
  <si>
    <t>TRUE</t>
  </si>
  <si>
    <r>
      <rPr>
        <sz val="11"/>
        <color rgb="FF000000"/>
        <rFont val="Calibri"/>
        <family val="2"/>
      </rPr>
      <t>SC0001</t>
    </r>
    <phoneticPr fontId="0"/>
  </si>
  <si>
    <r>
      <rPr>
        <sz val="11"/>
        <color rgb="FF000000"/>
        <rFont val="Noto Sans JP"/>
        <family val="2"/>
        <charset val="128"/>
      </rPr>
      <t>アカウント営業課</t>
    </r>
    <phoneticPr fontId="0"/>
  </si>
  <si>
    <r>
      <rPr>
        <sz val="11"/>
        <color rgb="FF000000"/>
        <rFont val="Calibri"/>
        <family val="2"/>
      </rPr>
      <t>sys_operator</t>
    </r>
    <phoneticPr fontId="0"/>
  </si>
  <si>
    <r>
      <rPr>
        <sz val="11"/>
        <color rgb="FF000000"/>
        <rFont val="Calibri"/>
        <family val="2"/>
      </rPr>
      <t>SC0002</t>
    </r>
    <phoneticPr fontId="0"/>
  </si>
  <si>
    <r>
      <rPr>
        <sz val="11"/>
        <color rgb="FF000000"/>
        <rFont val="Calibri"/>
        <family val="2"/>
      </rPr>
      <t>広告運用課</t>
    </r>
    <phoneticPr fontId="0"/>
  </si>
  <si>
    <r>
      <rPr>
        <sz val="11"/>
        <color rgb="FF000000"/>
        <rFont val="Calibri"/>
        <family val="2"/>
      </rPr>
      <t>DP0002</t>
    </r>
    <phoneticPr fontId="0"/>
  </si>
  <si>
    <r>
      <rPr>
        <sz val="11"/>
        <color rgb="FF000000"/>
        <rFont val="Calibri"/>
        <family val="2"/>
      </rPr>
      <t>マーケティング部</t>
    </r>
    <phoneticPr fontId="0"/>
  </si>
  <si>
    <r>
      <rPr>
        <sz val="11"/>
        <color rgb="FF000000"/>
        <rFont val="Calibri"/>
        <family val="2"/>
      </rPr>
      <t>SC0003</t>
    </r>
    <phoneticPr fontId="0"/>
  </si>
  <si>
    <r>
      <rPr>
        <sz val="11"/>
        <color rgb="FF000000"/>
        <rFont val="Calibri"/>
        <family val="2"/>
      </rPr>
      <t>メディアプランニング課</t>
    </r>
    <phoneticPr fontId="0"/>
  </si>
  <si>
    <r>
      <rPr>
        <sz val="11"/>
        <color rgb="FF000000"/>
        <rFont val="Calibri"/>
        <family val="2"/>
      </rPr>
      <t>sys_developer</t>
    </r>
    <phoneticPr fontId="0"/>
  </si>
  <si>
    <r>
      <rPr>
        <sz val="11"/>
        <color rgb="FF000000"/>
        <rFont val="Calibri"/>
        <family val="2"/>
      </rPr>
      <t>SC0004</t>
    </r>
    <phoneticPr fontId="0"/>
  </si>
  <si>
    <r>
      <rPr>
        <sz val="11"/>
        <color rgb="FF000000"/>
        <rFont val="Calibri"/>
        <family val="2"/>
      </rPr>
      <t>クリエイティブ企画課</t>
    </r>
    <phoneticPr fontId="0"/>
  </si>
  <si>
    <r>
      <rPr>
        <sz val="11"/>
        <color rgb="FF000000"/>
        <rFont val="Calibri"/>
        <family val="2"/>
      </rPr>
      <t>DP0003</t>
    </r>
    <phoneticPr fontId="0"/>
  </si>
  <si>
    <r>
      <rPr>
        <sz val="11"/>
        <color rgb="FF000000"/>
        <rFont val="Calibri"/>
        <family val="2"/>
      </rPr>
      <t>管理部</t>
    </r>
    <phoneticPr fontId="0"/>
  </si>
  <si>
    <r>
      <rPr>
        <sz val="11"/>
        <color rgb="FF000000"/>
        <rFont val="Calibri"/>
        <family val="2"/>
      </rPr>
      <t>SC0005</t>
    </r>
    <phoneticPr fontId="0"/>
  </si>
  <si>
    <r>
      <rPr>
        <sz val="11"/>
        <color rgb="FF000000"/>
        <rFont val="Calibri"/>
        <family val="2"/>
      </rPr>
      <t>経理総務課</t>
    </r>
    <phoneticPr fontId="0"/>
  </si>
  <si>
    <r>
      <rPr>
        <sz val="11"/>
        <color rgb="FF000000"/>
        <rFont val="Calibri"/>
        <family val="2"/>
      </rPr>
      <t>SC0006</t>
    </r>
    <phoneticPr fontId="0"/>
  </si>
  <si>
    <r>
      <rPr>
        <sz val="11"/>
        <color rgb="FF000000"/>
        <rFont val="Calibri"/>
        <family val="2"/>
      </rPr>
      <t>人事労務課</t>
    </r>
    <phoneticPr fontId="0"/>
  </si>
  <si>
    <r>
      <rPr>
        <sz val="11"/>
        <color rgb="FF000000"/>
        <rFont val="Calibri"/>
        <family val="2"/>
      </rPr>
      <t>DP0004</t>
    </r>
    <phoneticPr fontId="0"/>
  </si>
  <si>
    <r>
      <rPr>
        <sz val="11"/>
        <color rgb="FF000000"/>
        <rFont val="Calibri"/>
        <family val="2"/>
      </rPr>
      <t>システム部</t>
    </r>
    <phoneticPr fontId="0"/>
  </si>
  <si>
    <t>sys_administrator</t>
  </si>
  <si>
    <t>sys_operator</t>
  </si>
  <si>
    <t>24000015</t>
    <phoneticPr fontId="2"/>
  </si>
  <si>
    <t>DB種類</t>
  </si>
  <si>
    <t>Microsoft SQL Server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</si>
</sst>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 hh:mm:ss"/>
  </numFmts>
  <fonts count="5" x14ac:knownFonts="1">
    <font>
      <sz val="11"/>
      <color rgb="FF000000"/>
      <name val="Calibri"/>
      <family val="2"/>
    </font>
    <font>
      <sz val="9"/>
      <color rgb="FF000000"/>
      <name val="Tahoma"/>
      <family val="2"/>
    </font>
    <font>
      <sz val="6"/>
      <name val="ＭＳ ゴシック"/>
      <family val="3"/>
      <charset val="128"/>
    </font>
    <font>
      <b/>
      <sz val="11"/>
      <color rgb="FF0000FF"/>
      <name val="Calibri"/>
      <family val="2"/>
    </font>
    <font>
      <sz val="11"/>
      <color rgb="FF000000"/>
      <name val="Noto Sans JP"/>
      <family val="2"/>
      <charset val="128"/>
    </font>
  </fonts>
  <fills count="7">
    <fill>
      <patternFill patternType="none"/>
    </fill>
    <fill>
      <patternFill patternType="gray125"/>
    </fill>
    <fill>
      <patternFill patternType="solid">
        <fgColor rgb="FFD9D9D9"/>
      </patternFill>
    </fill>
    <fill>
      <patternFill patternType="solid">
        <fgColor rgb="FFF2F2F2"/>
      </patternFill>
    </fill>
    <fill>
      <patternFill patternType="solid">
        <fgColor rgb="FFBDD7EE"/>
      </patternFill>
    </fill>
    <fill>
      <patternFill patternType="solid">
        <fgColor rgb="FFC0C0C0"/>
      </patternFill>
    </fill>
    <fill>
      <patternFill patternType="solid">
        <fgColor rgb="FFD9E1F2"/>
      </patternFill>
    </fill>
  </fills>
  <borders count="1">
    <border>
      <left/>
      <right/>
      <top/>
      <bottom/>
      <diagonal/>
    </border>
  </borders>
  <cellStyleXfs count="1">
    <xf numFmtId="0" fontId="0" fillId="0" borderId="0" applyBorder="0"/>
  </cellStyleXfs>
  <cellXfs count="34">
    <xf numFmtId="0" fontId="0" fillId="0" borderId="0" xfId="0"/>
    <xf numFmtId="0" fontId="0" fillId="0" borderId="0" xfId="0" applyAlignment="1" applyProtection="1">
      <alignment vertical="top"/>
      <protection locked="0"/>
    </xf>
    <xf numFmtId="49" fontId="0" fillId="0" borderId="0" xfId="0" applyNumberFormat="1" applyAlignment="1" applyProtection="1">
      <alignment vertical="top" wrapText="1"/>
      <protection locked="0"/>
    </xf>
    <xf numFmtId="176" fontId="0" fillId="0" borderId="0" xfId="0" applyNumberFormat="1" applyAlignment="1" applyProtection="1">
      <alignment vertical="top"/>
      <protection locked="0"/>
    </xf>
    <xf numFmtId="0" fontId="0" fillId="0" borderId="0" xfId="0" applyAlignment="1">
      <alignment vertical="top"/>
    </xf>
    <xf numFmtId="0" fontId="0" fillId="2" borderId="0" xfId="0" applyFill="1" applyAlignment="1">
      <alignment vertical="top"/>
    </xf>
    <xf numFmtId="49" fontId="0" fillId="3" borderId="0" xfId="0" applyNumberFormat="1" applyFill="1" applyAlignment="1">
      <alignment vertical="top"/>
    </xf>
    <xf numFmtId="49" fontId="0" fillId="2" borderId="0" xfId="0" applyNumberFormat="1" applyFill="1" applyAlignment="1">
      <alignment vertical="top"/>
    </xf>
    <xf numFmtId="176" fontId="0" fillId="0" borderId="0" xfId="0" applyNumberFormat="1" applyAlignment="1">
      <alignment vertical="top"/>
    </xf>
    <xf numFmtId="49" fontId="0" fillId="0" borderId="0" xfId="0" applyNumberFormat="1" applyAlignment="1">
      <alignment vertical="top"/>
    </xf>
    <xf numFmtId="49" fontId="0" fillId="0" borderId="0" xfId="0" applyNumberFormat="1" applyAlignment="1" applyProtection="1">
      <alignment vertical="top"/>
      <protection locked="0"/>
    </xf>
    <xf numFmtId="49" fontId="0" fillId="2" borderId="0" xfId="0" applyNumberFormat="1" applyFill="1" applyAlignment="1">
      <alignment vertical="top" wrapText="1"/>
    </xf>
    <xf numFmtId="49" fontId="0" fillId="4" borderId="0" xfId="0" applyNumberFormat="1" applyFill="1" applyAlignment="1">
      <alignment vertical="top"/>
    </xf>
    <xf numFmtId="49" fontId="0" fillId="5" borderId="0" xfId="0" applyNumberFormat="1" applyFill="1" applyAlignment="1">
      <alignment vertical="top"/>
    </xf>
    <xf numFmtId="176" fontId="0" fillId="5" borderId="0" xfId="0" applyNumberFormat="1" applyFill="1" applyAlignment="1">
      <alignment vertical="top" wrapText="1"/>
    </xf>
    <xf numFmtId="49" fontId="0" fillId="5" borderId="0" xfId="0" applyNumberFormat="1" applyFill="1" applyAlignment="1">
      <alignment vertical="top" wrapText="1"/>
    </xf>
    <xf numFmtId="176" fontId="0" fillId="5" borderId="0" xfId="0" applyNumberFormat="1" applyFill="1" applyAlignment="1">
      <alignment vertical="top"/>
    </xf>
    <xf numFmtId="0" fontId="0" fillId="5" borderId="0" xfId="0" applyFill="1" applyAlignment="1">
      <alignment vertical="top"/>
    </xf>
    <xf numFmtId="0" fontId="0" fillId="2" borderId="0" xfId="0" applyFill="1" applyAlignment="1" applyProtection="1">
      <alignment vertical="top"/>
      <protection locked="0"/>
    </xf>
    <xf numFmtId="49" fontId="0" fillId="4" borderId="0" xfId="0" applyNumberFormat="1" applyFill="1" applyAlignment="1" applyProtection="1">
      <alignment vertical="top"/>
      <protection locked="0"/>
    </xf>
    <xf numFmtId="49" fontId="0" fillId="5" borderId="0" xfId="0" applyNumberFormat="1" applyFill="1" applyAlignment="1" applyProtection="1">
      <alignment vertical="top"/>
      <protection locked="0"/>
    </xf>
    <xf numFmtId="176" fontId="0" fillId="5" borderId="0" xfId="0" applyNumberFormat="1" applyFill="1" applyAlignment="1" applyProtection="1">
      <alignment vertical="top"/>
      <protection locked="0"/>
    </xf>
    <xf numFmtId="0" fontId="0" fillId="6" borderId="0" xfId="0" applyFill="1" applyAlignment="1" applyProtection="1">
      <alignment vertical="top"/>
      <protection locked="0"/>
    </xf>
    <xf numFmtId="0" fontId="0" fillId="5" borderId="0" xfId="0" applyFill="1" applyAlignment="1">
      <alignment vertical="top" wrapText="1"/>
    </xf>
    <xf numFmtId="0" fontId="0" fillId="5" borderId="0" xfId="0" applyFill="1" applyAlignment="1" applyProtection="1">
      <alignment vertical="top"/>
      <protection locked="0"/>
    </xf>
    <xf numFmtId="2" fontId="0" fillId="0" borderId="0" xfId="0" applyNumberFormat="1" applyAlignment="1" applyProtection="1">
      <alignment vertical="top"/>
      <protection locked="0"/>
    </xf>
    <xf numFmtId="2" fontId="0" fillId="0" borderId="0" xfId="0" applyNumberFormat="1" applyAlignment="1">
      <alignment vertical="top"/>
    </xf>
    <xf numFmtId="2" fontId="0" fillId="5" borderId="0" xfId="0" applyNumberFormat="1" applyFill="1" applyAlignment="1">
      <alignment vertical="top" wrapText="1"/>
    </xf>
    <xf numFmtId="2" fontId="0" fillId="5" borderId="0" xfId="0" applyNumberFormat="1" applyFill="1" applyAlignment="1">
      <alignment vertical="top"/>
    </xf>
    <xf numFmtId="2" fontId="0" fillId="5" borderId="0" xfId="0" applyNumberFormat="1" applyFill="1" applyAlignment="1" applyProtection="1">
      <alignment vertical="top"/>
      <protection locked="0"/>
    </xf>
    <xf numFmtId="0" fontId="3" fillId="0" borderId="0" xfId="0" applyFont="1" applyAlignment="1" applyProtection="1">
      <alignment vertical="top"/>
      <protection locked="0"/>
    </xf>
    <xf numFmtId="49" fontId="4" fillId="0" borderId="0" xfId="0" applyNumberFormat="1" applyFont="1" applyAlignment="1" applyProtection="1">
      <alignment vertical="top" wrapText="1"/>
      <protection locked="0"/>
    </xf>
    <xf numFmtId="0" fontId="0" fillId="0" borderId="0" xfId="0" applyAlignment="1" applyProtection="1">
      <alignment vertical="top" wrapText="1"/>
      <protection locked="0"/>
    </xf>
    <xf numFmtId="176" fontId="0" fillId="3" borderId="0" xfId="0" applyNumberFormat="1" applyFill="1" applyAlignment="1">
      <alignment vertical="top"/>
    </xf>
  </cellXfs>
  <cellStyles count="1">
    <cellStyle name="標準" xfId="0" builtinId="0"/>
  </cellStyles>
  <dxfs count="20">
    <dxf>
      <fill>
        <patternFill patternType="solid">
          <fgColor auto="1"/>
          <bgColor rgb="FFFFFF99"/>
        </patternFill>
      </fill>
    </dxf>
    <dxf>
      <fill>
        <patternFill patternType="solid">
          <fgColor auto="1"/>
          <bgColor rgb="FFDDEBF7"/>
        </patternFill>
      </fill>
    </dxf>
    <dxf>
      <fill>
        <patternFill patternType="solid">
          <fgColor auto="1"/>
          <bgColor rgb="FFCCFF99"/>
        </patternFill>
      </fill>
    </dxf>
    <dxf>
      <fill>
        <patternFill patternType="solid">
          <fgColor auto="1"/>
          <bgColor rgb="FFBDD7EE"/>
        </patternFill>
      </fill>
    </dxf>
    <dxf>
      <fill>
        <patternFill patternType="solid">
          <fgColor auto="1"/>
          <bgColor rgb="FFFFFF99"/>
        </patternFill>
      </fill>
    </dxf>
    <dxf>
      <fill>
        <patternFill patternType="solid">
          <fgColor auto="1"/>
          <bgColor rgb="FFDDEBF7"/>
        </patternFill>
      </fill>
    </dxf>
    <dxf>
      <fill>
        <patternFill patternType="solid">
          <fgColor auto="1"/>
          <bgColor rgb="FFCCFF99"/>
        </patternFill>
      </fill>
    </dxf>
    <dxf>
      <fill>
        <patternFill patternType="solid">
          <fgColor auto="1"/>
          <bgColor rgb="FFBDD7EE"/>
        </patternFill>
      </fill>
    </dxf>
    <dxf>
      <fill>
        <patternFill patternType="solid">
          <fgColor auto="1"/>
          <bgColor rgb="FFFFFF99"/>
        </patternFill>
      </fill>
    </dxf>
    <dxf>
      <fill>
        <patternFill patternType="solid">
          <fgColor auto="1"/>
          <bgColor rgb="FFDDEBF7"/>
        </patternFill>
      </fill>
    </dxf>
    <dxf>
      <fill>
        <patternFill patternType="solid">
          <fgColor auto="1"/>
          <bgColor rgb="FFCCFF99"/>
        </patternFill>
      </fill>
    </dxf>
    <dxf>
      <fill>
        <patternFill patternType="solid">
          <fgColor auto="1"/>
          <bgColor rgb="FFBDD7EE"/>
        </patternFill>
      </fill>
    </dxf>
    <dxf>
      <fill>
        <patternFill patternType="solid">
          <fgColor auto="1"/>
          <bgColor rgb="FFFFFF99"/>
        </patternFill>
      </fill>
    </dxf>
    <dxf>
      <fill>
        <patternFill patternType="solid">
          <fgColor auto="1"/>
          <bgColor rgb="FFDDEBF7"/>
        </patternFill>
      </fill>
    </dxf>
    <dxf>
      <fill>
        <patternFill patternType="solid">
          <fgColor auto="1"/>
          <bgColor rgb="FFCCFF99"/>
        </patternFill>
      </fill>
    </dxf>
    <dxf>
      <fill>
        <patternFill patternType="solid">
          <fgColor auto="1"/>
          <bgColor rgb="FFBDD7EE"/>
        </patternFill>
      </fill>
    </dxf>
    <dxf>
      <fill>
        <patternFill patternType="solid">
          <fgColor auto="1"/>
          <bgColor rgb="FFFFFF99"/>
        </patternFill>
      </fill>
    </dxf>
    <dxf>
      <fill>
        <patternFill patternType="solid">
          <fgColor auto="1"/>
          <bgColor rgb="FFDDEBF7"/>
        </patternFill>
      </fill>
    </dxf>
    <dxf>
      <fill>
        <patternFill patternType="solid">
          <fgColor auto="1"/>
          <bgColor rgb="FFCCFF99"/>
        </patternFill>
      </fill>
    </dxf>
    <dxf>
      <fill>
        <patternFill patternType="solid">
          <fgColor auto="1"/>
          <bgColor rgb="FFBDD7E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17"/>
  <sheetViews>
    <sheetView tabSelected="1" workbookViewId="0">
      <selection activeCell="E1" sqref="E1:F1"/>
    </sheetView>
  </sheetViews>
  <sheetFormatPr defaultColWidth="9.1796875" defaultRowHeight="14.5" x14ac:dyDescent="0.35"/>
  <cols>
    <col min="1" max="1" width="18.7265625" style="1" customWidth="1"/>
    <col min="2" max="2" width="17.7265625" style="2" customWidth="1"/>
    <col min="3" max="3" width="18.7265625" style="2" customWidth="1"/>
    <col min="4" max="4" width="16.7265625" style="2" customWidth="1"/>
    <col min="5" max="5" width="22.7265625" style="3" customWidth="1"/>
    <col min="6" max="6" width="30.7265625" style="2" customWidth="1"/>
    <col min="7" max="7" width="22.7265625" style="3" customWidth="1"/>
    <col min="8" max="8" width="30.7265625" style="2" customWidth="1"/>
    <col min="9" max="9" width="10.7265625" style="1" customWidth="1"/>
    <col min="10" max="10" width="48.7265625" style="1" customWidth="1"/>
    <col min="11" max="11" width="9.1796875" style="1" customWidth="1"/>
    <col min="12" max="16384" width="9.1796875" style="1"/>
  </cols>
  <sheetData>
    <row r="1" spans="1:10" s="4" customFormat="1" x14ac:dyDescent="0.35">
      <c r="A1" s="5" t="s">
        <v>0</v>
      </c>
      <c r="B1" s="6" t="s">
        <v>1</v>
      </c>
      <c r="C1" s="7" t="s">
        <v>2</v>
      </c>
      <c r="D1" s="6" t="s">
        <v>3</v>
      </c>
      <c r="E1" s="7" t="s">
        <v>145</v>
      </c>
      <c r="F1" s="33" t="s">
        <v>146</v>
      </c>
      <c r="G1" s="8"/>
      <c r="H1" s="9"/>
    </row>
    <row r="2" spans="1:10" s="4" customFormat="1" x14ac:dyDescent="0.35">
      <c r="A2" s="5" t="s">
        <v>4</v>
      </c>
      <c r="B2" s="10" t="s">
        <v>5</v>
      </c>
      <c r="C2" s="9"/>
      <c r="D2" s="9"/>
      <c r="E2" s="8"/>
      <c r="F2" s="9"/>
      <c r="G2" s="8"/>
      <c r="H2" s="9"/>
    </row>
    <row r="3" spans="1:10" s="4" customFormat="1" x14ac:dyDescent="0.35">
      <c r="A3" s="11" t="s">
        <v>6</v>
      </c>
      <c r="B3" s="12" t="s">
        <v>11</v>
      </c>
      <c r="C3" s="13" t="s">
        <v>16</v>
      </c>
      <c r="D3" s="13" t="s">
        <v>19</v>
      </c>
      <c r="E3" s="14" t="s">
        <v>22</v>
      </c>
      <c r="F3" s="13" t="s">
        <v>26</v>
      </c>
      <c r="G3" s="14" t="s">
        <v>29</v>
      </c>
      <c r="H3" s="13" t="s">
        <v>31</v>
      </c>
      <c r="I3" s="15" t="s">
        <v>33</v>
      </c>
      <c r="J3" s="15" t="s">
        <v>34</v>
      </c>
    </row>
    <row r="4" spans="1:10" s="4" customFormat="1" x14ac:dyDescent="0.35">
      <c r="A4" s="11" t="s">
        <v>7</v>
      </c>
      <c r="B4" s="12" t="s">
        <v>12</v>
      </c>
      <c r="C4" s="13" t="s">
        <v>17</v>
      </c>
      <c r="D4" s="13" t="s">
        <v>20</v>
      </c>
      <c r="E4" s="16" t="s">
        <v>23</v>
      </c>
      <c r="F4" s="13" t="s">
        <v>27</v>
      </c>
      <c r="G4" s="16" t="s">
        <v>30</v>
      </c>
      <c r="H4" s="13" t="s">
        <v>32</v>
      </c>
      <c r="I4" s="17"/>
      <c r="J4" s="17"/>
    </row>
    <row r="5" spans="1:10" s="4" customFormat="1" x14ac:dyDescent="0.35">
      <c r="A5" s="11" t="s">
        <v>8</v>
      </c>
      <c r="B5" s="12" t="s">
        <v>13</v>
      </c>
      <c r="C5" s="13" t="s">
        <v>18</v>
      </c>
      <c r="D5" s="13" t="s">
        <v>13</v>
      </c>
      <c r="E5" s="14" t="s">
        <v>24</v>
      </c>
      <c r="F5" s="13" t="s">
        <v>28</v>
      </c>
      <c r="G5" s="14" t="s">
        <v>24</v>
      </c>
      <c r="H5" s="13" t="s">
        <v>28</v>
      </c>
      <c r="I5" s="17"/>
      <c r="J5" s="17"/>
    </row>
    <row r="6" spans="1:10" s="4" customFormat="1" x14ac:dyDescent="0.35">
      <c r="A6" s="5" t="s">
        <v>9</v>
      </c>
      <c r="B6" s="12" t="s">
        <v>14</v>
      </c>
      <c r="C6" s="13" t="s">
        <v>5</v>
      </c>
      <c r="D6" s="13" t="s">
        <v>21</v>
      </c>
      <c r="E6" s="14" t="s">
        <v>25</v>
      </c>
      <c r="F6" s="13" t="s">
        <v>5</v>
      </c>
      <c r="G6" s="14" t="s">
        <v>25</v>
      </c>
      <c r="H6" s="13" t="s">
        <v>5</v>
      </c>
      <c r="I6" s="17"/>
      <c r="J6" s="17"/>
    </row>
    <row r="7" spans="1:10" x14ac:dyDescent="0.35">
      <c r="A7" s="18" t="s">
        <v>10</v>
      </c>
      <c r="B7" s="19" t="s">
        <v>15</v>
      </c>
      <c r="C7" s="20" t="s">
        <v>15</v>
      </c>
      <c r="D7" s="20" t="s">
        <v>15</v>
      </c>
      <c r="E7" s="21" t="s">
        <v>15</v>
      </c>
      <c r="F7" s="20" t="s">
        <v>15</v>
      </c>
      <c r="G7" s="21" t="s">
        <v>15</v>
      </c>
      <c r="H7" s="20" t="s">
        <v>15</v>
      </c>
      <c r="I7" s="22"/>
      <c r="J7" s="22"/>
    </row>
    <row r="8" spans="1:10" x14ac:dyDescent="0.35">
      <c r="B8" s="2" t="s">
        <v>116</v>
      </c>
      <c r="C8" s="2" t="s">
        <v>117</v>
      </c>
      <c r="D8" s="2" t="s">
        <v>118</v>
      </c>
      <c r="E8" s="3">
        <v>44652.375</v>
      </c>
      <c r="F8" s="2" t="s">
        <v>119</v>
      </c>
      <c r="G8" s="3">
        <v>45748.4375</v>
      </c>
      <c r="H8" s="2" t="s">
        <v>120</v>
      </c>
      <c r="I8" s="30" t="s">
        <v>121</v>
      </c>
      <c r="J8" s="1" t="s">
        <v>5</v>
      </c>
    </row>
    <row r="9" spans="1:10" ht="37" customHeight="1" x14ac:dyDescent="0.35">
      <c r="B9" s="2" t="s">
        <v>122</v>
      </c>
      <c r="C9" s="31" t="s">
        <v>123</v>
      </c>
      <c r="D9" s="2" t="s">
        <v>116</v>
      </c>
      <c r="E9" s="3">
        <v>44655.385416666701</v>
      </c>
      <c r="F9" s="2" t="s">
        <v>120</v>
      </c>
      <c r="G9" s="3">
        <v>45820.597222222197</v>
      </c>
      <c r="H9" s="2" t="s">
        <v>124</v>
      </c>
      <c r="I9" s="30" t="s">
        <v>121</v>
      </c>
      <c r="J9" s="1" t="s">
        <v>5</v>
      </c>
    </row>
    <row r="10" spans="1:10" x14ac:dyDescent="0.35">
      <c r="B10" s="2" t="s">
        <v>125</v>
      </c>
      <c r="C10" s="2" t="s">
        <v>126</v>
      </c>
      <c r="D10" s="2" t="s">
        <v>116</v>
      </c>
      <c r="E10" s="3">
        <v>44655.395833333299</v>
      </c>
      <c r="F10" s="2" t="s">
        <v>120</v>
      </c>
      <c r="G10" s="3">
        <v>46071.489583333299</v>
      </c>
      <c r="H10" s="2" t="s">
        <v>124</v>
      </c>
      <c r="I10" s="30" t="s">
        <v>121</v>
      </c>
      <c r="J10" s="1" t="s">
        <v>5</v>
      </c>
    </row>
    <row r="11" spans="1:10" ht="29" customHeight="1" x14ac:dyDescent="0.35">
      <c r="B11" s="2" t="s">
        <v>127</v>
      </c>
      <c r="C11" s="2" t="s">
        <v>128</v>
      </c>
      <c r="D11" s="2" t="s">
        <v>118</v>
      </c>
      <c r="E11" s="3">
        <v>44743.416666666701</v>
      </c>
      <c r="F11" s="2" t="s">
        <v>119</v>
      </c>
      <c r="G11" s="3">
        <v>45905.673611111102</v>
      </c>
      <c r="H11" s="2" t="s">
        <v>120</v>
      </c>
      <c r="I11" s="30" t="s">
        <v>121</v>
      </c>
      <c r="J11" s="1" t="s">
        <v>5</v>
      </c>
    </row>
    <row r="12" spans="1:10" ht="29" customHeight="1" x14ac:dyDescent="0.35">
      <c r="B12" s="2" t="s">
        <v>129</v>
      </c>
      <c r="C12" s="2" t="s">
        <v>130</v>
      </c>
      <c r="D12" s="2" t="s">
        <v>127</v>
      </c>
      <c r="E12" s="3">
        <v>44747.430555555598</v>
      </c>
      <c r="F12" s="2" t="s">
        <v>124</v>
      </c>
      <c r="G12" s="3">
        <v>46044.569444444402</v>
      </c>
      <c r="H12" s="2" t="s">
        <v>131</v>
      </c>
      <c r="I12" s="30" t="s">
        <v>121</v>
      </c>
      <c r="J12" s="1" t="s">
        <v>5</v>
      </c>
    </row>
    <row r="13" spans="1:10" ht="29" customHeight="1" x14ac:dyDescent="0.35">
      <c r="B13" s="2" t="s">
        <v>132</v>
      </c>
      <c r="C13" s="2" t="s">
        <v>133</v>
      </c>
      <c r="D13" s="2" t="s">
        <v>127</v>
      </c>
      <c r="E13" s="3">
        <v>44936.40625</v>
      </c>
      <c r="F13" s="2" t="s">
        <v>124</v>
      </c>
      <c r="G13" s="3">
        <v>46092.642361111102</v>
      </c>
      <c r="H13" s="2" t="s">
        <v>120</v>
      </c>
      <c r="I13" s="30" t="s">
        <v>121</v>
      </c>
      <c r="J13" s="1" t="s">
        <v>5</v>
      </c>
    </row>
    <row r="14" spans="1:10" x14ac:dyDescent="0.35">
      <c r="B14" s="2" t="s">
        <v>134</v>
      </c>
      <c r="C14" s="2" t="s">
        <v>135</v>
      </c>
      <c r="D14" s="2" t="s">
        <v>118</v>
      </c>
      <c r="E14" s="3">
        <v>44515.368055555598</v>
      </c>
      <c r="F14" s="2" t="s">
        <v>119</v>
      </c>
      <c r="G14" s="3">
        <v>45992.413194444402</v>
      </c>
      <c r="H14" s="2" t="s">
        <v>120</v>
      </c>
      <c r="I14" s="30" t="s">
        <v>121</v>
      </c>
      <c r="J14" s="1" t="s">
        <v>5</v>
      </c>
    </row>
    <row r="15" spans="1:10" x14ac:dyDescent="0.35">
      <c r="B15" s="2" t="s">
        <v>136</v>
      </c>
      <c r="C15" s="2" t="s">
        <v>137</v>
      </c>
      <c r="D15" s="2" t="s">
        <v>134</v>
      </c>
      <c r="E15" s="3">
        <v>44531.381944444402</v>
      </c>
      <c r="F15" s="2" t="s">
        <v>120</v>
      </c>
      <c r="G15" s="3">
        <v>46120.711805555598</v>
      </c>
      <c r="H15" s="2" t="s">
        <v>124</v>
      </c>
      <c r="I15" s="30" t="s">
        <v>121</v>
      </c>
      <c r="J15" s="1" t="s">
        <v>5</v>
      </c>
    </row>
    <row r="16" spans="1:10" x14ac:dyDescent="0.35">
      <c r="B16" s="2" t="s">
        <v>138</v>
      </c>
      <c r="C16" s="2" t="s">
        <v>139</v>
      </c>
      <c r="D16" s="2" t="s">
        <v>134</v>
      </c>
      <c r="E16" s="3">
        <v>44606.5625</v>
      </c>
      <c r="F16" s="2" t="s">
        <v>124</v>
      </c>
      <c r="G16" s="3">
        <v>45950.427083333299</v>
      </c>
      <c r="H16" s="2" t="s">
        <v>120</v>
      </c>
      <c r="I16" s="30" t="s">
        <v>121</v>
      </c>
      <c r="J16" s="1" t="s">
        <v>5</v>
      </c>
    </row>
    <row r="17" spans="2:10" x14ac:dyDescent="0.35">
      <c r="B17" s="2" t="s">
        <v>140</v>
      </c>
      <c r="C17" s="2" t="s">
        <v>141</v>
      </c>
      <c r="D17" s="2" t="s">
        <v>118</v>
      </c>
      <c r="E17" s="3">
        <v>45019.375</v>
      </c>
      <c r="F17" s="2" t="s">
        <v>131</v>
      </c>
      <c r="G17" s="3">
        <v>46192.524305555598</v>
      </c>
      <c r="H17" s="2" t="s">
        <v>131</v>
      </c>
      <c r="I17" s="30" t="s">
        <v>121</v>
      </c>
      <c r="J17" s="1" t="s">
        <v>5</v>
      </c>
    </row>
  </sheetData>
  <sheetProtection formatCells="0" formatColumns="0" formatRows="0" insertColumns="0" insertRows="0" insertHyperlinks="0" deleteColumns="0" deleteRows="0" sort="0" autoFilter="0"/>
  <phoneticPr fontId="2"/>
  <conditionalFormatting sqref="B7:H7">
    <cfRule type="expression" dxfId="15" priority="1">
      <formula>AND(ISNUMBER(FIND("K",B6)),B7="*")</formula>
    </cfRule>
    <cfRule type="expression" dxfId="14" priority="2">
      <formula>AND(ISNUMBER(FIND("N",B6)),B7="*")</formula>
    </cfRule>
    <cfRule type="expression" dxfId="13" priority="3">
      <formula>B7="*"</formula>
    </cfRule>
    <cfRule type="expression" dxfId="12" priority="4">
      <formula>B7=""</formula>
    </cfRule>
  </conditionalFormatting>
  <dataValidations disablePrompts="1" count="1">
    <dataValidation type="list" allowBlank="1" showInputMessage="1" showErrorMessage="1" sqref="B7:H7" xr:uid="{00000000-0002-0000-0000-000000000000}">
      <formula1>"*,"</formula1>
    </dataValidation>
  </dataValidations>
  <pageMargins left="0.75" right="0.75" top="0.75" bottom="0.5" header="0.5" footer="0.75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27"/>
  <sheetViews>
    <sheetView workbookViewId="0">
      <selection activeCell="E1" sqref="E1:F1"/>
    </sheetView>
  </sheetViews>
  <sheetFormatPr defaultColWidth="9.1796875" defaultRowHeight="14.5" x14ac:dyDescent="0.35"/>
  <cols>
    <col min="1" max="1" width="18.7265625" style="1" customWidth="1"/>
    <col min="2" max="2" width="16.90625" style="2" customWidth="1"/>
    <col min="3" max="3" width="18.7265625" style="2" customWidth="1"/>
    <col min="4" max="5" width="21.7265625" style="2" customWidth="1"/>
    <col min="6" max="6" width="37.90625" style="2" customWidth="1"/>
    <col min="7" max="7" width="14.7265625" style="1" customWidth="1"/>
    <col min="8" max="8" width="22.7265625" style="3" customWidth="1"/>
    <col min="9" max="9" width="22.90625" style="2" customWidth="1"/>
    <col min="10" max="10" width="22.7265625" style="3" customWidth="1"/>
    <col min="11" max="11" width="22.7265625" style="2" customWidth="1"/>
    <col min="12" max="12" width="10.7265625" style="1" customWidth="1"/>
    <col min="13" max="13" width="48.7265625" style="1" customWidth="1"/>
    <col min="14" max="14" width="9.1796875" style="1" customWidth="1"/>
    <col min="15" max="16384" width="9.1796875" style="1"/>
  </cols>
  <sheetData>
    <row r="1" spans="1:13" s="4" customFormat="1" x14ac:dyDescent="0.35">
      <c r="A1" s="5" t="s">
        <v>0</v>
      </c>
      <c r="B1" s="6" t="s">
        <v>35</v>
      </c>
      <c r="C1" s="7" t="s">
        <v>2</v>
      </c>
      <c r="D1" s="6" t="s">
        <v>36</v>
      </c>
      <c r="E1" s="7" t="s">
        <v>145</v>
      </c>
      <c r="F1" s="33" t="s">
        <v>146</v>
      </c>
      <c r="H1" s="8"/>
      <c r="I1" s="9"/>
      <c r="J1" s="8"/>
      <c r="K1" s="9"/>
    </row>
    <row r="2" spans="1:13" s="4" customFormat="1" x14ac:dyDescent="0.35">
      <c r="A2" s="5" t="s">
        <v>4</v>
      </c>
      <c r="B2" s="10" t="s">
        <v>5</v>
      </c>
      <c r="C2" s="9"/>
      <c r="D2" s="9"/>
      <c r="E2" s="9"/>
      <c r="F2" s="9"/>
      <c r="H2" s="8"/>
      <c r="I2" s="9"/>
      <c r="J2" s="8"/>
      <c r="K2" s="9"/>
    </row>
    <row r="3" spans="1:13" s="4" customFormat="1" x14ac:dyDescent="0.35">
      <c r="A3" s="11" t="s">
        <v>6</v>
      </c>
      <c r="B3" s="12" t="s">
        <v>37</v>
      </c>
      <c r="C3" s="13" t="s">
        <v>11</v>
      </c>
      <c r="D3" s="13" t="s">
        <v>40</v>
      </c>
      <c r="E3" s="13" t="s">
        <v>43</v>
      </c>
      <c r="F3" s="13" t="s">
        <v>45</v>
      </c>
      <c r="G3" s="23" t="s">
        <v>48</v>
      </c>
      <c r="H3" s="14" t="s">
        <v>22</v>
      </c>
      <c r="I3" s="13" t="s">
        <v>26</v>
      </c>
      <c r="J3" s="14" t="s">
        <v>29</v>
      </c>
      <c r="K3" s="13" t="s">
        <v>31</v>
      </c>
      <c r="L3" s="15" t="s">
        <v>33</v>
      </c>
      <c r="M3" s="15" t="s">
        <v>34</v>
      </c>
    </row>
    <row r="4" spans="1:13" s="4" customFormat="1" x14ac:dyDescent="0.35">
      <c r="A4" s="11" t="s">
        <v>7</v>
      </c>
      <c r="B4" s="12" t="s">
        <v>38</v>
      </c>
      <c r="C4" s="13" t="s">
        <v>12</v>
      </c>
      <c r="D4" s="13" t="s">
        <v>41</v>
      </c>
      <c r="E4" s="13" t="s">
        <v>44</v>
      </c>
      <c r="F4" s="13" t="s">
        <v>46</v>
      </c>
      <c r="G4" s="17" t="s">
        <v>49</v>
      </c>
      <c r="H4" s="16" t="s">
        <v>23</v>
      </c>
      <c r="I4" s="13" t="s">
        <v>27</v>
      </c>
      <c r="J4" s="16" t="s">
        <v>30</v>
      </c>
      <c r="K4" s="13" t="s">
        <v>32</v>
      </c>
      <c r="L4" s="17"/>
      <c r="M4" s="17"/>
    </row>
    <row r="5" spans="1:13" s="4" customFormat="1" x14ac:dyDescent="0.35">
      <c r="A5" s="11" t="s">
        <v>8</v>
      </c>
      <c r="B5" s="12" t="s">
        <v>39</v>
      </c>
      <c r="C5" s="13" t="s">
        <v>13</v>
      </c>
      <c r="D5" s="13" t="s">
        <v>42</v>
      </c>
      <c r="E5" s="13" t="s">
        <v>42</v>
      </c>
      <c r="F5" s="13" t="s">
        <v>47</v>
      </c>
      <c r="G5" s="23" t="s">
        <v>50</v>
      </c>
      <c r="H5" s="14" t="s">
        <v>24</v>
      </c>
      <c r="I5" s="13" t="s">
        <v>28</v>
      </c>
      <c r="J5" s="14" t="s">
        <v>24</v>
      </c>
      <c r="K5" s="13" t="s">
        <v>28</v>
      </c>
      <c r="L5" s="17"/>
      <c r="M5" s="17"/>
    </row>
    <row r="6" spans="1:13" s="4" customFormat="1" x14ac:dyDescent="0.35">
      <c r="A6" s="5" t="s">
        <v>9</v>
      </c>
      <c r="B6" s="12" t="s">
        <v>14</v>
      </c>
      <c r="C6" s="13" t="s">
        <v>5</v>
      </c>
      <c r="D6" s="13" t="s">
        <v>5</v>
      </c>
      <c r="E6" s="13" t="s">
        <v>5</v>
      </c>
      <c r="F6" s="13" t="s">
        <v>21</v>
      </c>
      <c r="G6" s="23" t="s">
        <v>25</v>
      </c>
      <c r="H6" s="14" t="s">
        <v>25</v>
      </c>
      <c r="I6" s="13" t="s">
        <v>5</v>
      </c>
      <c r="J6" s="14" t="s">
        <v>25</v>
      </c>
      <c r="K6" s="13" t="s">
        <v>5</v>
      </c>
      <c r="L6" s="17"/>
      <c r="M6" s="17"/>
    </row>
    <row r="7" spans="1:13" x14ac:dyDescent="0.35">
      <c r="A7" s="18" t="s">
        <v>10</v>
      </c>
      <c r="B7" s="19" t="s">
        <v>15</v>
      </c>
      <c r="C7" s="20" t="s">
        <v>15</v>
      </c>
      <c r="D7" s="20" t="s">
        <v>15</v>
      </c>
      <c r="E7" s="20" t="s">
        <v>15</v>
      </c>
      <c r="F7" s="20" t="s">
        <v>15</v>
      </c>
      <c r="G7" s="24" t="s">
        <v>15</v>
      </c>
      <c r="H7" s="21"/>
      <c r="I7" s="20" t="s">
        <v>15</v>
      </c>
      <c r="J7" s="21"/>
      <c r="K7" s="20" t="s">
        <v>15</v>
      </c>
      <c r="L7" s="22"/>
      <c r="M7" s="22"/>
    </row>
    <row r="8" spans="1:13" x14ac:dyDescent="0.35">
      <c r="B8" s="2" t="s">
        <v>144</v>
      </c>
      <c r="C8" s="32" t="str" cm="1">
        <f t="array" aca="1" ref="C8" ca="1">INDEX(dept_id_source,RANDBETWEEN(1,ROWS(dept_id_source)))</f>
        <v>DP0001</v>
      </c>
      <c r="D8" s="32" t="str">
        <f ca="1">_xlfn.LET(_xlpm.v,RAND(),IF(_xlpm.v&lt;0.2,"鈴木",IF(_xlpm.v&lt;0.4,"田中",IF(_xlpm.v&lt;0.6,"佐藤",IF(_xlpm.v&lt;0.8,"小林","石川")))))</f>
        <v>石川</v>
      </c>
      <c r="E8" s="32" t="str">
        <f ca="1">_xlfn.LET(_xlpm.v,RAND(),IF(_xlpm.v&lt;0.2,"誠也",IF(_xlpm.v&lt;0.4,"美奈子",IF(_xlpm.v&lt;0.6,"浩一郎",IF(_xlpm.v&lt;0.8,"伸一","裕子")))))</f>
        <v>誠也</v>
      </c>
      <c r="F8" s="32" t="str" cm="1">
        <f t="array" ref="F8">RandomMailAddress()</f>
        <v>tesut.user04@domain-test04.com</v>
      </c>
      <c r="G8" s="1">
        <v>0</v>
      </c>
      <c r="H8" s="3">
        <v>44837.430555555598</v>
      </c>
      <c r="I8" s="2" t="s">
        <v>142</v>
      </c>
      <c r="J8" s="3">
        <v>45709.628472222197</v>
      </c>
      <c r="K8" s="2" t="s">
        <v>142</v>
      </c>
      <c r="L8" s="1" t="s">
        <v>121</v>
      </c>
      <c r="M8" s="1" t="s">
        <v>5</v>
      </c>
    </row>
    <row r="9" spans="1:13" x14ac:dyDescent="0.35">
      <c r="B9" s="2">
        <f>_xlfn.NUMBERVALUE(B8)+1</f>
        <v>24000016</v>
      </c>
      <c r="C9" s="32" t="str" cm="1">
        <f t="array" aca="1" ref="C9" ca="1">INDEX(dept_id_source,RANDBETWEEN(1,ROWS(dept_id_source)))</f>
        <v>SC0005</v>
      </c>
      <c r="D9" s="32" t="str">
        <f ca="1">_xlfn.LET(_xlpm.v,RAND(),IF(_xlpm.v&lt;0.2,"鈴木",IF(_xlpm.v&lt;0.4,"田中",IF(_xlpm.v&lt;0.6,"佐藤",IF(_xlpm.v&lt;0.8,"小林","石川")))))</f>
        <v>鈴木</v>
      </c>
      <c r="E9" s="32" t="str">
        <f ca="1">_xlfn.LET(_xlpm.v,RAND(),IF(_xlpm.v&lt;0.2,"誠也",IF(_xlpm.v&lt;0.4,"美奈子",IF(_xlpm.v&lt;0.6,"浩一郎",IF(_xlpm.v&lt;0.8,"伸一","裕子")))))</f>
        <v>裕子</v>
      </c>
      <c r="F9" s="32" t="str" cm="1">
        <f t="array" ref="F9">RandomMailAddress()</f>
        <v>tesut.user05@domain-test05.com</v>
      </c>
      <c r="G9" s="1">
        <v>1</v>
      </c>
      <c r="H9" s="3">
        <v>45231.375</v>
      </c>
      <c r="I9" s="2" t="s">
        <v>143</v>
      </c>
      <c r="J9" s="3">
        <v>46198.4375</v>
      </c>
      <c r="K9" s="2" t="s">
        <v>143</v>
      </c>
      <c r="L9" s="1" t="s">
        <v>121</v>
      </c>
      <c r="M9" s="1" t="s">
        <v>5</v>
      </c>
    </row>
    <row r="10" spans="1:13" x14ac:dyDescent="0.35">
      <c r="B10" s="2">
        <f t="shared" ref="B10:B17" si="0">_xlfn.NUMBERVALUE(B9)+1</f>
        <v>24000017</v>
      </c>
      <c r="C10" s="32" t="str" cm="1">
        <f t="array" aca="1" ref="C10" ca="1">INDEX(dept_id_source,RANDBETWEEN(1,ROWS(dept_id_source)))</f>
        <v>SC0002</v>
      </c>
      <c r="D10" s="32" t="str">
        <f t="shared" ref="D10:D17" ca="1" si="1">_xlfn.LET(_xlpm.v,RAND(),IF(_xlpm.v&lt;0.2,"鈴木",IF(_xlpm.v&lt;0.4,"田中",IF(_xlpm.v&lt;0.6,"佐藤",IF(_xlpm.v&lt;0.8,"小林","石川")))))</f>
        <v>石川</v>
      </c>
      <c r="E10" s="32" t="str">
        <f t="shared" ref="E10:E17" ca="1" si="2">_xlfn.LET(_xlpm.v,RAND(),IF(_xlpm.v&lt;0.2,"誠也",IF(_xlpm.v&lt;0.4,"美奈子",IF(_xlpm.v&lt;0.6,"浩一郎",IF(_xlpm.v&lt;0.8,"伸一","裕子")))))</f>
        <v>裕子</v>
      </c>
      <c r="F10" s="32" t="str" cm="1">
        <f t="array" ref="F10">RandomMailAddress()</f>
        <v>tesut.user04@domain-test04.com</v>
      </c>
    </row>
    <row r="11" spans="1:13" x14ac:dyDescent="0.35">
      <c r="B11" s="2">
        <f t="shared" si="0"/>
        <v>24000018</v>
      </c>
      <c r="C11" s="32" t="str" cm="1">
        <f t="array" aca="1" ref="C11" ca="1">INDEX(dept_id_source,RANDBETWEEN(1,ROWS(dept_id_source)))</f>
        <v>DP0002</v>
      </c>
      <c r="D11" s="32" t="str">
        <f t="shared" ca="1" si="1"/>
        <v>鈴木</v>
      </c>
      <c r="E11" s="32" t="str">
        <f t="shared" ca="1" si="2"/>
        <v>美奈子</v>
      </c>
      <c r="F11" s="32" t="str" cm="1">
        <f t="array" ref="F11">RandomMailAddress()</f>
        <v>tesut.user05@domain-test05.com</v>
      </c>
    </row>
    <row r="12" spans="1:13" x14ac:dyDescent="0.35">
      <c r="B12" s="2">
        <f t="shared" si="0"/>
        <v>24000019</v>
      </c>
      <c r="C12" s="32" t="str" cm="1">
        <f t="array" aca="1" ref="C12" ca="1">INDEX(dept_id_source,RANDBETWEEN(1,ROWS(dept_id_source)))</f>
        <v>SC0004</v>
      </c>
      <c r="D12" s="32" t="str">
        <f t="shared" ca="1" si="1"/>
        <v>佐藤</v>
      </c>
      <c r="E12" s="32" t="str">
        <f t="shared" ca="1" si="2"/>
        <v>伸一</v>
      </c>
      <c r="F12" s="32" t="str" cm="1">
        <f t="array" ref="F12">RandomMailAddress()</f>
        <v>tesut.user03@domain-test03.com</v>
      </c>
    </row>
    <row r="13" spans="1:13" x14ac:dyDescent="0.35">
      <c r="B13" s="2">
        <f t="shared" si="0"/>
        <v>24000020</v>
      </c>
      <c r="C13" s="32" t="str" cm="1">
        <f t="array" aca="1" ref="C13" ca="1">INDEX(dept_id_source,RANDBETWEEN(1,ROWS(dept_id_source)))</f>
        <v>SC0001</v>
      </c>
      <c r="D13" s="32" t="str">
        <f t="shared" ca="1" si="1"/>
        <v>小林</v>
      </c>
      <c r="E13" s="32" t="str">
        <f t="shared" ca="1" si="2"/>
        <v>伸一</v>
      </c>
      <c r="F13" s="32" t="str" cm="1">
        <f t="array" ref="F13">RandomMailAddress()</f>
        <v>tesut.user05@domain-test05.com</v>
      </c>
    </row>
    <row r="14" spans="1:13" x14ac:dyDescent="0.35">
      <c r="B14" s="2">
        <f t="shared" si="0"/>
        <v>24000021</v>
      </c>
      <c r="C14" s="32" t="str" cm="1">
        <f t="array" aca="1" ref="C14" ca="1">INDEX(dept_id_source,RANDBETWEEN(1,ROWS(dept_id_source)))</f>
        <v>SC0003</v>
      </c>
      <c r="D14" s="32" t="str">
        <f t="shared" ca="1" si="1"/>
        <v>佐藤</v>
      </c>
      <c r="E14" s="32" t="str">
        <f t="shared" ca="1" si="2"/>
        <v>美奈子</v>
      </c>
      <c r="F14" s="32" t="str" cm="1">
        <f t="array" ref="F14">RandomMailAddress()</f>
        <v>tesut.user04@domain-test04.com</v>
      </c>
    </row>
    <row r="15" spans="1:13" x14ac:dyDescent="0.35">
      <c r="B15" s="2">
        <f t="shared" si="0"/>
        <v>24000022</v>
      </c>
      <c r="C15" s="32" t="str" cm="1">
        <f t="array" aca="1" ref="C15" ca="1">INDEX(dept_id_source,RANDBETWEEN(1,ROWS(dept_id_source)))</f>
        <v>SC0001</v>
      </c>
      <c r="D15" s="32" t="str">
        <f t="shared" ca="1" si="1"/>
        <v>鈴木</v>
      </c>
      <c r="E15" s="32" t="str">
        <f t="shared" ca="1" si="2"/>
        <v>浩一郎</v>
      </c>
      <c r="F15" s="32" t="str" cm="1">
        <f t="array" ref="F15">RandomMailAddress()</f>
        <v>tesut.user04@domain-test04.com</v>
      </c>
    </row>
    <row r="16" spans="1:13" x14ac:dyDescent="0.35">
      <c r="B16" s="2">
        <f t="shared" si="0"/>
        <v>24000023</v>
      </c>
      <c r="C16" s="32" t="str" cm="1">
        <f t="array" aca="1" ref="C16" ca="1">INDEX(dept_id_source,RANDBETWEEN(1,ROWS(dept_id_source)))</f>
        <v>DP0004</v>
      </c>
      <c r="D16" s="32" t="str">
        <f t="shared" ca="1" si="1"/>
        <v>鈴木</v>
      </c>
      <c r="E16" s="32" t="str">
        <f t="shared" ca="1" si="2"/>
        <v>裕子</v>
      </c>
      <c r="F16" s="32" t="str" cm="1">
        <f t="array" ref="F16">RandomMailAddress()</f>
        <v>tesut.user01@domain-test01.com</v>
      </c>
    </row>
    <row r="17" spans="2:6" x14ac:dyDescent="0.35">
      <c r="B17" s="2">
        <f t="shared" si="0"/>
        <v>24000024</v>
      </c>
      <c r="C17" s="32" t="str" cm="1">
        <f t="array" aca="1" ref="C17" ca="1">INDEX(dept_id_source,RANDBETWEEN(1,ROWS(dept_id_source)))</f>
        <v>DP0001</v>
      </c>
      <c r="D17" s="32" t="str">
        <f t="shared" ca="1" si="1"/>
        <v>小林</v>
      </c>
      <c r="E17" s="32" t="str">
        <f t="shared" ca="1" si="2"/>
        <v>浩一郎</v>
      </c>
      <c r="F17" s="32" t="str" cm="1">
        <f t="array" ref="F17">RandomMailAddress()</f>
        <v>tesut.user04@domain-test04.com</v>
      </c>
    </row>
    <row r="18" spans="2:6" x14ac:dyDescent="0.35">
      <c r="C18" s="32"/>
      <c r="D18" s="32"/>
      <c r="E18" s="32"/>
      <c r="F18" s="32"/>
    </row>
    <row r="19" spans="2:6" x14ac:dyDescent="0.35">
      <c r="C19" s="32"/>
      <c r="D19" s="32"/>
      <c r="E19" s="32"/>
      <c r="F19" s="32"/>
    </row>
    <row r="20" spans="2:6" x14ac:dyDescent="0.35">
      <c r="C20" s="32"/>
      <c r="D20" s="32"/>
      <c r="E20" s="32"/>
      <c r="F20" s="32"/>
    </row>
    <row r="21" spans="2:6" x14ac:dyDescent="0.35">
      <c r="C21" s="32"/>
      <c r="D21" s="32"/>
      <c r="E21" s="32"/>
      <c r="F21" s="32"/>
    </row>
    <row r="22" spans="2:6" x14ac:dyDescent="0.35">
      <c r="C22" s="32"/>
      <c r="D22" s="32"/>
      <c r="E22" s="32"/>
      <c r="F22" s="32"/>
    </row>
    <row r="23" spans="2:6" x14ac:dyDescent="0.35">
      <c r="C23" s="32"/>
      <c r="D23" s="32"/>
      <c r="E23" s="32"/>
      <c r="F23" s="32"/>
    </row>
    <row r="24" spans="2:6" x14ac:dyDescent="0.35">
      <c r="C24" s="32"/>
      <c r="D24" s="32"/>
      <c r="E24" s="32"/>
      <c r="F24" s="32"/>
    </row>
    <row r="25" spans="2:6" x14ac:dyDescent="0.35">
      <c r="C25" s="32"/>
      <c r="D25" s="32"/>
      <c r="E25" s="32"/>
      <c r="F25" s="32"/>
    </row>
    <row r="26" spans="2:6" x14ac:dyDescent="0.35">
      <c r="C26" s="32"/>
      <c r="D26" s="32"/>
      <c r="E26" s="32"/>
      <c r="F26" s="32"/>
    </row>
    <row r="27" spans="2:6" x14ac:dyDescent="0.35">
      <c r="F27" s="32"/>
    </row>
  </sheetData>
  <sheetProtection formatCells="0" formatColumns="0" formatRows="0" insertColumns="0" insertRows="0" insertHyperlinks="0" deleteColumns="0" deleteRows="0" sort="0" autoFilter="0"/>
  <phoneticPr fontId="2"/>
  <conditionalFormatting sqref="B7:K7">
    <cfRule type="expression" dxfId="19" priority="1">
      <formula>AND(ISNUMBER(FIND("K",B6)),B7="*")</formula>
    </cfRule>
    <cfRule type="expression" dxfId="18" priority="2">
      <formula>AND(ISNUMBER(FIND("N",B6)),B7="*")</formula>
    </cfRule>
    <cfRule type="expression" dxfId="17" priority="3">
      <formula>B7="*"</formula>
    </cfRule>
    <cfRule type="expression" dxfId="16" priority="4">
      <formula>B7=""</formula>
    </cfRule>
  </conditionalFormatting>
  <dataValidations disablePrompts="1" count="1">
    <dataValidation type="list" allowBlank="1" showInputMessage="1" showErrorMessage="1" sqref="B7:K7" xr:uid="{00000000-0002-0000-0100-000000000000}">
      <formula1>"*,"</formula1>
    </dataValidation>
  </dataValidations>
  <pageMargins left="0.75" right="0.75" top="0.75" bottom="0.5" header="0.5" footer="0.75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T7"/>
  <sheetViews>
    <sheetView workbookViewId="0">
      <selection activeCell="E1" sqref="E1:F1"/>
    </sheetView>
  </sheetViews>
  <sheetFormatPr defaultColWidth="9.1796875" defaultRowHeight="14.5" x14ac:dyDescent="0.35"/>
  <cols>
    <col min="1" max="1" width="18.7265625" style="1" customWidth="1"/>
    <col min="2" max="2" width="24.7265625" style="2" customWidth="1"/>
    <col min="3" max="3" width="18.7265625" style="2" customWidth="1"/>
    <col min="4" max="5" width="50.7265625" style="2" customWidth="1"/>
    <col min="6" max="6" width="30.7265625" style="2" customWidth="1"/>
    <col min="7" max="11" width="50.7265625" style="2" customWidth="1"/>
    <col min="12" max="12" width="30.7265625" style="2" customWidth="1"/>
    <col min="13" max="13" width="16.7265625" style="2" customWidth="1"/>
    <col min="14" max="14" width="14.7265625" style="1" customWidth="1"/>
    <col min="15" max="15" width="22.7265625" style="3" customWidth="1"/>
    <col min="16" max="16" width="30.7265625" style="2" customWidth="1"/>
    <col min="17" max="17" width="22.7265625" style="3" customWidth="1"/>
    <col min="18" max="18" width="30.7265625" style="2" customWidth="1"/>
    <col min="19" max="19" width="10.7265625" style="1" customWidth="1"/>
    <col min="20" max="20" width="48.7265625" style="1" customWidth="1"/>
    <col min="21" max="21" width="9.1796875" style="1" customWidth="1"/>
    <col min="22" max="16384" width="9.1796875" style="1"/>
  </cols>
  <sheetData>
    <row r="1" spans="1:20" s="4" customFormat="1" x14ac:dyDescent="0.35">
      <c r="A1" s="5" t="s">
        <v>0</v>
      </c>
      <c r="B1" s="6" t="s">
        <v>51</v>
      </c>
      <c r="C1" s="7" t="s">
        <v>2</v>
      </c>
      <c r="D1" s="6" t="s">
        <v>52</v>
      </c>
      <c r="E1" s="7" t="s">
        <v>145</v>
      </c>
      <c r="F1" s="33" t="s">
        <v>146</v>
      </c>
      <c r="G1" s="9"/>
      <c r="H1" s="9"/>
      <c r="I1" s="9"/>
      <c r="J1" s="9"/>
      <c r="K1" s="9"/>
      <c r="L1" s="9"/>
      <c r="M1" s="9"/>
      <c r="O1" s="8"/>
      <c r="P1" s="9"/>
      <c r="Q1" s="8"/>
      <c r="R1" s="9"/>
    </row>
    <row r="2" spans="1:20" s="4" customFormat="1" x14ac:dyDescent="0.35">
      <c r="A2" s="5" t="s">
        <v>4</v>
      </c>
      <c r="B2" s="10" t="s">
        <v>5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O2" s="8"/>
      <c r="P2" s="9"/>
      <c r="Q2" s="8"/>
      <c r="R2" s="9"/>
    </row>
    <row r="3" spans="1:20" s="4" customFormat="1" x14ac:dyDescent="0.35">
      <c r="A3" s="11" t="s">
        <v>6</v>
      </c>
      <c r="B3" s="12" t="s">
        <v>53</v>
      </c>
      <c r="C3" s="13" t="s">
        <v>55</v>
      </c>
      <c r="D3" s="13" t="s">
        <v>58</v>
      </c>
      <c r="E3" s="13" t="s">
        <v>60</v>
      </c>
      <c r="F3" s="13" t="s">
        <v>62</v>
      </c>
      <c r="G3" s="13" t="s">
        <v>45</v>
      </c>
      <c r="H3" s="13" t="s">
        <v>65</v>
      </c>
      <c r="I3" s="13" t="s">
        <v>67</v>
      </c>
      <c r="J3" s="13" t="s">
        <v>69</v>
      </c>
      <c r="K3" s="13" t="s">
        <v>71</v>
      </c>
      <c r="L3" s="13" t="s">
        <v>73</v>
      </c>
      <c r="M3" s="13" t="s">
        <v>75</v>
      </c>
      <c r="N3" s="23" t="s">
        <v>48</v>
      </c>
      <c r="O3" s="14" t="s">
        <v>22</v>
      </c>
      <c r="P3" s="13" t="s">
        <v>26</v>
      </c>
      <c r="Q3" s="14" t="s">
        <v>29</v>
      </c>
      <c r="R3" s="13" t="s">
        <v>31</v>
      </c>
      <c r="S3" s="15" t="s">
        <v>33</v>
      </c>
      <c r="T3" s="15" t="s">
        <v>34</v>
      </c>
    </row>
    <row r="4" spans="1:20" s="4" customFormat="1" x14ac:dyDescent="0.35">
      <c r="A4" s="11" t="s">
        <v>7</v>
      </c>
      <c r="B4" s="12" t="s">
        <v>54</v>
      </c>
      <c r="C4" s="13" t="s">
        <v>56</v>
      </c>
      <c r="D4" s="13" t="s">
        <v>59</v>
      </c>
      <c r="E4" s="13" t="s">
        <v>61</v>
      </c>
      <c r="F4" s="13" t="s">
        <v>63</v>
      </c>
      <c r="G4" s="13" t="s">
        <v>64</v>
      </c>
      <c r="H4" s="13" t="s">
        <v>66</v>
      </c>
      <c r="I4" s="13" t="s">
        <v>68</v>
      </c>
      <c r="J4" s="13" t="s">
        <v>70</v>
      </c>
      <c r="K4" s="13" t="s">
        <v>72</v>
      </c>
      <c r="L4" s="13" t="s">
        <v>74</v>
      </c>
      <c r="M4" s="13" t="s">
        <v>76</v>
      </c>
      <c r="N4" s="17" t="s">
        <v>78</v>
      </c>
      <c r="O4" s="16" t="s">
        <v>23</v>
      </c>
      <c r="P4" s="13" t="s">
        <v>27</v>
      </c>
      <c r="Q4" s="16" t="s">
        <v>30</v>
      </c>
      <c r="R4" s="13" t="s">
        <v>32</v>
      </c>
      <c r="S4" s="17"/>
      <c r="T4" s="17"/>
    </row>
    <row r="5" spans="1:20" s="4" customFormat="1" x14ac:dyDescent="0.35">
      <c r="A5" s="11" t="s">
        <v>8</v>
      </c>
      <c r="B5" s="12" t="s">
        <v>39</v>
      </c>
      <c r="C5" s="13" t="s">
        <v>57</v>
      </c>
      <c r="D5" s="13" t="s">
        <v>57</v>
      </c>
      <c r="E5" s="13" t="s">
        <v>18</v>
      </c>
      <c r="F5" s="13" t="s">
        <v>28</v>
      </c>
      <c r="G5" s="13" t="s">
        <v>47</v>
      </c>
      <c r="H5" s="13" t="s">
        <v>57</v>
      </c>
      <c r="I5" s="13" t="s">
        <v>57</v>
      </c>
      <c r="J5" s="13" t="s">
        <v>18</v>
      </c>
      <c r="K5" s="13" t="s">
        <v>18</v>
      </c>
      <c r="L5" s="13" t="s">
        <v>28</v>
      </c>
      <c r="M5" s="13" t="s">
        <v>77</v>
      </c>
      <c r="N5" s="23" t="s">
        <v>50</v>
      </c>
      <c r="O5" s="14" t="s">
        <v>24</v>
      </c>
      <c r="P5" s="13" t="s">
        <v>28</v>
      </c>
      <c r="Q5" s="14" t="s">
        <v>24</v>
      </c>
      <c r="R5" s="13" t="s">
        <v>28</v>
      </c>
      <c r="S5" s="17"/>
      <c r="T5" s="17"/>
    </row>
    <row r="6" spans="1:20" s="4" customFormat="1" x14ac:dyDescent="0.35">
      <c r="A6" s="5" t="s">
        <v>9</v>
      </c>
      <c r="B6" s="12" t="s">
        <v>14</v>
      </c>
      <c r="C6" s="13" t="s">
        <v>5</v>
      </c>
      <c r="D6" s="13" t="s">
        <v>21</v>
      </c>
      <c r="E6" s="13" t="s">
        <v>21</v>
      </c>
      <c r="F6" s="13" t="s">
        <v>21</v>
      </c>
      <c r="G6" s="13" t="s">
        <v>21</v>
      </c>
      <c r="H6" s="13" t="s">
        <v>21</v>
      </c>
      <c r="I6" s="13" t="s">
        <v>21</v>
      </c>
      <c r="J6" s="13" t="s">
        <v>21</v>
      </c>
      <c r="K6" s="13" t="s">
        <v>21</v>
      </c>
      <c r="L6" s="13" t="s">
        <v>21</v>
      </c>
      <c r="M6" s="13" t="s">
        <v>25</v>
      </c>
      <c r="N6" s="23" t="s">
        <v>25</v>
      </c>
      <c r="O6" s="14" t="s">
        <v>25</v>
      </c>
      <c r="P6" s="13" t="s">
        <v>5</v>
      </c>
      <c r="Q6" s="14" t="s">
        <v>25</v>
      </c>
      <c r="R6" s="13" t="s">
        <v>5</v>
      </c>
      <c r="S6" s="17"/>
      <c r="T6" s="17"/>
    </row>
    <row r="7" spans="1:20" x14ac:dyDescent="0.35">
      <c r="A7" s="18" t="s">
        <v>10</v>
      </c>
      <c r="B7" s="19" t="s">
        <v>15</v>
      </c>
      <c r="C7" s="20" t="s">
        <v>15</v>
      </c>
      <c r="D7" s="20" t="s">
        <v>15</v>
      </c>
      <c r="E7" s="20" t="s">
        <v>15</v>
      </c>
      <c r="F7" s="20" t="s">
        <v>15</v>
      </c>
      <c r="G7" s="20" t="s">
        <v>15</v>
      </c>
      <c r="H7" s="20" t="s">
        <v>15</v>
      </c>
      <c r="I7" s="20" t="s">
        <v>15</v>
      </c>
      <c r="J7" s="20" t="s">
        <v>15</v>
      </c>
      <c r="K7" s="20" t="s">
        <v>15</v>
      </c>
      <c r="L7" s="20" t="s">
        <v>15</v>
      </c>
      <c r="M7" s="20" t="s">
        <v>15</v>
      </c>
      <c r="N7" s="24" t="s">
        <v>15</v>
      </c>
      <c r="O7" s="21" t="s">
        <v>15</v>
      </c>
      <c r="P7" s="20" t="s">
        <v>15</v>
      </c>
      <c r="Q7" s="21" t="s">
        <v>15</v>
      </c>
      <c r="R7" s="20" t="s">
        <v>15</v>
      </c>
      <c r="S7" s="22"/>
      <c r="T7" s="22"/>
    </row>
  </sheetData>
  <sheetProtection formatCells="0" formatColumns="0" formatRows="0" insertColumns="0" insertRows="0" insertHyperlinks="0" deleteColumns="0" deleteRows="0" sort="0" autoFilter="0"/>
  <phoneticPr fontId="2"/>
  <conditionalFormatting sqref="B7:R7">
    <cfRule type="expression" dxfId="11" priority="1">
      <formula>AND(ISNUMBER(FIND("K",B6)),B7="*")</formula>
    </cfRule>
    <cfRule type="expression" dxfId="10" priority="2">
      <formula>AND(ISNUMBER(FIND("N",B6)),B7="*")</formula>
    </cfRule>
    <cfRule type="expression" dxfId="9" priority="3">
      <formula>B7="*"</formula>
    </cfRule>
    <cfRule type="expression" dxfId="8" priority="4">
      <formula>B7=""</formula>
    </cfRule>
  </conditionalFormatting>
  <dataValidations count="1">
    <dataValidation type="list" allowBlank="1" showInputMessage="1" showErrorMessage="1" sqref="B7:R7" xr:uid="{00000000-0002-0000-0200-000000000000}">
      <formula1>"*,"</formula1>
    </dataValidation>
  </dataValidations>
  <pageMargins left="0.75" right="0.75" top="0.75" bottom="0.5" header="0.5" footer="0.75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K7"/>
  <sheetViews>
    <sheetView workbookViewId="0">
      <selection activeCell="E1" sqref="E1:F1"/>
    </sheetView>
  </sheetViews>
  <sheetFormatPr defaultColWidth="9.1796875" defaultRowHeight="14.5" x14ac:dyDescent="0.35"/>
  <cols>
    <col min="1" max="1" width="18.7265625" style="1" customWidth="1"/>
    <col min="2" max="2" width="24.7265625" style="2" customWidth="1"/>
    <col min="3" max="3" width="18.7265625" style="2" customWidth="1"/>
    <col min="4" max="5" width="50.7265625" style="2" customWidth="1"/>
    <col min="6" max="6" width="22.7265625" style="3" customWidth="1"/>
    <col min="7" max="7" width="30.7265625" style="2" customWidth="1"/>
    <col min="8" max="8" width="22.7265625" style="3" customWidth="1"/>
    <col min="9" max="9" width="30.7265625" style="2" customWidth="1"/>
    <col min="10" max="10" width="10.7265625" style="1" customWidth="1"/>
    <col min="11" max="11" width="48.7265625" style="1" customWidth="1"/>
    <col min="12" max="12" width="9.1796875" style="1" customWidth="1"/>
    <col min="13" max="16384" width="9.1796875" style="1"/>
  </cols>
  <sheetData>
    <row r="1" spans="1:11" s="4" customFormat="1" x14ac:dyDescent="0.35">
      <c r="A1" s="5" t="s">
        <v>0</v>
      </c>
      <c r="B1" s="6" t="s">
        <v>79</v>
      </c>
      <c r="C1" s="7" t="s">
        <v>2</v>
      </c>
      <c r="D1" s="6" t="s">
        <v>80</v>
      </c>
      <c r="E1" s="7" t="s">
        <v>145</v>
      </c>
      <c r="F1" s="33" t="s">
        <v>146</v>
      </c>
      <c r="G1" s="9"/>
      <c r="H1" s="8"/>
      <c r="I1" s="9"/>
    </row>
    <row r="2" spans="1:11" s="4" customFormat="1" x14ac:dyDescent="0.35">
      <c r="A2" s="5" t="s">
        <v>4</v>
      </c>
      <c r="B2" s="10" t="s">
        <v>5</v>
      </c>
      <c r="C2" s="9"/>
      <c r="D2" s="9"/>
      <c r="E2" s="9"/>
      <c r="F2" s="8"/>
      <c r="G2" s="9"/>
      <c r="H2" s="8"/>
      <c r="I2" s="9"/>
    </row>
    <row r="3" spans="1:11" s="4" customFormat="1" x14ac:dyDescent="0.35">
      <c r="A3" s="11" t="s">
        <v>6</v>
      </c>
      <c r="B3" s="12" t="s">
        <v>81</v>
      </c>
      <c r="C3" s="12" t="s">
        <v>83</v>
      </c>
      <c r="D3" s="13" t="s">
        <v>85</v>
      </c>
      <c r="E3" s="13" t="s">
        <v>87</v>
      </c>
      <c r="F3" s="14" t="s">
        <v>22</v>
      </c>
      <c r="G3" s="13" t="s">
        <v>26</v>
      </c>
      <c r="H3" s="14" t="s">
        <v>29</v>
      </c>
      <c r="I3" s="13" t="s">
        <v>31</v>
      </c>
      <c r="J3" s="15" t="s">
        <v>33</v>
      </c>
      <c r="K3" s="15" t="s">
        <v>34</v>
      </c>
    </row>
    <row r="4" spans="1:11" s="4" customFormat="1" x14ac:dyDescent="0.35">
      <c r="A4" s="11" t="s">
        <v>7</v>
      </c>
      <c r="B4" s="12" t="s">
        <v>82</v>
      </c>
      <c r="C4" s="12" t="s">
        <v>84</v>
      </c>
      <c r="D4" s="13" t="s">
        <v>86</v>
      </c>
      <c r="E4" s="13" t="s">
        <v>88</v>
      </c>
      <c r="F4" s="16" t="s">
        <v>23</v>
      </c>
      <c r="G4" s="13" t="s">
        <v>27</v>
      </c>
      <c r="H4" s="16" t="s">
        <v>30</v>
      </c>
      <c r="I4" s="13" t="s">
        <v>32</v>
      </c>
      <c r="J4" s="17"/>
      <c r="K4" s="17"/>
    </row>
    <row r="5" spans="1:11" s="4" customFormat="1" x14ac:dyDescent="0.35">
      <c r="A5" s="11" t="s">
        <v>8</v>
      </c>
      <c r="B5" s="12" t="s">
        <v>18</v>
      </c>
      <c r="C5" s="12" t="s">
        <v>18</v>
      </c>
      <c r="D5" s="13" t="s">
        <v>57</v>
      </c>
      <c r="E5" s="13" t="s">
        <v>89</v>
      </c>
      <c r="F5" s="14" t="s">
        <v>24</v>
      </c>
      <c r="G5" s="13" t="s">
        <v>28</v>
      </c>
      <c r="H5" s="14" t="s">
        <v>24</v>
      </c>
      <c r="I5" s="13" t="s">
        <v>28</v>
      </c>
      <c r="J5" s="17"/>
      <c r="K5" s="17"/>
    </row>
    <row r="6" spans="1:11" s="4" customFormat="1" x14ac:dyDescent="0.35">
      <c r="A6" s="5" t="s">
        <v>9</v>
      </c>
      <c r="B6" s="12" t="s">
        <v>14</v>
      </c>
      <c r="C6" s="12" t="s">
        <v>14</v>
      </c>
      <c r="D6" s="13" t="s">
        <v>5</v>
      </c>
      <c r="E6" s="13" t="s">
        <v>21</v>
      </c>
      <c r="F6" s="14" t="s">
        <v>25</v>
      </c>
      <c r="G6" s="13" t="s">
        <v>5</v>
      </c>
      <c r="H6" s="14" t="s">
        <v>25</v>
      </c>
      <c r="I6" s="13" t="s">
        <v>5</v>
      </c>
      <c r="J6" s="17"/>
      <c r="K6" s="17"/>
    </row>
    <row r="7" spans="1:11" x14ac:dyDescent="0.35">
      <c r="A7" s="18" t="s">
        <v>10</v>
      </c>
      <c r="B7" s="19" t="s">
        <v>15</v>
      </c>
      <c r="C7" s="19" t="s">
        <v>15</v>
      </c>
      <c r="D7" s="20" t="s">
        <v>15</v>
      </c>
      <c r="E7" s="20" t="s">
        <v>15</v>
      </c>
      <c r="F7" s="21" t="s">
        <v>15</v>
      </c>
      <c r="G7" s="20" t="s">
        <v>15</v>
      </c>
      <c r="H7" s="21" t="s">
        <v>15</v>
      </c>
      <c r="I7" s="20" t="s">
        <v>15</v>
      </c>
      <c r="J7" s="22"/>
      <c r="K7" s="22"/>
    </row>
  </sheetData>
  <sheetProtection formatCells="0" formatColumns="0" formatRows="0" insertColumns="0" insertRows="0" insertHyperlinks="0" deleteColumns="0" deleteRows="0" sort="0" autoFilter="0"/>
  <phoneticPr fontId="2"/>
  <conditionalFormatting sqref="B7:I7">
    <cfRule type="expression" dxfId="7" priority="1">
      <formula>AND(ISNUMBER(FIND("K",B6)),B7="*")</formula>
    </cfRule>
    <cfRule type="expression" dxfId="6" priority="2">
      <formula>AND(ISNUMBER(FIND("N",B6)),B7="*")</formula>
    </cfRule>
    <cfRule type="expression" dxfId="5" priority="3">
      <formula>B7="*"</formula>
    </cfRule>
    <cfRule type="expression" dxfId="4" priority="4">
      <formula>B7=""</formula>
    </cfRule>
  </conditionalFormatting>
  <dataValidations count="1">
    <dataValidation type="list" allowBlank="1" showInputMessage="1" showErrorMessage="1" sqref="B7:I7" xr:uid="{00000000-0002-0000-0300-000000000000}">
      <formula1>"*,"</formula1>
    </dataValidation>
  </dataValidations>
  <pageMargins left="0.75" right="0.75" top="0.75" bottom="0.5" header="0.5" footer="0.75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R7"/>
  <sheetViews>
    <sheetView workbookViewId="0">
      <selection activeCell="B16" sqref="B16"/>
    </sheetView>
  </sheetViews>
  <sheetFormatPr defaultColWidth="9.1796875" defaultRowHeight="14.5" x14ac:dyDescent="0.35"/>
  <cols>
    <col min="1" max="1" width="18.7265625" style="1" customWidth="1"/>
    <col min="2" max="2" width="24.7265625" style="2" customWidth="1"/>
    <col min="3" max="3" width="18.7265625" style="2" customWidth="1"/>
    <col min="4" max="4" width="16.7265625" style="2" customWidth="1"/>
    <col min="5" max="5" width="30.7265625" style="2" customWidth="1"/>
    <col min="6" max="8" width="14.7265625" style="1" customWidth="1"/>
    <col min="9" max="10" width="28.7265625" style="25" customWidth="1"/>
    <col min="11" max="11" width="16.7265625" style="2" customWidth="1"/>
    <col min="12" max="12" width="14.7265625" style="1" customWidth="1"/>
    <col min="13" max="13" width="22.7265625" style="3" customWidth="1"/>
    <col min="14" max="14" width="30.7265625" style="2" customWidth="1"/>
    <col min="15" max="15" width="22.7265625" style="3" customWidth="1"/>
    <col min="16" max="16" width="30.7265625" style="2" customWidth="1"/>
    <col min="17" max="17" width="10.7265625" style="1" customWidth="1"/>
    <col min="18" max="18" width="48.7265625" style="1" customWidth="1"/>
    <col min="19" max="19" width="9.1796875" style="1" customWidth="1"/>
    <col min="20" max="16384" width="9.1796875" style="1"/>
  </cols>
  <sheetData>
    <row r="1" spans="1:18" s="4" customFormat="1" x14ac:dyDescent="0.35">
      <c r="A1" s="5" t="s">
        <v>0</v>
      </c>
      <c r="B1" s="6" t="s">
        <v>90</v>
      </c>
      <c r="C1" s="7" t="s">
        <v>2</v>
      </c>
      <c r="D1" s="6" t="s">
        <v>91</v>
      </c>
      <c r="E1" s="7" t="s">
        <v>145</v>
      </c>
      <c r="F1" s="33" t="s">
        <v>146</v>
      </c>
      <c r="I1" s="26"/>
      <c r="J1" s="26"/>
      <c r="K1" s="9"/>
      <c r="M1" s="8"/>
      <c r="N1" s="9"/>
      <c r="O1" s="8"/>
      <c r="P1" s="9"/>
    </row>
    <row r="2" spans="1:18" s="4" customFormat="1" x14ac:dyDescent="0.35">
      <c r="A2" s="5" t="s">
        <v>4</v>
      </c>
      <c r="B2" s="10" t="s">
        <v>5</v>
      </c>
      <c r="C2" s="9"/>
      <c r="D2" s="9"/>
      <c r="E2" s="9"/>
      <c r="I2" s="26"/>
      <c r="J2" s="26"/>
      <c r="K2" s="9"/>
      <c r="M2" s="8"/>
      <c r="N2" s="9"/>
      <c r="O2" s="8"/>
      <c r="P2" s="9"/>
    </row>
    <row r="3" spans="1:18" s="4" customFormat="1" ht="29" x14ac:dyDescent="0.35">
      <c r="A3" s="11" t="s">
        <v>6</v>
      </c>
      <c r="B3" s="12" t="s">
        <v>92</v>
      </c>
      <c r="C3" s="13" t="s">
        <v>94</v>
      </c>
      <c r="D3" s="13" t="s">
        <v>96</v>
      </c>
      <c r="E3" s="13" t="s">
        <v>99</v>
      </c>
      <c r="F3" s="23" t="s">
        <v>101</v>
      </c>
      <c r="G3" s="23" t="s">
        <v>103</v>
      </c>
      <c r="H3" s="23" t="s">
        <v>105</v>
      </c>
      <c r="I3" s="27" t="s">
        <v>108</v>
      </c>
      <c r="J3" s="27" t="s">
        <v>111</v>
      </c>
      <c r="K3" s="13" t="s">
        <v>113</v>
      </c>
      <c r="L3" s="23" t="s">
        <v>48</v>
      </c>
      <c r="M3" s="14" t="s">
        <v>22</v>
      </c>
      <c r="N3" s="13" t="s">
        <v>26</v>
      </c>
      <c r="O3" s="14" t="s">
        <v>29</v>
      </c>
      <c r="P3" s="13" t="s">
        <v>31</v>
      </c>
      <c r="Q3" s="15" t="s">
        <v>33</v>
      </c>
      <c r="R3" s="15" t="s">
        <v>34</v>
      </c>
    </row>
    <row r="4" spans="1:18" s="4" customFormat="1" x14ac:dyDescent="0.35">
      <c r="A4" s="11" t="s">
        <v>7</v>
      </c>
      <c r="B4" s="12" t="s">
        <v>93</v>
      </c>
      <c r="C4" s="13" t="s">
        <v>95</v>
      </c>
      <c r="D4" s="13" t="s">
        <v>97</v>
      </c>
      <c r="E4" s="13" t="s">
        <v>100</v>
      </c>
      <c r="F4" s="17" t="s">
        <v>102</v>
      </c>
      <c r="G4" s="17" t="s">
        <v>104</v>
      </c>
      <c r="H4" s="17" t="s">
        <v>106</v>
      </c>
      <c r="I4" s="28" t="s">
        <v>109</v>
      </c>
      <c r="J4" s="28" t="s">
        <v>112</v>
      </c>
      <c r="K4" s="13" t="s">
        <v>114</v>
      </c>
      <c r="L4" s="17" t="s">
        <v>78</v>
      </c>
      <c r="M4" s="16" t="s">
        <v>23</v>
      </c>
      <c r="N4" s="13" t="s">
        <v>27</v>
      </c>
      <c r="O4" s="16" t="s">
        <v>30</v>
      </c>
      <c r="P4" s="13" t="s">
        <v>32</v>
      </c>
      <c r="Q4" s="17"/>
      <c r="R4" s="17"/>
    </row>
    <row r="5" spans="1:18" s="4" customFormat="1" x14ac:dyDescent="0.35">
      <c r="A5" s="11" t="s">
        <v>8</v>
      </c>
      <c r="B5" s="12" t="s">
        <v>39</v>
      </c>
      <c r="C5" s="13" t="s">
        <v>57</v>
      </c>
      <c r="D5" s="13" t="s">
        <v>98</v>
      </c>
      <c r="E5" s="13" t="s">
        <v>28</v>
      </c>
      <c r="F5" s="23" t="s">
        <v>50</v>
      </c>
      <c r="G5" s="23" t="s">
        <v>50</v>
      </c>
      <c r="H5" s="23" t="s">
        <v>107</v>
      </c>
      <c r="I5" s="27" t="s">
        <v>110</v>
      </c>
      <c r="J5" s="27" t="s">
        <v>110</v>
      </c>
      <c r="K5" s="13" t="s">
        <v>115</v>
      </c>
      <c r="L5" s="23" t="s">
        <v>50</v>
      </c>
      <c r="M5" s="14" t="s">
        <v>24</v>
      </c>
      <c r="N5" s="13" t="s">
        <v>28</v>
      </c>
      <c r="O5" s="14" t="s">
        <v>24</v>
      </c>
      <c r="P5" s="13" t="s">
        <v>28</v>
      </c>
      <c r="Q5" s="17"/>
      <c r="R5" s="17"/>
    </row>
    <row r="6" spans="1:18" s="4" customFormat="1" x14ac:dyDescent="0.35">
      <c r="A6" s="5" t="s">
        <v>9</v>
      </c>
      <c r="B6" s="12" t="s">
        <v>14</v>
      </c>
      <c r="C6" s="13" t="s">
        <v>5</v>
      </c>
      <c r="D6" s="13" t="s">
        <v>5</v>
      </c>
      <c r="E6" s="13" t="s">
        <v>21</v>
      </c>
      <c r="F6" s="23" t="s">
        <v>25</v>
      </c>
      <c r="G6" s="23" t="s">
        <v>25</v>
      </c>
      <c r="H6" s="23" t="s">
        <v>21</v>
      </c>
      <c r="I6" s="27" t="s">
        <v>25</v>
      </c>
      <c r="J6" s="27" t="s">
        <v>25</v>
      </c>
      <c r="K6" s="13" t="s">
        <v>25</v>
      </c>
      <c r="L6" s="23" t="s">
        <v>25</v>
      </c>
      <c r="M6" s="14" t="s">
        <v>25</v>
      </c>
      <c r="N6" s="13" t="s">
        <v>5</v>
      </c>
      <c r="O6" s="14" t="s">
        <v>25</v>
      </c>
      <c r="P6" s="13" t="s">
        <v>5</v>
      </c>
      <c r="Q6" s="17"/>
      <c r="R6" s="17"/>
    </row>
    <row r="7" spans="1:18" x14ac:dyDescent="0.35">
      <c r="A7" s="18" t="s">
        <v>10</v>
      </c>
      <c r="B7" s="19" t="s">
        <v>15</v>
      </c>
      <c r="C7" s="20" t="s">
        <v>15</v>
      </c>
      <c r="D7" s="20" t="s">
        <v>15</v>
      </c>
      <c r="E7" s="20" t="s">
        <v>15</v>
      </c>
      <c r="F7" s="24" t="s">
        <v>15</v>
      </c>
      <c r="G7" s="24" t="s">
        <v>15</v>
      </c>
      <c r="H7" s="24" t="s">
        <v>15</v>
      </c>
      <c r="I7" s="29" t="s">
        <v>15</v>
      </c>
      <c r="J7" s="29" t="s">
        <v>15</v>
      </c>
      <c r="K7" s="20" t="s">
        <v>15</v>
      </c>
      <c r="L7" s="24" t="s">
        <v>15</v>
      </c>
      <c r="M7" s="21" t="s">
        <v>15</v>
      </c>
      <c r="N7" s="20" t="s">
        <v>15</v>
      </c>
      <c r="O7" s="21" t="s">
        <v>15</v>
      </c>
      <c r="P7" s="20" t="s">
        <v>15</v>
      </c>
      <c r="Q7" s="22"/>
      <c r="R7" s="22"/>
    </row>
  </sheetData>
  <sheetProtection formatCells="0" formatColumns="0" formatRows="0" insertColumns="0" insertRows="0" insertHyperlinks="0" deleteColumns="0" deleteRows="0" sort="0" autoFilter="0"/>
  <phoneticPr fontId="2"/>
  <conditionalFormatting sqref="B7:P7">
    <cfRule type="expression" dxfId="3" priority="1">
      <formula>AND(ISNUMBER(FIND("K",B6)),B7="*")</formula>
    </cfRule>
    <cfRule type="expression" dxfId="2" priority="2">
      <formula>AND(ISNUMBER(FIND("N",B6)),B7="*")</formula>
    </cfRule>
    <cfRule type="expression" dxfId="1" priority="3">
      <formula>B7="*"</formula>
    </cfRule>
    <cfRule type="expression" dxfId="0" priority="4">
      <formula>B7=""</formula>
    </cfRule>
  </conditionalFormatting>
  <dataValidations count="1">
    <dataValidation type="list" allowBlank="1" showInputMessage="1" showErrorMessage="1" sqref="B7:P7" xr:uid="{00000000-0002-0000-0400-000000000000}">
      <formula1>"*,"</formula1>
    </dataValidation>
  </dataValidations>
  <pageMargins left="0.75" right="0.75" top="0.75" bottom="0.5" header="0.5" footer="0.75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</vt:i4>
      </vt:variant>
    </vt:vector>
  </HeadingPairs>
  <TitlesOfParts>
    <vt:vector size="6" baseType="lpstr">
      <vt:lpstr>departments</vt:lpstr>
      <vt:lpstr>employees</vt:lpstr>
      <vt:lpstr>clients</vt:lpstr>
      <vt:lpstr>common_codes</vt:lpstr>
      <vt:lpstr>services</vt:lpstr>
      <vt:lpstr>dept_id_source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雅俊 古谷</cp:lastModifiedBy>
  <dcterms:created xsi:type="dcterms:W3CDTF">2026-07-22T03:54:07Z</dcterms:created>
  <dcterms:modified xsi:type="dcterms:W3CDTF">2026-09-12T10:14:54Z</dcterms:modified>
</cp:coreProperties>
</file>