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Repos_MS\East\SQL2Excel\v100\SQL2Excel\SQL2Excel.Help\src\content\docs\ja\images\foreign-key-order\"/>
    </mc:Choice>
  </mc:AlternateContent>
  <xr:revisionPtr revIDLastSave="0" documentId="13_ncr:1_{C8099393-C01B-455B-BEF5-7D28CD10F482}" xr6:coauthVersionLast="47" xr6:coauthVersionMax="47" xr10:uidLastSave="{00000000-0000-0000-0000-000000000000}"/>
  <bookViews>
    <workbookView xWindow="2480" yWindow="300" windowWidth="19420" windowHeight="14500" xr2:uid="{00000000-000D-0000-FFFF-FFFF00000000}"/>
  </bookViews>
  <sheets>
    <sheet name="departments" sheetId="1" r:id="rId1"/>
    <sheet name="employees" sheetId="2" r:id="rId2"/>
    <sheet name="clients" sheetId="3" r:id="rId3"/>
    <sheet name="services" sheetId="4" r:id="rId4"/>
    <sheet name="common_codes" sheetId="5" r:id="rId5"/>
    <sheet name="quotations" sheetId="6" r:id="rId6"/>
    <sheet name="quotation_details" sheetId="7" r:id="rId7"/>
    <sheet name="contracts" sheetId="8" r:id="rId8"/>
    <sheet name="contract_details" sheetId="9" r:id="rId9"/>
  </sheets>
  <externalReferences>
    <externalReference r:id="rId10"/>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8" i="4" l="1"/>
  <c r="O8" i="4" s="1"/>
  <c r="P8" i="4"/>
  <c r="M9" i="4"/>
  <c r="O9" i="4" s="1"/>
  <c r="P9" i="4"/>
  <c r="M10" i="4"/>
  <c r="O10" i="4" s="1"/>
  <c r="P10" i="4"/>
  <c r="M11" i="4"/>
  <c r="O11" i="4" s="1"/>
  <c r="P11" i="4"/>
  <c r="M12" i="4"/>
  <c r="O12" i="4" s="1"/>
  <c r="P12" i="4"/>
  <c r="M13" i="4"/>
  <c r="O13" i="4"/>
  <c r="P13" i="4"/>
  <c r="M14" i="4"/>
  <c r="O14" i="4"/>
  <c r="P14" i="4"/>
  <c r="M15" i="4"/>
  <c r="O15" i="4"/>
  <c r="P15" i="4"/>
  <c r="M16" i="4"/>
  <c r="O16" i="4"/>
  <c r="P16" i="4"/>
  <c r="M17" i="4"/>
  <c r="O17" i="4" s="1"/>
  <c r="P17" i="4"/>
  <c r="M18" i="4"/>
  <c r="O18" i="4" s="1"/>
  <c r="P18" i="4"/>
  <c r="M19" i="4"/>
  <c r="O19" i="4" s="1"/>
  <c r="P19" i="4"/>
  <c r="M20" i="4"/>
  <c r="O20" i="4"/>
  <c r="P20" i="4"/>
  <c r="M21" i="4"/>
  <c r="O21" i="4"/>
  <c r="P21" i="4"/>
  <c r="M22" i="4"/>
  <c r="O22" i="4"/>
  <c r="P22" i="4"/>
  <c r="M23" i="4"/>
  <c r="O23" i="4"/>
  <c r="P23" i="4"/>
  <c r="M24" i="4"/>
  <c r="O24" i="4" s="1"/>
  <c r="P24" i="4"/>
  <c r="M25" i="4"/>
  <c r="O25" i="4" s="1"/>
  <c r="P25" i="4"/>
  <c r="I26" i="4"/>
  <c r="J26" i="4"/>
  <c r="M26" i="4"/>
  <c r="O26" i="4" s="1"/>
  <c r="P26" i="4"/>
  <c r="I27" i="4"/>
  <c r="J27" i="4"/>
  <c r="M27" i="4"/>
  <c r="O27" i="4"/>
  <c r="P27" i="4"/>
  <c r="I28" i="4"/>
  <c r="J28" i="4"/>
  <c r="M28" i="4"/>
  <c r="O28" i="4" s="1"/>
  <c r="P28" i="4"/>
  <c r="I29" i="4"/>
  <c r="J29" i="4"/>
  <c r="M29" i="4"/>
  <c r="O29" i="4" s="1"/>
  <c r="P29" i="4"/>
  <c r="I30" i="4"/>
  <c r="J30" i="4"/>
  <c r="M30" i="4"/>
  <c r="O30" i="4"/>
  <c r="P30" i="4"/>
  <c r="I31" i="4"/>
  <c r="J31" i="4"/>
  <c r="M31" i="4"/>
  <c r="O31" i="4"/>
  <c r="P31" i="4"/>
  <c r="M32" i="4"/>
  <c r="O32" i="4"/>
  <c r="P32" i="4"/>
  <c r="M33" i="4"/>
  <c r="O33" i="4" s="1"/>
  <c r="P33" i="4"/>
  <c r="M34" i="4"/>
  <c r="O34" i="4"/>
  <c r="P34" i="4"/>
  <c r="I35" i="4"/>
  <c r="M35" i="4"/>
  <c r="O35" i="4"/>
  <c r="P35" i="4"/>
  <c r="I36" i="4"/>
  <c r="M36" i="4"/>
  <c r="O36" i="4" s="1"/>
  <c r="P36" i="4"/>
  <c r="I37" i="4"/>
  <c r="M37" i="4"/>
  <c r="O37" i="4"/>
  <c r="P37" i="4"/>
  <c r="F8" i="5"/>
  <c r="H8" i="5"/>
  <c r="I8" i="5"/>
  <c r="F9" i="5"/>
  <c r="H9" i="5" s="1"/>
  <c r="I9" i="5"/>
  <c r="F10" i="5"/>
  <c r="H10" i="5" s="1"/>
  <c r="I10" i="5"/>
  <c r="F11" i="5"/>
  <c r="H11" i="5" s="1"/>
  <c r="I11" i="5"/>
  <c r="F12" i="5"/>
  <c r="H12" i="5"/>
  <c r="I12" i="5"/>
  <c r="F13" i="5"/>
  <c r="H13" i="5" s="1"/>
  <c r="I13" i="5"/>
  <c r="F14" i="5"/>
  <c r="H14" i="5"/>
  <c r="I14" i="5"/>
  <c r="F15" i="5"/>
  <c r="H15" i="5"/>
  <c r="I15" i="5"/>
  <c r="F16" i="5"/>
  <c r="H16" i="5" s="1"/>
  <c r="I16" i="5"/>
  <c r="F17" i="5"/>
  <c r="H17" i="5" s="1"/>
  <c r="I17" i="5"/>
  <c r="F18" i="5"/>
  <c r="H18" i="5"/>
  <c r="I18" i="5"/>
  <c r="F19" i="5"/>
  <c r="H19" i="5"/>
  <c r="I19" i="5"/>
  <c r="F20" i="5"/>
  <c r="H20" i="5"/>
  <c r="I20" i="5"/>
  <c r="F21" i="5"/>
  <c r="H21" i="5"/>
  <c r="I21" i="5"/>
  <c r="F22" i="5"/>
  <c r="H22" i="5"/>
  <c r="I22" i="5"/>
  <c r="F23" i="5"/>
  <c r="H23" i="5"/>
  <c r="I23" i="5"/>
  <c r="F24" i="5"/>
  <c r="H24" i="5" s="1"/>
  <c r="I24" i="5"/>
  <c r="F25" i="5"/>
  <c r="H25" i="5" s="1"/>
  <c r="I25" i="5"/>
  <c r="F26" i="5"/>
  <c r="H26" i="5"/>
  <c r="I26" i="5"/>
  <c r="F27" i="5"/>
  <c r="H27" i="5" s="1"/>
  <c r="I27" i="5"/>
  <c r="F28" i="5"/>
  <c r="H28" i="5"/>
  <c r="I28" i="5"/>
  <c r="F29" i="5"/>
  <c r="H29" i="5" s="1"/>
  <c r="I29" i="5"/>
  <c r="K8" i="6"/>
  <c r="K9" i="6"/>
  <c r="K10" i="6"/>
  <c r="K11" i="6"/>
  <c r="K12" i="6"/>
  <c r="K13" i="6"/>
  <c r="K14" i="6"/>
  <c r="K15" i="6"/>
  <c r="K16" i="6"/>
  <c r="K17" i="6"/>
  <c r="K18" i="6"/>
  <c r="K19" i="6"/>
  <c r="K20" i="6"/>
  <c r="K21" i="6"/>
  <c r="K22" i="6"/>
  <c r="K23" i="6"/>
  <c r="K24" i="6"/>
  <c r="K25" i="6"/>
  <c r="K26" i="6"/>
  <c r="K27" i="6"/>
  <c r="K28" i="6"/>
  <c r="K29" i="6"/>
  <c r="K30" i="6"/>
  <c r="K31" i="6"/>
  <c r="K32" i="6"/>
  <c r="K33" i="6"/>
  <c r="K34" i="6"/>
  <c r="K35" i="6"/>
  <c r="K36" i="6"/>
  <c r="K37" i="6"/>
  <c r="K38" i="6"/>
  <c r="K39" i="6"/>
  <c r="K40" i="6"/>
  <c r="K41" i="6"/>
  <c r="K42" i="6"/>
  <c r="K43" i="6"/>
  <c r="K44" i="6"/>
  <c r="K45" i="6"/>
  <c r="K46" i="6"/>
  <c r="K47" i="6"/>
  <c r="K48" i="6"/>
  <c r="K49" i="6"/>
  <c r="K50" i="6"/>
  <c r="K51" i="6"/>
  <c r="K52" i="6"/>
  <c r="K53" i="6"/>
  <c r="K54" i="6"/>
  <c r="K55" i="6"/>
  <c r="K56" i="6"/>
  <c r="K57" i="6"/>
  <c r="K58" i="6"/>
  <c r="K59" i="6"/>
  <c r="K60" i="6"/>
  <c r="K61" i="6"/>
  <c r="K62" i="6"/>
  <c r="K63" i="6"/>
  <c r="K64" i="6"/>
  <c r="K65" i="6"/>
  <c r="K66" i="6"/>
  <c r="K67" i="6"/>
  <c r="K68" i="6"/>
  <c r="K69" i="6"/>
  <c r="K70" i="6"/>
  <c r="K71" i="6"/>
  <c r="K72" i="6"/>
  <c r="K73" i="6"/>
  <c r="K74" i="6"/>
  <c r="K75" i="6"/>
  <c r="K76" i="6"/>
  <c r="K77" i="6"/>
  <c r="K78" i="6"/>
  <c r="K79" i="6"/>
  <c r="K80" i="6"/>
  <c r="K81" i="6"/>
  <c r="K82" i="6"/>
  <c r="K83" i="6"/>
  <c r="K84" i="6"/>
  <c r="K85" i="6"/>
  <c r="K86" i="6"/>
  <c r="K87" i="6"/>
  <c r="K88" i="6"/>
  <c r="K89" i="6"/>
  <c r="K90" i="6"/>
  <c r="K91" i="6"/>
  <c r="K92" i="6"/>
  <c r="K93" i="6"/>
  <c r="K94" i="6"/>
  <c r="K95" i="6"/>
  <c r="K96" i="6"/>
  <c r="K97" i="6"/>
  <c r="K98" i="6"/>
  <c r="K99" i="6"/>
  <c r="K100" i="6"/>
  <c r="K101" i="6"/>
  <c r="K102" i="6"/>
  <c r="K103" i="6"/>
  <c r="K104" i="6"/>
  <c r="K105" i="6"/>
  <c r="K106" i="6"/>
  <c r="K107" i="6"/>
  <c r="K108" i="6"/>
  <c r="K109" i="6"/>
  <c r="K110" i="6"/>
  <c r="K111" i="6"/>
  <c r="K112" i="6"/>
  <c r="K113" i="6"/>
  <c r="K114" i="6"/>
  <c r="K115" i="6"/>
  <c r="K116" i="6"/>
  <c r="K117" i="6"/>
  <c r="K118" i="6"/>
  <c r="K119" i="6"/>
  <c r="K120" i="6"/>
  <c r="K121" i="6"/>
  <c r="K122" i="6"/>
  <c r="K123" i="6"/>
  <c r="K124" i="6"/>
  <c r="K125" i="6"/>
  <c r="K126" i="6"/>
  <c r="K127" i="6"/>
  <c r="K128" i="6"/>
  <c r="K129" i="6"/>
  <c r="K130" i="6"/>
  <c r="K131" i="6"/>
  <c r="K132" i="6"/>
  <c r="K133" i="6"/>
  <c r="K134" i="6"/>
  <c r="K135" i="6"/>
  <c r="K136" i="6"/>
  <c r="K137" i="6"/>
  <c r="K138" i="6"/>
  <c r="K139" i="6"/>
  <c r="K140" i="6"/>
  <c r="K141" i="6"/>
  <c r="K142" i="6"/>
  <c r="K143" i="6"/>
  <c r="K144" i="6"/>
  <c r="K145" i="6"/>
  <c r="K146" i="6"/>
  <c r="K147" i="6"/>
  <c r="K148" i="6"/>
  <c r="K149" i="6"/>
  <c r="K150" i="6"/>
  <c r="K151" i="6"/>
  <c r="K152" i="6"/>
  <c r="K153" i="6"/>
  <c r="K154" i="6"/>
  <c r="K155" i="6"/>
  <c r="K156" i="6"/>
  <c r="K157" i="6"/>
  <c r="K158" i="6"/>
  <c r="K159" i="6"/>
  <c r="K160" i="6"/>
  <c r="K161" i="6"/>
  <c r="K162" i="6"/>
  <c r="K163" i="6"/>
  <c r="K164" i="6"/>
  <c r="K165" i="6"/>
  <c r="K166" i="6"/>
  <c r="K167" i="6"/>
  <c r="K168" i="6"/>
  <c r="K169" i="6"/>
  <c r="K170" i="6"/>
  <c r="K171" i="6"/>
  <c r="K172" i="6"/>
  <c r="K173" i="6"/>
  <c r="K174" i="6"/>
  <c r="K175" i="6"/>
  <c r="K176" i="6"/>
  <c r="K177" i="6"/>
  <c r="K178" i="6"/>
  <c r="K179" i="6"/>
  <c r="K180" i="6"/>
  <c r="K181" i="6"/>
  <c r="K182" i="6"/>
  <c r="K183" i="6"/>
  <c r="K184" i="6"/>
  <c r="K185" i="6"/>
  <c r="K186" i="6"/>
  <c r="K187" i="6"/>
  <c r="K188" i="6"/>
  <c r="K189" i="6"/>
  <c r="K190" i="6"/>
  <c r="K191" i="6"/>
  <c r="K192" i="6"/>
  <c r="K193" i="6"/>
  <c r="K194" i="6"/>
  <c r="K195" i="6"/>
  <c r="K196" i="6"/>
  <c r="K197" i="6"/>
  <c r="K198" i="6"/>
  <c r="K199" i="6"/>
  <c r="K200" i="6"/>
  <c r="K201" i="6"/>
  <c r="K202" i="6"/>
  <c r="K203" i="6"/>
  <c r="K204" i="6"/>
  <c r="K205" i="6"/>
  <c r="K206" i="6"/>
  <c r="K207"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000-000001000000}">
      <text>
        <r>
          <rPr>
            <sz val="9"/>
            <color rgb="FF000000"/>
            <rFont val="Tahoma"/>
            <family val="2"/>
          </rPr>
          <t>K=キー項目
A=自動設定項目
N=NULL許容項目
D=既定値設定あり</t>
        </r>
      </text>
    </comment>
    <comment ref="A7" authorId="0" shapeId="0" xr:uid="{00000000-0006-0000-0000-000002000000}">
      <text>
        <r>
          <rPr>
            <sz val="9"/>
            <color rgb="FF000000"/>
            <rFont val="Tahoma"/>
            <family val="2"/>
          </rPr>
          <t>入力対象とする場合は「*」をセットします。
空白にすると入力対象から外されます。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100-000001000000}">
      <text>
        <r>
          <rPr>
            <sz val="9"/>
            <color rgb="FF000000"/>
            <rFont val="Tahoma"/>
            <family val="2"/>
          </rPr>
          <t>K=キー項目
A=自動設定項目
N=NULL許容項目
D=既定値設定あり</t>
        </r>
      </text>
    </comment>
    <comment ref="A7" authorId="0" shapeId="0" xr:uid="{00000000-0006-0000-0100-000002000000}">
      <text>
        <r>
          <rPr>
            <sz val="9"/>
            <color rgb="FF000000"/>
            <rFont val="Tahoma"/>
            <family val="2"/>
          </rPr>
          <t>入力対象とする場合は「*」をセットします。
空白にすると入力対象から外されます。</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200-000001000000}">
      <text>
        <r>
          <rPr>
            <sz val="9"/>
            <color rgb="FF000000"/>
            <rFont val="Tahoma"/>
            <family val="2"/>
          </rPr>
          <t>K=キー項目
A=自動設定項目
N=NULL許容項目
D=既定値設定あり</t>
        </r>
      </text>
    </comment>
    <comment ref="A7" authorId="0" shapeId="0" xr:uid="{00000000-0006-0000-0200-000002000000}">
      <text>
        <r>
          <rPr>
            <sz val="9"/>
            <color rgb="FF000000"/>
            <rFont val="Tahoma"/>
            <family val="2"/>
          </rPr>
          <t>入力対象とする場合は「*」をセットします。
空白にすると入力対象から外されます。</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300-000001000000}">
      <text>
        <r>
          <rPr>
            <sz val="9"/>
            <color rgb="FF000000"/>
            <rFont val="Tahoma"/>
            <family val="2"/>
          </rPr>
          <t>K=キー項目
A=自動設定項目
N=NULL許容項目
D=既定値設定あり</t>
        </r>
      </text>
    </comment>
    <comment ref="A7" authorId="0" shapeId="0" xr:uid="{00000000-0006-0000-0300-000002000000}">
      <text>
        <r>
          <rPr>
            <sz val="9"/>
            <color rgb="FF000000"/>
            <rFont val="Tahoma"/>
            <family val="2"/>
          </rPr>
          <t>入力対象とする場合は「*」をセットします。
空白にすると入力対象から外されます。</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400-000001000000}">
      <text>
        <r>
          <rPr>
            <sz val="9"/>
            <color rgb="FF000000"/>
            <rFont val="Tahoma"/>
            <family val="2"/>
          </rPr>
          <t>K=キー項目
A=自動設定項目
N=NULL許容項目
D=既定値設定あり</t>
        </r>
      </text>
    </comment>
    <comment ref="A7" authorId="0" shapeId="0" xr:uid="{00000000-0006-0000-0400-000002000000}">
      <text>
        <r>
          <rPr>
            <sz val="9"/>
            <color rgb="FF000000"/>
            <rFont val="Tahoma"/>
            <family val="2"/>
          </rPr>
          <t>入力対象とする場合は「*」をセットします。
空白にすると入力対象から外されます。</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500-000001000000}">
      <text>
        <r>
          <rPr>
            <sz val="9"/>
            <color rgb="FF000000"/>
            <rFont val="Tahoma"/>
            <family val="2"/>
          </rPr>
          <t>K=キー項目
A=自動設定項目
N=NULL許容項目
D=既定値設定あり</t>
        </r>
      </text>
    </comment>
    <comment ref="A7" authorId="0" shapeId="0" xr:uid="{00000000-0006-0000-0500-000002000000}">
      <text>
        <r>
          <rPr>
            <sz val="9"/>
            <color rgb="FF000000"/>
            <rFont val="Tahoma"/>
            <family val="2"/>
          </rPr>
          <t>入力対象とする場合は「*」をセットします。
空白にすると入力対象から外されます。</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600-000001000000}">
      <text>
        <r>
          <rPr>
            <sz val="9"/>
            <color rgb="FF000000"/>
            <rFont val="Tahoma"/>
            <family val="2"/>
          </rPr>
          <t>K=キー項目
A=自動設定項目
N=NULL許容項目
D=既定値設定あり</t>
        </r>
      </text>
    </comment>
    <comment ref="A7" authorId="0" shapeId="0" xr:uid="{00000000-0006-0000-0600-000002000000}">
      <text>
        <r>
          <rPr>
            <sz val="9"/>
            <color rgb="FF000000"/>
            <rFont val="Tahoma"/>
            <family val="2"/>
          </rPr>
          <t>入力対象とする場合は「*」をセットします。
空白にすると入力対象から外されます。</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700-000001000000}">
      <text>
        <r>
          <rPr>
            <sz val="9"/>
            <color rgb="FF000000"/>
            <rFont val="Tahoma"/>
            <family val="2"/>
          </rPr>
          <t>K=キー項目
A=自動設定項目
N=NULL許容項目
D=既定値設定あり</t>
        </r>
      </text>
    </comment>
    <comment ref="A7" authorId="0" shapeId="0" xr:uid="{00000000-0006-0000-0700-000002000000}">
      <text>
        <r>
          <rPr>
            <sz val="9"/>
            <color rgb="FF000000"/>
            <rFont val="Tahoma"/>
            <family val="2"/>
          </rPr>
          <t>入力対象とする場合は「*」をセットします。
空白にすると入力対象から外されます。</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800-000001000000}">
      <text>
        <r>
          <rPr>
            <sz val="9"/>
            <color rgb="FF000000"/>
            <rFont val="Tahoma"/>
            <family val="2"/>
          </rPr>
          <t>K=キー項目
A=自動設定項目
N=NULL許容項目
D=既定値設定あり</t>
        </r>
      </text>
    </comment>
    <comment ref="A7" authorId="0" shapeId="0" xr:uid="{00000000-0006-0000-0800-000002000000}">
      <text>
        <r>
          <rPr>
            <sz val="9"/>
            <color rgb="FF000000"/>
            <rFont val="Tahoma"/>
            <family val="2"/>
          </rPr>
          <t>入力対象とする場合は「*」をセットします。
空白にすると入力対象から外されます。</t>
        </r>
      </text>
    </comment>
  </commentList>
</comments>
</file>

<file path=xl/sharedStrings.xml><?xml version="1.0" encoding="utf-8"?>
<sst xmlns="http://schemas.openxmlformats.org/spreadsheetml/2006/main" count="16273" uniqueCount="3122">
  <si>
    <t>テーブル名</t>
  </si>
  <si>
    <t>hr.departments</t>
  </si>
  <si>
    <t>論理名</t>
  </si>
  <si>
    <t>部門マスター</t>
  </si>
  <si>
    <t>処理結果</t>
  </si>
  <si>
    <t>[INSERT] データ取り込み成功 処理件数：20件</t>
  </si>
  <si>
    <t>項目名</t>
  </si>
  <si>
    <t>dept_id</t>
  </si>
  <si>
    <t>dept_name</t>
  </si>
  <si>
    <t>parent_dept_id</t>
  </si>
  <si>
    <t>created_at</t>
  </si>
  <si>
    <t>created_by</t>
  </si>
  <si>
    <t>updated_at</t>
  </si>
  <si>
    <t>updated_by</t>
  </si>
  <si>
    <t>処理成否</t>
  </si>
  <si>
    <t>処理失敗時メッセージ</t>
  </si>
  <si>
    <t>項目論理名</t>
  </si>
  <si>
    <t>部門ID</t>
  </si>
  <si>
    <t>部門名</t>
  </si>
  <si>
    <t>親部門ID</t>
  </si>
  <si>
    <t>作成日時</t>
  </si>
  <si>
    <t>作成者ID</t>
  </si>
  <si>
    <t>更新日時</t>
  </si>
  <si>
    <t>更新者ID</t>
  </si>
  <si>
    <t>データ型</t>
  </si>
  <si>
    <t>Char(6)</t>
  </si>
  <si>
    <t>NVarChar(100)</t>
  </si>
  <si>
    <t>DateTime</t>
  </si>
  <si>
    <t>VarChar(20)</t>
  </si>
  <si>
    <t>項目属性</t>
  </si>
  <si>
    <t>K</t>
  </si>
  <si>
    <t/>
  </si>
  <si>
    <t>N</t>
  </si>
  <si>
    <t>D</t>
  </si>
  <si>
    <t>入力対象</t>
  </si>
  <si>
    <t>*</t>
  </si>
  <si>
    <t>TRUE</t>
  </si>
  <si>
    <r>
      <rPr>
        <sz val="11"/>
        <color rgb="FF000000"/>
        <rFont val="Calibri"/>
        <family val="2"/>
      </rPr>
      <t>DP0001</t>
    </r>
    <phoneticPr fontId="0"/>
  </si>
  <si>
    <r>
      <rPr>
        <sz val="11"/>
        <color rgb="FF000000"/>
        <rFont val="Calibri"/>
        <family val="2"/>
      </rPr>
      <t>営業部</t>
    </r>
    <phoneticPr fontId="0"/>
  </si>
  <si>
    <r>
      <rPr>
        <sz val="11"/>
        <color rgb="FF000000"/>
        <rFont val="Calibri"/>
        <family val="2"/>
      </rPr>
      <t>(null)</t>
    </r>
    <phoneticPr fontId="0"/>
  </si>
  <si>
    <r>
      <rPr>
        <sz val="11"/>
        <color rgb="FF000000"/>
        <rFont val="Calibri"/>
        <family val="2"/>
      </rPr>
      <t>system</t>
    </r>
    <phoneticPr fontId="0"/>
  </si>
  <si>
    <r>
      <rPr>
        <sz val="11"/>
        <color rgb="FF000000"/>
        <rFont val="Calibri"/>
        <family val="2"/>
      </rPr>
      <t>sys_administrator</t>
    </r>
    <phoneticPr fontId="0"/>
  </si>
  <si>
    <t>hr.employees</t>
  </si>
  <si>
    <r>
      <rPr>
        <sz val="11"/>
        <color rgb="FF000000"/>
        <rFont val="Calibri"/>
        <family val="2"/>
      </rPr>
      <t>SC0001</t>
    </r>
    <phoneticPr fontId="0"/>
  </si>
  <si>
    <r>
      <rPr>
        <sz val="11"/>
        <color rgb="FF000000"/>
        <rFont val="Noto Sans JP"/>
        <family val="2"/>
        <charset val="128"/>
      </rPr>
      <t>アカウント営業課</t>
    </r>
    <phoneticPr fontId="0"/>
  </si>
  <si>
    <r>
      <rPr>
        <sz val="11"/>
        <color rgb="FF000000"/>
        <rFont val="Calibri"/>
        <family val="2"/>
      </rPr>
      <t>sys_operator</t>
    </r>
    <phoneticPr fontId="0"/>
  </si>
  <si>
    <r>
      <rPr>
        <sz val="11"/>
        <color rgb="FF000000"/>
        <rFont val="Calibri"/>
        <family val="2"/>
      </rPr>
      <t>SC0002</t>
    </r>
    <phoneticPr fontId="0"/>
  </si>
  <si>
    <r>
      <rPr>
        <sz val="11"/>
        <color rgb="FF000000"/>
        <rFont val="Calibri"/>
        <family val="2"/>
      </rPr>
      <t>広告運用課</t>
    </r>
    <phoneticPr fontId="0"/>
  </si>
  <si>
    <r>
      <rPr>
        <sz val="11"/>
        <color rgb="FF000000"/>
        <rFont val="Calibri"/>
        <family val="2"/>
      </rPr>
      <t>DP0002</t>
    </r>
    <phoneticPr fontId="0"/>
  </si>
  <si>
    <r>
      <rPr>
        <sz val="11"/>
        <color rgb="FF000000"/>
        <rFont val="Calibri"/>
        <family val="2"/>
      </rPr>
      <t>マーケティング部</t>
    </r>
    <phoneticPr fontId="0"/>
  </si>
  <si>
    <r>
      <rPr>
        <sz val="11"/>
        <color rgb="FF000000"/>
        <rFont val="Calibri"/>
        <family val="2"/>
      </rPr>
      <t>SC0003</t>
    </r>
    <phoneticPr fontId="0"/>
  </si>
  <si>
    <r>
      <rPr>
        <sz val="11"/>
        <color rgb="FF000000"/>
        <rFont val="Calibri"/>
        <family val="2"/>
      </rPr>
      <t>メディアプランニング課</t>
    </r>
    <phoneticPr fontId="0"/>
  </si>
  <si>
    <r>
      <rPr>
        <sz val="11"/>
        <color rgb="FF000000"/>
        <rFont val="Calibri"/>
        <family val="2"/>
      </rPr>
      <t>sys_developer</t>
    </r>
    <phoneticPr fontId="0"/>
  </si>
  <si>
    <r>
      <rPr>
        <sz val="11"/>
        <color rgb="FF000000"/>
        <rFont val="Calibri"/>
        <family val="2"/>
      </rPr>
      <t>SC0004</t>
    </r>
    <phoneticPr fontId="0"/>
  </si>
  <si>
    <r>
      <rPr>
        <sz val="11"/>
        <color rgb="FF000000"/>
        <rFont val="Calibri"/>
        <family val="2"/>
      </rPr>
      <t>クリエイティブ企画課</t>
    </r>
    <phoneticPr fontId="0"/>
  </si>
  <si>
    <r>
      <rPr>
        <sz val="11"/>
        <color rgb="FF000000"/>
        <rFont val="Calibri"/>
        <family val="2"/>
      </rPr>
      <t>DP0003</t>
    </r>
    <phoneticPr fontId="0"/>
  </si>
  <si>
    <r>
      <rPr>
        <sz val="11"/>
        <color rgb="FF000000"/>
        <rFont val="Calibri"/>
        <family val="2"/>
      </rPr>
      <t>管理部</t>
    </r>
    <phoneticPr fontId="0"/>
  </si>
  <si>
    <r>
      <rPr>
        <sz val="11"/>
        <color rgb="FF000000"/>
        <rFont val="Calibri"/>
        <family val="2"/>
      </rPr>
      <t>SC0005</t>
    </r>
    <phoneticPr fontId="0"/>
  </si>
  <si>
    <r>
      <rPr>
        <sz val="11"/>
        <color rgb="FF000000"/>
        <rFont val="Calibri"/>
        <family val="2"/>
      </rPr>
      <t>経理総務課</t>
    </r>
    <phoneticPr fontId="0"/>
  </si>
  <si>
    <r>
      <rPr>
        <sz val="11"/>
        <color rgb="FF000000"/>
        <rFont val="Calibri"/>
        <family val="2"/>
      </rPr>
      <t>SC0006</t>
    </r>
    <phoneticPr fontId="0"/>
  </si>
  <si>
    <r>
      <rPr>
        <sz val="11"/>
        <color rgb="FF000000"/>
        <rFont val="Calibri"/>
        <family val="2"/>
      </rPr>
      <t>人事労務課</t>
    </r>
    <phoneticPr fontId="0"/>
  </si>
  <si>
    <r>
      <rPr>
        <sz val="11"/>
        <color rgb="FF000000"/>
        <rFont val="Calibri"/>
        <family val="2"/>
      </rPr>
      <t>DP0004</t>
    </r>
    <phoneticPr fontId="0"/>
  </si>
  <si>
    <r>
      <rPr>
        <sz val="11"/>
        <color rgb="FF000000"/>
        <rFont val="Calibri"/>
        <family val="2"/>
      </rPr>
      <t>システム部</t>
    </r>
    <phoneticPr fontId="0"/>
  </si>
  <si>
    <t>従業員マスター（担当者マスター）</t>
  </si>
  <si>
    <t>入力シートとテーブル間に項目名の不一致があります。テーブル名＝sales.services、入力シート側に定義されていない項目＝start_date, end_date、テーブル側に定義されていない項目＝
テーブル「sales.services」の処理をスキップします</t>
  </si>
  <si>
    <t>employee_id</t>
  </si>
  <si>
    <t>last_name</t>
  </si>
  <si>
    <t>first_name</t>
  </si>
  <si>
    <t>email</t>
  </si>
  <si>
    <t>is_active</t>
  </si>
  <si>
    <t>従業員ID（担当者コード）</t>
  </si>
  <si>
    <t>姓</t>
  </si>
  <si>
    <t>名</t>
  </si>
  <si>
    <t>業務メールアドレス</t>
  </si>
  <si>
    <t>有効フラグ（1=有効,0=無効）</t>
  </si>
  <si>
    <t>Char(8)</t>
  </si>
  <si>
    <t>NVarChar(50)</t>
  </si>
  <si>
    <t>VarChar(254)</t>
  </si>
  <si>
    <t>Bit</t>
  </si>
  <si>
    <t>18000001</t>
  </si>
  <si>
    <t>SC0001</t>
  </si>
  <si>
    <t>佐藤</t>
  </si>
  <si>
    <t>健太</t>
  </si>
  <si>
    <t>kenta.sato@tokyo-ads-sample.test</t>
  </si>
  <si>
    <t>system</t>
  </si>
  <si>
    <t>sys_administrator</t>
  </si>
  <si>
    <t>19000002</t>
  </si>
  <si>
    <t>SC0002</t>
  </si>
  <si>
    <t>鈴木</t>
  </si>
  <si>
    <t>美咲</t>
  </si>
  <si>
    <t>misaki.suzuki@tokyo-ads-sample.test</t>
  </si>
  <si>
    <t>sys_operator</t>
  </si>
  <si>
    <t>20000003</t>
  </si>
  <si>
    <t>SC0003</t>
  </si>
  <si>
    <t>高橋</t>
  </si>
  <si>
    <t>翔太</t>
  </si>
  <si>
    <t>shota.takahashi@tokyo-ads-sample.test</t>
  </si>
  <si>
    <t>21000004</t>
  </si>
  <si>
    <t>SC0004</t>
  </si>
  <si>
    <t>田中</t>
  </si>
  <si>
    <t>彩花</t>
  </si>
  <si>
    <t>ayaka.tanaka@tokyo-ads-sample.test</t>
  </si>
  <si>
    <t>22000005</t>
  </si>
  <si>
    <t>SC0005</t>
  </si>
  <si>
    <t>伊藤</t>
  </si>
  <si>
    <t>直樹</t>
  </si>
  <si>
    <t>naoki.ito@tokyo-ads-sample.test</t>
  </si>
  <si>
    <t>23000006</t>
  </si>
  <si>
    <t>SC0006</t>
  </si>
  <si>
    <t>山本</t>
  </si>
  <si>
    <t>結衣</t>
  </si>
  <si>
    <t>yui.yamamoto@tokyo-ads-sample.test</t>
  </si>
  <si>
    <t>sys_developer</t>
  </si>
  <si>
    <t>24000007</t>
  </si>
  <si>
    <t>DP0004</t>
  </si>
  <si>
    <t>中村</t>
  </si>
  <si>
    <t>大輔</t>
  </si>
  <si>
    <t>daisuke.nakamura@tokyo-ads-sample.test</t>
  </si>
  <si>
    <t>17000008</t>
  </si>
  <si>
    <t>小林</t>
  </si>
  <si>
    <t>真由</t>
  </si>
  <si>
    <t>mayu.kobayashi@tokyo-ads-sample.test</t>
  </si>
  <si>
    <t>19000009</t>
  </si>
  <si>
    <t>加藤</t>
  </si>
  <si>
    <t>亮</t>
  </si>
  <si>
    <t>ryo.kato@tokyo-ads-sample.test</t>
  </si>
  <si>
    <t>20000010</t>
  </si>
  <si>
    <t>吉田</t>
  </si>
  <si>
    <t>奈々</t>
  </si>
  <si>
    <t>nana.yoshida@tokyo-ads-sample.test</t>
  </si>
  <si>
    <t>21000011</t>
  </si>
  <si>
    <t>渡辺</t>
  </si>
  <si>
    <t>拓海</t>
  </si>
  <si>
    <t>takumi.watanabe@tokyo-ads-sample.test</t>
  </si>
  <si>
    <t>22000012</t>
  </si>
  <si>
    <t>山田</t>
  </si>
  <si>
    <t>紗季</t>
  </si>
  <si>
    <t>saki.yamada@tokyo-ads-sample.test</t>
  </si>
  <si>
    <t>23000013</t>
  </si>
  <si>
    <t>イワノフ</t>
  </si>
  <si>
    <t>アレクセイ</t>
  </si>
  <si>
    <t>alexei.ivanov@tokyo-ads-sample.test</t>
  </si>
  <si>
    <t>24000014</t>
  </si>
  <si>
    <t>キム</t>
  </si>
  <si>
    <t>ミンジュン</t>
  </si>
  <si>
    <t>minjun.kim@tokyo-ads-sample.test</t>
  </si>
  <si>
    <t>18000015</t>
  </si>
  <si>
    <t>松本</t>
  </si>
  <si>
    <t>悠斗</t>
  </si>
  <si>
    <t>yuto.matsumoto@tokyo-ads-sample.test</t>
  </si>
  <si>
    <t>19000016</t>
  </si>
  <si>
    <t>井上</t>
  </si>
  <si>
    <t>葵</t>
  </si>
  <si>
    <t>aoi.inoue@tokyo-ads-sample.test</t>
  </si>
  <si>
    <t>20000017</t>
  </si>
  <si>
    <t>清水</t>
  </si>
  <si>
    <t>陽介</t>
  </si>
  <si>
    <t>yosuke.shimizu@tokyo-ads-sample.test</t>
  </si>
  <si>
    <t>21000018</t>
  </si>
  <si>
    <t>チェン</t>
  </si>
  <si>
    <t>リーファン</t>
  </si>
  <si>
    <t>lihua.chen@tokyo-ads-sample.test</t>
  </si>
  <si>
    <t>22000019</t>
  </si>
  <si>
    <t>オコンネル</t>
  </si>
  <si>
    <t>エマ</t>
  </si>
  <si>
    <t>emma.oconnell@tokyo-ads-sample.test</t>
  </si>
  <si>
    <t>23000020</t>
  </si>
  <si>
    <t>森</t>
  </si>
  <si>
    <t>和真</t>
  </si>
  <si>
    <t>kazuma.mori@tokyo-ads-sample.test</t>
  </si>
  <si>
    <t>sales.clients</t>
  </si>
  <si>
    <t>取引先マスター</t>
  </si>
  <si>
    <t>[INSERT] データ取り込み成功 処理件数：30件</t>
  </si>
  <si>
    <t>client_id</t>
  </si>
  <si>
    <t>client_name</t>
  </si>
  <si>
    <t>client_name_kana</t>
  </si>
  <si>
    <t>contact_person</t>
  </si>
  <si>
    <t>phone</t>
  </si>
  <si>
    <t>address_line1</t>
  </si>
  <si>
    <t>address_line2</t>
  </si>
  <si>
    <t>city</t>
  </si>
  <si>
    <t>state_province</t>
  </si>
  <si>
    <t>postal_code</t>
  </si>
  <si>
    <t>country_code</t>
  </si>
  <si>
    <t>取引先ID</t>
  </si>
  <si>
    <t>取引先名</t>
  </si>
  <si>
    <t>取引先名カナ</t>
  </si>
  <si>
    <t>先方担当者名</t>
  </si>
  <si>
    <t>電話番号</t>
  </si>
  <si>
    <t>メールアドレス</t>
  </si>
  <si>
    <t>住所1：番地・建物（日本: 丁目番地・建物名に相当）</t>
  </si>
  <si>
    <t>住所2：追加行（日本: 使用頻度低。集合住宅名・部屋番号等）</t>
  </si>
  <si>
    <t>市区町村（日本: 市区町村に相当）</t>
  </si>
  <si>
    <t>都道府県・州（日本: 都道府県に相当）</t>
  </si>
  <si>
    <t>郵便番号（日本: ハイフンなし例1500001）</t>
  </si>
  <si>
    <t>国コード（ISO 3166-1 alpha-2）</t>
  </si>
  <si>
    <t>有効フラグ</t>
  </si>
  <si>
    <t>NVarChar(200)</t>
  </si>
  <si>
    <t>Char(2)</t>
  </si>
  <si>
    <t>JC000001</t>
  </si>
  <si>
    <t>株式会社ミライフーズ</t>
  </si>
  <si>
    <t>カブシキガイシャミライフーズ</t>
  </si>
  <si>
    <t>田村 健一</t>
  </si>
  <si>
    <t>03-6450-1123</t>
  </si>
  <si>
    <t>kenichi.tamura@mirai-foods-sample.test</t>
  </si>
  <si>
    <t>恵比寿南1-5-5 恵比寿パークビル</t>
  </si>
  <si>
    <t>402</t>
  </si>
  <si>
    <t>渋谷区</t>
  </si>
  <si>
    <t>東京都</t>
  </si>
  <si>
    <t>1500022</t>
  </si>
  <si>
    <t>JP</t>
  </si>
  <si>
    <t>JC000002</t>
  </si>
  <si>
    <t>青山ウェルネス株式会社</t>
  </si>
  <si>
    <t>アオヤマウェルネスカブシキガイシャ</t>
  </si>
  <si>
    <t>佐々木 美穂</t>
  </si>
  <si>
    <t>03-5778-2045</t>
  </si>
  <si>
    <t>miho.sasaki@aoyama-wellness-sample.test</t>
  </si>
  <si>
    <t>南青山3-8-12 南青山スクエア</t>
  </si>
  <si>
    <t>6F</t>
  </si>
  <si>
    <t>港区</t>
  </si>
  <si>
    <t>1070062</t>
  </si>
  <si>
    <t>JC000003</t>
  </si>
  <si>
    <t>株式会社トーキョーギフト</t>
  </si>
  <si>
    <t>カブシキガイシャトーキョーギフト</t>
  </si>
  <si>
    <t>小川 亮</t>
  </si>
  <si>
    <t>03-5829-3310</t>
  </si>
  <si>
    <t>ryo.ogawa@tokyo-gift-sample.test</t>
  </si>
  <si>
    <t>蔵前2-4-3 リバーサイド蔵前</t>
  </si>
  <si>
    <t>301</t>
  </si>
  <si>
    <t>台東区</t>
  </si>
  <si>
    <t>1110051</t>
  </si>
  <si>
    <t>JC000004</t>
  </si>
  <si>
    <t>日本クラフトビール販売株式会社</t>
  </si>
  <si>
    <t>ニホンクラフトビールハンバイカブシキガイシャ</t>
  </si>
  <si>
    <t>高橋 直子</t>
  </si>
  <si>
    <t>03-6206-4457</t>
  </si>
  <si>
    <t>naoko.takahashi@jcraftbeer-sample.test</t>
  </si>
  <si>
    <t>神田淡路町1-9-5 淡路町ビル</t>
  </si>
  <si>
    <t>5B</t>
  </si>
  <si>
    <t>千代田区</t>
  </si>
  <si>
    <t>1010063</t>
  </si>
  <si>
    <t>JC000005</t>
  </si>
  <si>
    <t>株式会社スマイルペット</t>
  </si>
  <si>
    <t>カブシキガイシャスマイルペット</t>
  </si>
  <si>
    <t>中村 翔</t>
  </si>
  <si>
    <t>03-6384-8721</t>
  </si>
  <si>
    <t>sho.nakamura@smile-pet-sample.test</t>
  </si>
  <si>
    <t>中野4-10-2 セントラルパークサウス</t>
  </si>
  <si>
    <t>8F</t>
  </si>
  <si>
    <t>中野区</t>
  </si>
  <si>
    <t>1640001</t>
  </si>
  <si>
    <t>JC000006</t>
  </si>
  <si>
    <t>銀座ライフスタイル株式会社</t>
  </si>
  <si>
    <t>ギンザライフスタイルカブシキガイシャ</t>
  </si>
  <si>
    <t>山口 彩</t>
  </si>
  <si>
    <t>03-5537-9088</t>
  </si>
  <si>
    <t>aya.yamaguchi@ginza-lifestyle-sample.test</t>
  </si>
  <si>
    <t>銀座6-12-10 銀座グリーンビル</t>
  </si>
  <si>
    <t>702</t>
  </si>
  <si>
    <t>中央区</t>
  </si>
  <si>
    <t>1040061</t>
  </si>
  <si>
    <t>JC000007</t>
  </si>
  <si>
    <t>株式会社ベイサイドトラベル</t>
  </si>
  <si>
    <t>カブシキガイシャベイサイドトラベル</t>
  </si>
  <si>
    <t>石井 大輔</t>
  </si>
  <si>
    <t>045-228-1970</t>
  </si>
  <si>
    <t>daisuke.ishii@bayside-travel-sample.test</t>
  </si>
  <si>
    <t>みなとみらい3-6-1 みなとみらいセンタービル</t>
  </si>
  <si>
    <t>12F</t>
  </si>
  <si>
    <t>横浜市西区</t>
  </si>
  <si>
    <t>神奈川県</t>
  </si>
  <si>
    <t>2200012</t>
  </si>
  <si>
    <t>JC000008</t>
  </si>
  <si>
    <t>株式会社ネクストアパレル</t>
  </si>
  <si>
    <t>カブシキガイシャネクストアパレル</t>
  </si>
  <si>
    <t>林 真理</t>
  </si>
  <si>
    <t>03-3406-7712</t>
  </si>
  <si>
    <t>mari.hayashi@next-apparel-sample.test</t>
  </si>
  <si>
    <t>神宮前5-52-2 青山オーバルビル</t>
  </si>
  <si>
    <t>403</t>
  </si>
  <si>
    <t>1500001</t>
  </si>
  <si>
    <t>JC000009</t>
  </si>
  <si>
    <t>株式会社グリーンマーケット</t>
  </si>
  <si>
    <t>カブシキガイシャグリーンマーケット</t>
  </si>
  <si>
    <t>森田 悠</t>
  </si>
  <si>
    <t>03-5656-1244</t>
  </si>
  <si>
    <t>yu.morita@green-market-sample.test</t>
  </si>
  <si>
    <t>豊洲3-2-20 豊洲フロント</t>
  </si>
  <si>
    <t>9F</t>
  </si>
  <si>
    <t>江東区</t>
  </si>
  <si>
    <t>1350061</t>
  </si>
  <si>
    <t>JC000010</t>
  </si>
  <si>
    <t>浅草ホビー株式会社</t>
  </si>
  <si>
    <t>アサクサホビーカブシキガイシャ</t>
  </si>
  <si>
    <t>渡辺 誠</t>
  </si>
  <si>
    <t>03-3841-6602</t>
  </si>
  <si>
    <t>makoto.watanabe@asakusa-hobby-sample.test</t>
  </si>
  <si>
    <t>浅草1-22-5 雷門プラザ</t>
  </si>
  <si>
    <t>201</t>
  </si>
  <si>
    <t>1110032</t>
  </si>
  <si>
    <t>JC000011</t>
  </si>
  <si>
    <t>株式会社ヘルシーデリ東京</t>
  </si>
  <si>
    <t>カブシキガイシャヘルシーデリトウキョウ</t>
  </si>
  <si>
    <t>藤田 菜月</t>
  </si>
  <si>
    <t>03-5728-4419</t>
  </si>
  <si>
    <t>natsuki.fujita@healthy-deli-tokyo-sample.test</t>
  </si>
  <si>
    <t>三軒茶屋2-11-24 サンタワーズ</t>
  </si>
  <si>
    <t>A棟305</t>
  </si>
  <si>
    <t>世田谷区</t>
  </si>
  <si>
    <t>1540024</t>
  </si>
  <si>
    <t>JC000012</t>
  </si>
  <si>
    <t>株式会社シティスクール</t>
  </si>
  <si>
    <t>カブシキガイシャシティスクール</t>
  </si>
  <si>
    <t>岡田 智也</t>
  </si>
  <si>
    <t>03-3360-5517</t>
  </si>
  <si>
    <t>tomoya.okada@city-school-sample.test</t>
  </si>
  <si>
    <t>西新宿7-8-11 美笠ビル</t>
  </si>
  <si>
    <t>602</t>
  </si>
  <si>
    <t>新宿区</t>
  </si>
  <si>
    <t>1600023</t>
  </si>
  <si>
    <t>JC000013</t>
  </si>
  <si>
    <t>表参道コスメティクス株式会社</t>
  </si>
  <si>
    <t>オモテサンドウコスメティクスカブシキガイシャ</t>
  </si>
  <si>
    <t>小松 玲奈</t>
  </si>
  <si>
    <t>03-6427-8901</t>
  </si>
  <si>
    <t>rena.komatsu@omotesando-cosmetics-sample.test</t>
  </si>
  <si>
    <t>北青山3-6-7 青山パラシオタワー</t>
  </si>
  <si>
    <t>11F</t>
  </si>
  <si>
    <t>1070061</t>
  </si>
  <si>
    <t>JC000014</t>
  </si>
  <si>
    <t>株式会社ブックラウンジ</t>
  </si>
  <si>
    <t>カブシキガイシャブックラウンジ</t>
  </si>
  <si>
    <t>西村 颯太</t>
  </si>
  <si>
    <t>03-3980-3358</t>
  </si>
  <si>
    <t>sota.nishimura@book-lounge-sample.test</t>
  </si>
  <si>
    <t>南池袋1-16-15 ダイヤゲート池袋</t>
  </si>
  <si>
    <t>704</t>
  </si>
  <si>
    <t>豊島区</t>
  </si>
  <si>
    <t>1710022</t>
  </si>
  <si>
    <t>JC000015</t>
  </si>
  <si>
    <t>株式会社キッズプラス</t>
  </si>
  <si>
    <t>カブシキガイシャキッズプラス</t>
  </si>
  <si>
    <t>松井 優子</t>
  </si>
  <si>
    <t>03-3700-9188</t>
  </si>
  <si>
    <t>yuko.matsui@kids-plus-sample.test</t>
  </si>
  <si>
    <t>玉川3-17-1 玉川高島屋S・C</t>
  </si>
  <si>
    <t>本館4F</t>
  </si>
  <si>
    <t>1580094</t>
  </si>
  <si>
    <t>JC000016</t>
  </si>
  <si>
    <t>株式会社ローカルニュース東京</t>
  </si>
  <si>
    <t>カブシキガイシャローカルニューストウキョウ</t>
  </si>
  <si>
    <t>近藤 弘樹</t>
  </si>
  <si>
    <t>03-6268-4703</t>
  </si>
  <si>
    <t>hiroki.kondo@local-news-tokyo-sample.test</t>
  </si>
  <si>
    <t>麹町4-5-20 KSビル</t>
  </si>
  <si>
    <t>501</t>
  </si>
  <si>
    <t>1020083</t>
  </si>
  <si>
    <t>JC000017</t>
  </si>
  <si>
    <t>株式会社モビリティリンク</t>
  </si>
  <si>
    <t>カブシキガイシャモビリティリンク</t>
  </si>
  <si>
    <t>福田 梨沙</t>
  </si>
  <si>
    <t>03-6435-7834</t>
  </si>
  <si>
    <t>risa.fukuda@mobility-link-sample.test</t>
  </si>
  <si>
    <t>芝浦3-14-18 キャナルスクエア芝浦</t>
  </si>
  <si>
    <t>2F</t>
  </si>
  <si>
    <t>1080023</t>
  </si>
  <si>
    <t>JC000018</t>
  </si>
  <si>
    <t>株式会社イーストベーカリー</t>
  </si>
  <si>
    <t>カブシキガイシャイーストベーカリー</t>
  </si>
  <si>
    <t>長谷川 洋介</t>
  </si>
  <si>
    <t>03-5600-2251</t>
  </si>
  <si>
    <t>yosuke.hasegawa@east-bakery-sample.test</t>
  </si>
  <si>
    <t>錦糸2-13-4 錦糸町レジデンス</t>
  </si>
  <si>
    <t>101</t>
  </si>
  <si>
    <t>墨田区</t>
  </si>
  <si>
    <t>1300013</t>
  </si>
  <si>
    <t>JC000019</t>
  </si>
  <si>
    <t>株式会社クラウド会計ラボ</t>
  </si>
  <si>
    <t>カブシキガイシャクラウドカイケイラボ</t>
  </si>
  <si>
    <t>前田 和也</t>
  </si>
  <si>
    <t>03-6205-7142</t>
  </si>
  <si>
    <t>kazuya.maeda@cloud-accounting-lab-sample.test</t>
  </si>
  <si>
    <t>虎ノ門1-16-6 虎ノ門RAPO-TOビル</t>
  </si>
  <si>
    <t>UCF703</t>
  </si>
  <si>
    <t>1050001</t>
  </si>
  <si>
    <t>JC000020</t>
  </si>
  <si>
    <t>株式会社ファミリーガーデン</t>
  </si>
  <si>
    <t>カブシキガイシャファミリーガーデン</t>
  </si>
  <si>
    <t>吉川 由紀</t>
  </si>
  <si>
    <t>042-728-9033</t>
  </si>
  <si>
    <t>yuki.yoshikawa@family-garden-sample.test</t>
  </si>
  <si>
    <t>原町田6-9-8 AETA町田</t>
  </si>
  <si>
    <t>5F</t>
  </si>
  <si>
    <t>町田市</t>
  </si>
  <si>
    <t>1940013</t>
  </si>
  <si>
    <t>JC000021</t>
  </si>
  <si>
    <t>株式会社ミニマルホーム</t>
  </si>
  <si>
    <t>カブシキガイシャミニマルホーム</t>
  </si>
  <si>
    <t>竹内 誠司</t>
  </si>
  <si>
    <t>03-6457-2408</t>
  </si>
  <si>
    <t>seiji.takeuchi@minimal-home-sample.test</t>
  </si>
  <si>
    <t>神楽坂3-6 神楽坂サムライ堂ビル</t>
  </si>
  <si>
    <t>302</t>
  </si>
  <si>
    <t>1620825</t>
  </si>
  <si>
    <t>JC000022</t>
  </si>
  <si>
    <t>株式会社アーバンフィット</t>
  </si>
  <si>
    <t>カブシキガイシャアーバンフィット</t>
  </si>
  <si>
    <t>大野 亜紀</t>
  </si>
  <si>
    <t>03-6908-3325</t>
  </si>
  <si>
    <t>aki.ohno@urban-fit-sample.test</t>
  </si>
  <si>
    <t>高田馬場2-14-2 新陽ビル</t>
  </si>
  <si>
    <t>1001</t>
  </si>
  <si>
    <t>1690075</t>
  </si>
  <si>
    <t>JC000023</t>
  </si>
  <si>
    <t>株式会社ナチュラルスキン</t>
  </si>
  <si>
    <t>カブシキガイシャナチュラルスキン</t>
  </si>
  <si>
    <t>河合 典子</t>
  </si>
  <si>
    <t>03-6804-1207</t>
  </si>
  <si>
    <t>noriko.kawai@natural-skin-sample.test</t>
  </si>
  <si>
    <t>自由が丘1-8-18 自由が丘ノーブル</t>
  </si>
  <si>
    <t>406</t>
  </si>
  <si>
    <t>目黒区</t>
  </si>
  <si>
    <t>1520035</t>
  </si>
  <si>
    <t>JC000024</t>
  </si>
  <si>
    <t>株式会社東京イベントワークス</t>
  </si>
  <si>
    <t>カブシキガイシャトウキョウイベントワークス</t>
  </si>
  <si>
    <t>杉山 啓太</t>
  </si>
  <si>
    <t>03-5321-4560</t>
  </si>
  <si>
    <t>keita.sugiyama@tokyo-event-works-sample.test</t>
  </si>
  <si>
    <t>西新宿2-6-1 新宿住友ビル</t>
  </si>
  <si>
    <t>18F</t>
  </si>
  <si>
    <t>1630218</t>
  </si>
  <si>
    <t>JC000025</t>
  </si>
  <si>
    <t>株式会社スマートリユース</t>
  </si>
  <si>
    <t>カブシキガイシャスマートリユース</t>
  </si>
  <si>
    <t>内田 香織</t>
  </si>
  <si>
    <t>03-5298-7713</t>
  </si>
  <si>
    <t>kaori.uchida@smart-reuse-sample.test</t>
  </si>
  <si>
    <t>外神田4-14-1 秋葉原UDX</t>
  </si>
  <si>
    <t>1010021</t>
  </si>
  <si>
    <t>JC000026</t>
  </si>
  <si>
    <t>株式会社ワークスタイル研究所</t>
  </si>
  <si>
    <t>カブシキガイシャワークスタイルケンキュウジョ</t>
  </si>
  <si>
    <t>村上 智子</t>
  </si>
  <si>
    <t>03-6868-9012</t>
  </si>
  <si>
    <t>tomoko.murakami@workstyle-lab-sample.test</t>
  </si>
  <si>
    <t>大手町1-6-1 大手町ビル</t>
  </si>
  <si>
    <t>3F</t>
  </si>
  <si>
    <t>1000004</t>
  </si>
  <si>
    <t>JC000027</t>
  </si>
  <si>
    <t>株式会社レトロゲームス</t>
  </si>
  <si>
    <t>カブシキガイシャレトロゲームス</t>
  </si>
  <si>
    <t>北村 修</t>
  </si>
  <si>
    <t>03-5817-5570</t>
  </si>
  <si>
    <t>osamu.kitamura@retro-games-sample.test</t>
  </si>
  <si>
    <t>上野3-24-6 上野フロンティアタワー</t>
  </si>
  <si>
    <t>7F</t>
  </si>
  <si>
    <t>1100005</t>
  </si>
  <si>
    <t>JC000028</t>
  </si>
  <si>
    <t>株式会社ソーシャルカフェ</t>
  </si>
  <si>
    <t>カブシキガイシャソーシャルカフェ</t>
  </si>
  <si>
    <t>遠藤 愛</t>
  </si>
  <si>
    <t>03-6452-6731</t>
  </si>
  <si>
    <t>ai.endo@social-cafe-sample.test</t>
  </si>
  <si>
    <t>代官山町20-23 フォレストゲート代官山</t>
  </si>
  <si>
    <t>1500034</t>
  </si>
  <si>
    <t>JC000029</t>
  </si>
  <si>
    <t>株式会社プラスワン不動産</t>
  </si>
  <si>
    <t>カブシキガイシャプラスワンフドウサン</t>
  </si>
  <si>
    <t>坂本 祐介</t>
  </si>
  <si>
    <t>03-5985-9904</t>
  </si>
  <si>
    <t>yusuke.sakamoto@plusone-realty-sample.test</t>
  </si>
  <si>
    <t>東池袋1-18-1 Hareza Tower</t>
  </si>
  <si>
    <t>10F</t>
  </si>
  <si>
    <t>1700013</t>
  </si>
  <si>
    <t>JC000030</t>
  </si>
  <si>
    <t>株式会社ライトアップジャパン</t>
  </si>
  <si>
    <t>カブシキガイシャライトアップジャパン</t>
  </si>
  <si>
    <t>宮本 佳奈</t>
  </si>
  <si>
    <t>03-6459-2346</t>
  </si>
  <si>
    <t>kana.miyamoto@lightup-japan-sample.test</t>
  </si>
  <si>
    <t>六本木7-14-23 クロスオフィス六本木</t>
  </si>
  <si>
    <t>508</t>
  </si>
  <si>
    <t>1060032</t>
  </si>
  <si>
    <r>
      <rPr>
        <sz val="11"/>
        <color rgb="FF000000"/>
        <rFont val="Calibri"/>
        <family val="2"/>
      </rPr>
      <t>テーブル名</t>
    </r>
  </si>
  <si>
    <t>sales.services</t>
  </si>
  <si>
    <r>
      <rPr>
        <sz val="11"/>
        <color rgb="FF000000"/>
        <rFont val="Calibri"/>
        <family val="2"/>
      </rPr>
      <t>論理名</t>
    </r>
  </si>
  <si>
    <r>
      <rPr>
        <sz val="11"/>
        <color rgb="FF000000"/>
        <rFont val="Calibri"/>
        <family val="2"/>
      </rPr>
      <t>処理結果</t>
    </r>
  </si>
  <si>
    <r>
      <rPr>
        <sz val="11"/>
        <color rgb="FF000000"/>
        <rFont val="Calibri"/>
        <family val="2"/>
      </rPr>
      <t>サービスマスター（広告種別・料金定義）</t>
    </r>
  </si>
  <si>
    <r>
      <rPr>
        <sz val="11"/>
        <color rgb="FF000000"/>
        <rFont val="Calibri"/>
        <family val="2"/>
      </rPr>
      <t>項目名</t>
    </r>
  </si>
  <si>
    <t>service_id</t>
  </si>
  <si>
    <t>service_name</t>
  </si>
  <si>
    <t>ad_type</t>
  </si>
  <si>
    <t>banner_size</t>
  </si>
  <si>
    <t>html_embed_available</t>
  </si>
  <si>
    <t>js_embed_available</t>
  </si>
  <si>
    <t>video_duration_sec</t>
  </si>
  <si>
    <t>price_weekly</t>
  </si>
  <si>
    <t>price_monthly</t>
  </si>
  <si>
    <t>currency_code</t>
  </si>
  <si>
    <r>
      <rPr>
        <sz val="11"/>
        <color rgb="FF000000"/>
        <rFont val="Calibri"/>
        <family val="2"/>
      </rPr>
      <t>処理成否</t>
    </r>
  </si>
  <si>
    <r>
      <rPr>
        <sz val="11"/>
        <color rgb="FF000000"/>
        <rFont val="Calibri"/>
        <family val="2"/>
      </rPr>
      <t>処理失敗時メッセージ</t>
    </r>
  </si>
  <si>
    <r>
      <rPr>
        <sz val="11"/>
        <color rgb="FF000000"/>
        <rFont val="Calibri"/>
        <family val="2"/>
      </rPr>
      <t>項目論理名</t>
    </r>
  </si>
  <si>
    <r>
      <rPr>
        <sz val="11"/>
        <color rgb="FF000000"/>
        <rFont val="Calibri"/>
        <family val="2"/>
      </rPr>
      <t>HTML</t>
    </r>
    <r>
      <rPr>
        <sz val="11"/>
        <color rgb="FF000000"/>
        <rFont val="Calibri"/>
        <family val="2"/>
      </rPr>
      <t>埋め込み可否（バナー広告のみ）</t>
    </r>
  </si>
  <si>
    <r>
      <rPr>
        <sz val="11"/>
        <color rgb="FF000000"/>
        <rFont val="Calibri"/>
        <family val="2"/>
      </rPr>
      <t>サービスID</t>
    </r>
  </si>
  <si>
    <r>
      <rPr>
        <sz val="11"/>
        <color rgb="FF000000"/>
        <rFont val="Calibri"/>
        <family val="2"/>
      </rPr>
      <t>サービス名</t>
    </r>
  </si>
  <si>
    <r>
      <rPr>
        <sz val="11"/>
        <color rgb="FF000000"/>
        <rFont val="Calibri"/>
        <family val="2"/>
      </rPr>
      <t>広告種別（B=バナー広告,V=動画広告）</t>
    </r>
  </si>
  <si>
    <r>
      <rPr>
        <sz val="11"/>
        <color rgb="FF000000"/>
        <rFont val="Noto Sans JP"/>
        <family val="2"/>
      </rPr>
      <t>バナーサイズ（バナー広告のみ。例</t>
    </r>
    <r>
      <rPr>
        <sz val="11"/>
        <color rgb="FF000000"/>
        <rFont val="Calibri"/>
        <family val="2"/>
      </rPr>
      <t>:468x60,728x90,300x250</t>
    </r>
    <r>
      <rPr>
        <sz val="11"/>
        <color rgb="FF000000"/>
        <rFont val="Noto Sans JP"/>
        <family val="2"/>
      </rPr>
      <t>）</t>
    </r>
    <phoneticPr fontId="0"/>
  </si>
  <si>
    <r>
      <rPr>
        <sz val="11"/>
        <color rgb="FF000000"/>
        <rFont val="Calibri"/>
        <family val="2"/>
      </rPr>
      <t>JavaScript</t>
    </r>
    <r>
      <rPr>
        <sz val="11"/>
        <color rgb="FF000000"/>
        <rFont val="Calibri"/>
        <family val="2"/>
      </rPr>
      <t>埋め込み可否（バナー広告のみ）</t>
    </r>
  </si>
  <si>
    <r>
      <rPr>
        <sz val="11"/>
        <color rgb="FF000000"/>
        <rFont val="Calibri"/>
        <family val="2"/>
      </rPr>
      <t>有効フラグ</t>
    </r>
  </si>
  <si>
    <r>
      <rPr>
        <sz val="11"/>
        <color rgb="FF000000"/>
        <rFont val="Calibri"/>
        <family val="2"/>
      </rPr>
      <t>動画表示時間（秒）（動画広告のみ）</t>
    </r>
  </si>
  <si>
    <r>
      <rPr>
        <sz val="11"/>
        <color rgb="FF000000"/>
        <rFont val="Calibri"/>
        <family val="2"/>
      </rPr>
      <t>週単位料金（税抜）</t>
    </r>
  </si>
  <si>
    <r>
      <rPr>
        <sz val="11"/>
        <color rgb="FF000000"/>
        <rFont val="Calibri"/>
        <family val="2"/>
      </rPr>
      <t>月単位料金（税抜）</t>
    </r>
  </si>
  <si>
    <r>
      <rPr>
        <sz val="11"/>
        <color rgb="FF000000"/>
        <rFont val="Calibri"/>
        <family val="2"/>
      </rPr>
      <t>料金通貨コード（ISO 4217）</t>
    </r>
  </si>
  <si>
    <r>
      <rPr>
        <sz val="11"/>
        <color rgb="FF000000"/>
        <rFont val="Calibri"/>
        <family val="2"/>
      </rPr>
      <t>作成日時</t>
    </r>
  </si>
  <si>
    <r>
      <rPr>
        <sz val="11"/>
        <color rgb="FF000000"/>
        <rFont val="Calibri"/>
        <family val="2"/>
      </rPr>
      <t>作成者ID</t>
    </r>
  </si>
  <si>
    <r>
      <rPr>
        <sz val="11"/>
        <color rgb="FF000000"/>
        <rFont val="Calibri"/>
        <family val="2"/>
      </rPr>
      <t>更新日時</t>
    </r>
  </si>
  <si>
    <r>
      <rPr>
        <sz val="11"/>
        <color rgb="FF000000"/>
        <rFont val="Calibri"/>
        <family val="2"/>
      </rPr>
      <t>更新者ID</t>
    </r>
  </si>
  <si>
    <r>
      <rPr>
        <sz val="11"/>
        <color rgb="FF000000"/>
        <rFont val="Calibri"/>
        <family val="2"/>
      </rPr>
      <t>データ型</t>
    </r>
  </si>
  <si>
    <t>Char(1)</t>
  </si>
  <si>
    <t>Int</t>
  </si>
  <si>
    <t>Decimal(15,2)</t>
  </si>
  <si>
    <t>Char(3)</t>
  </si>
  <si>
    <r>
      <rPr>
        <sz val="11"/>
        <color rgb="FF000000"/>
        <rFont val="Calibri"/>
        <family val="2"/>
      </rPr>
      <t>項目属性</t>
    </r>
  </si>
  <si>
    <r>
      <rPr>
        <sz val="11"/>
        <color rgb="FF000000"/>
        <rFont val="Calibri"/>
        <family val="2"/>
      </rPr>
      <t>入力対象</t>
    </r>
  </si>
  <si>
    <r>
      <rPr>
        <sz val="11"/>
        <color rgb="FF000000"/>
        <rFont val="Noto Sans JP"/>
        <family val="2"/>
      </rPr>
      <t>バナー広告小</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ショウ</t>
    </rPh>
    <rPh sb="8" eb="9">
      <t>シャ</t>
    </rPh>
    <rPh sb="9" eb="11">
      <t>センユウ</t>
    </rPh>
    <phoneticPr fontId="0"/>
  </si>
  <si>
    <r>
      <rPr>
        <sz val="11"/>
        <color rgb="FF000000"/>
        <rFont val="Calibri"/>
        <family val="2"/>
      </rPr>
      <t>BNR0001</t>
    </r>
    <phoneticPr fontId="0"/>
  </si>
  <si>
    <r>
      <rPr>
        <sz val="11"/>
        <color rgb="FF000000"/>
        <rFont val="Calibri"/>
        <family val="2"/>
      </rPr>
      <t>B</t>
    </r>
    <phoneticPr fontId="0"/>
  </si>
  <si>
    <r>
      <rPr>
        <sz val="11"/>
        <color rgb="FF000000"/>
        <rFont val="Calibri"/>
        <family val="2"/>
      </rPr>
      <t>468x60</t>
    </r>
    <phoneticPr fontId="0"/>
  </si>
  <si>
    <r>
      <rPr>
        <sz val="11"/>
        <color rgb="FF000000"/>
        <rFont val="Calibri"/>
        <family val="2"/>
      </rPr>
      <t>JPY</t>
    </r>
    <phoneticPr fontId="0"/>
  </si>
  <si>
    <r>
      <rPr>
        <sz val="11"/>
        <color rgb="FF000000"/>
        <rFont val="ＭＳ ゴシック"/>
        <family val="2"/>
      </rPr>
      <t>スポット広告</t>
    </r>
    <r>
      <rPr>
        <sz val="11"/>
        <color rgb="FF000000"/>
        <rFont val="Calibri"/>
        <family val="2"/>
      </rPr>
      <t>(30</t>
    </r>
    <r>
      <rPr>
        <sz val="11"/>
        <color rgb="FF000000"/>
        <rFont val="ＭＳ ゴシック"/>
        <family val="2"/>
      </rPr>
      <t>分毎・</t>
    </r>
    <r>
      <rPr>
        <sz val="11"/>
        <color rgb="FF000000"/>
        <rFont val="Calibri"/>
        <family val="2"/>
      </rPr>
      <t>1</t>
    </r>
    <r>
      <rPr>
        <sz val="11"/>
        <color rgb="FF000000"/>
        <rFont val="ＭＳ ゴシック"/>
        <family val="2"/>
      </rPr>
      <t>社占有）</t>
    </r>
    <rPh sb="4" eb="6">
      <t>コウコク</t>
    </rPh>
    <rPh sb="9" eb="10">
      <t>プン</t>
    </rPh>
    <rPh sb="10" eb="11">
      <t>ゴト</t>
    </rPh>
    <phoneticPr fontId="0"/>
  </si>
  <si>
    <r>
      <rPr>
        <sz val="11"/>
        <color rgb="FF000000"/>
        <rFont val="Calibri"/>
        <family val="2"/>
      </rPr>
      <t>BNR0002</t>
    </r>
    <phoneticPr fontId="0"/>
  </si>
  <si>
    <r>
      <rPr>
        <sz val="11"/>
        <color rgb="FF000000"/>
        <rFont val="Noto Sans JP"/>
        <family val="2"/>
      </rPr>
      <t>バナー広告中</t>
    </r>
    <r>
      <rPr>
        <sz val="11"/>
        <color rgb="FF000000"/>
        <rFont val="Calibri"/>
        <family val="2"/>
      </rPr>
      <t>(1</t>
    </r>
    <r>
      <rPr>
        <sz val="11"/>
        <color rgb="FF000000"/>
        <rFont val="ＭＳ ゴシック"/>
        <family val="2"/>
      </rPr>
      <t>社占有</t>
    </r>
    <r>
      <rPr>
        <sz val="11"/>
        <color rgb="FF000000"/>
        <rFont val="Calibri"/>
        <family val="2"/>
      </rPr>
      <t>)</t>
    </r>
    <rPh sb="5" eb="6">
      <t>チュウ</t>
    </rPh>
    <phoneticPr fontId="0"/>
  </si>
  <si>
    <r>
      <rPr>
        <sz val="11"/>
        <color rgb="FF000000"/>
        <rFont val="Calibri"/>
        <family val="2"/>
      </rPr>
      <t>728x90</t>
    </r>
    <phoneticPr fontId="0"/>
  </si>
  <si>
    <r>
      <rPr>
        <sz val="11"/>
        <color rgb="FF000000"/>
        <rFont val="Calibri"/>
        <family val="2"/>
      </rPr>
      <t>BNR0003</t>
    </r>
    <phoneticPr fontId="0"/>
  </si>
  <si>
    <r>
      <rPr>
        <sz val="11"/>
        <color rgb="FF000000"/>
        <rFont val="Noto Sans JP"/>
        <family val="2"/>
      </rPr>
      <t>バナー広告大</t>
    </r>
    <r>
      <rPr>
        <sz val="11"/>
        <color rgb="FF000000"/>
        <rFont val="Calibri"/>
        <family val="2"/>
      </rPr>
      <t>(1</t>
    </r>
    <r>
      <rPr>
        <sz val="11"/>
        <color rgb="FF000000"/>
        <rFont val="ＭＳ ゴシック"/>
        <family val="2"/>
      </rPr>
      <t>社占有</t>
    </r>
    <r>
      <rPr>
        <sz val="11"/>
        <color rgb="FF000000"/>
        <rFont val="Calibri"/>
        <family val="2"/>
      </rPr>
      <t>)</t>
    </r>
    <rPh sb="5" eb="6">
      <t>ダイ</t>
    </rPh>
    <phoneticPr fontId="0"/>
  </si>
  <si>
    <r>
      <rPr>
        <sz val="11"/>
        <color rgb="FF000000"/>
        <rFont val="Calibri"/>
        <family val="2"/>
      </rPr>
      <t>300x250</t>
    </r>
    <phoneticPr fontId="0"/>
  </si>
  <si>
    <r>
      <rPr>
        <sz val="11"/>
        <color rgb="FF000000"/>
        <rFont val="Calibri"/>
        <family val="2"/>
      </rPr>
      <t>BNR0011</t>
    </r>
    <phoneticPr fontId="0"/>
  </si>
  <si>
    <r>
      <rPr>
        <sz val="11"/>
        <color rgb="FF000000"/>
        <rFont val="Noto Sans JP"/>
        <family val="2"/>
      </rPr>
      <t>バナー広告小</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ショウ</t>
    </rPh>
    <rPh sb="7" eb="9">
      <t>サイダイ</t>
    </rPh>
    <rPh sb="10" eb="11">
      <t>シャ</t>
    </rPh>
    <rPh sb="11" eb="13">
      <t>キョウユウ</t>
    </rPh>
    <phoneticPr fontId="0"/>
  </si>
  <si>
    <r>
      <rPr>
        <sz val="11"/>
        <color rgb="FF000000"/>
        <rFont val="Calibri"/>
        <family val="2"/>
      </rPr>
      <t>BNR0012</t>
    </r>
    <phoneticPr fontId="0"/>
  </si>
  <si>
    <r>
      <rPr>
        <sz val="11"/>
        <color rgb="FF000000"/>
        <rFont val="Noto Sans JP"/>
        <family val="2"/>
      </rPr>
      <t>バナー広告中</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5" eb="6">
      <t>チュウ</t>
    </rPh>
    <phoneticPr fontId="0"/>
  </si>
  <si>
    <r>
      <rPr>
        <sz val="11"/>
        <color rgb="FF000000"/>
        <rFont val="Calibri"/>
        <family val="2"/>
      </rPr>
      <t>BNR0013</t>
    </r>
    <phoneticPr fontId="0"/>
  </si>
  <si>
    <r>
      <rPr>
        <sz val="11"/>
        <color rgb="FF000000"/>
        <rFont val="Noto Sans JP"/>
        <family val="2"/>
      </rPr>
      <t>バナー広告大</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5" eb="6">
      <t>ダイ</t>
    </rPh>
    <phoneticPr fontId="0"/>
  </si>
  <si>
    <r>
      <rPr>
        <sz val="11"/>
        <color rgb="FF000000"/>
        <rFont val="Calibri"/>
        <family val="2"/>
      </rPr>
      <t>SPT0001</t>
    </r>
    <phoneticPr fontId="0"/>
  </si>
  <si>
    <r>
      <rPr>
        <sz val="11"/>
        <color rgb="FF000000"/>
        <rFont val="ＭＳ ゴシック"/>
        <family val="2"/>
      </rPr>
      <t>スポット広告</t>
    </r>
    <r>
      <rPr>
        <sz val="11"/>
        <color rgb="FF000000"/>
        <rFont val="Calibri"/>
        <family val="2"/>
      </rPr>
      <t>(20</t>
    </r>
    <r>
      <rPr>
        <sz val="11"/>
        <color rgb="FF000000"/>
        <rFont val="ＭＳ ゴシック"/>
        <family val="2"/>
      </rPr>
      <t>分毎・</t>
    </r>
    <r>
      <rPr>
        <sz val="11"/>
        <color rgb="FF000000"/>
        <rFont val="Calibri"/>
        <family val="2"/>
      </rPr>
      <t>1</t>
    </r>
    <r>
      <rPr>
        <sz val="11"/>
        <color rgb="FF000000"/>
        <rFont val="ＭＳ ゴシック"/>
        <family val="2"/>
      </rPr>
      <t>社占有）</t>
    </r>
    <rPh sb="4" eb="6">
      <t>コウコク</t>
    </rPh>
    <rPh sb="9" eb="10">
      <t>プン</t>
    </rPh>
    <rPh sb="10" eb="11">
      <t>ゴト</t>
    </rPh>
    <phoneticPr fontId="0"/>
  </si>
  <si>
    <r>
      <rPr>
        <sz val="11"/>
        <color rgb="FF000000"/>
        <rFont val="Calibri"/>
        <family val="2"/>
      </rPr>
      <t>S</t>
    </r>
    <phoneticPr fontId="0"/>
  </si>
  <si>
    <r>
      <rPr>
        <sz val="11"/>
        <color rgb="FF000000"/>
        <rFont val="Calibri"/>
        <family val="2"/>
      </rPr>
      <t>SPT0002</t>
    </r>
    <phoneticPr fontId="0"/>
  </si>
  <si>
    <r>
      <rPr>
        <sz val="11"/>
        <color rgb="FF000000"/>
        <rFont val="ＭＳ ゴシック"/>
        <family val="2"/>
      </rPr>
      <t>スポット広告</t>
    </r>
    <r>
      <rPr>
        <sz val="11"/>
        <color rgb="FF000000"/>
        <rFont val="Calibri"/>
        <family val="2"/>
      </rPr>
      <t>(10</t>
    </r>
    <r>
      <rPr>
        <sz val="11"/>
        <color rgb="FF000000"/>
        <rFont val="ＭＳ ゴシック"/>
        <family val="2"/>
      </rPr>
      <t>分毎・</t>
    </r>
    <r>
      <rPr>
        <sz val="11"/>
        <color rgb="FF000000"/>
        <rFont val="Calibri"/>
        <family val="2"/>
      </rPr>
      <t>1</t>
    </r>
    <r>
      <rPr>
        <sz val="11"/>
        <color rgb="FF000000"/>
        <rFont val="ＭＳ ゴシック"/>
        <family val="2"/>
      </rPr>
      <t>社占有）</t>
    </r>
    <rPh sb="4" eb="6">
      <t>コウコク</t>
    </rPh>
    <rPh sb="9" eb="10">
      <t>プン</t>
    </rPh>
    <rPh sb="10" eb="11">
      <t>ゴト</t>
    </rPh>
    <phoneticPr fontId="0"/>
  </si>
  <si>
    <r>
      <rPr>
        <sz val="11"/>
        <color rgb="FF000000"/>
        <rFont val="Calibri"/>
        <family val="2"/>
      </rPr>
      <t>SPT0003</t>
    </r>
    <phoneticPr fontId="0"/>
  </si>
  <si>
    <r>
      <rPr>
        <sz val="11"/>
        <color rgb="FF000000"/>
        <rFont val="ＭＳ ゴシック"/>
        <family val="2"/>
      </rPr>
      <t>スポット広告</t>
    </r>
    <r>
      <rPr>
        <sz val="11"/>
        <color rgb="FF000000"/>
        <rFont val="Calibri"/>
        <family val="2"/>
      </rPr>
      <t>(30</t>
    </r>
    <r>
      <rPr>
        <sz val="11"/>
        <color rgb="FF000000"/>
        <rFont val="ＭＳ ゴシック"/>
        <family val="2"/>
      </rPr>
      <t>分毎・最大</t>
    </r>
    <r>
      <rPr>
        <sz val="11"/>
        <color rgb="FF000000"/>
        <rFont val="Calibri"/>
        <family val="2"/>
      </rPr>
      <t>5</t>
    </r>
    <r>
      <rPr>
        <sz val="11"/>
        <color rgb="FF000000"/>
        <rFont val="ＭＳ ゴシック"/>
        <family val="2"/>
      </rPr>
      <t>社共有）</t>
    </r>
    <rPh sb="4" eb="6">
      <t>コウコク</t>
    </rPh>
    <rPh sb="9" eb="10">
      <t>プン</t>
    </rPh>
    <rPh sb="10" eb="11">
      <t>ゴト</t>
    </rPh>
    <phoneticPr fontId="0"/>
  </si>
  <si>
    <r>
      <rPr>
        <sz val="11"/>
        <color rgb="FF000000"/>
        <rFont val="Calibri"/>
        <family val="2"/>
      </rPr>
      <t>SPT0011</t>
    </r>
    <phoneticPr fontId="0"/>
  </si>
  <si>
    <r>
      <rPr>
        <sz val="11"/>
        <color rgb="FF000000"/>
        <rFont val="ＭＳ ゴシック"/>
        <family val="2"/>
      </rPr>
      <t>スポット広告</t>
    </r>
    <r>
      <rPr>
        <sz val="11"/>
        <color rgb="FF000000"/>
        <rFont val="Calibri"/>
        <family val="2"/>
      </rPr>
      <t>(20</t>
    </r>
    <r>
      <rPr>
        <sz val="11"/>
        <color rgb="FF000000"/>
        <rFont val="ＭＳ ゴシック"/>
        <family val="2"/>
      </rPr>
      <t>分毎・最大</t>
    </r>
    <r>
      <rPr>
        <sz val="11"/>
        <color rgb="FF000000"/>
        <rFont val="Calibri"/>
        <family val="2"/>
      </rPr>
      <t>5</t>
    </r>
    <r>
      <rPr>
        <sz val="11"/>
        <color rgb="FF000000"/>
        <rFont val="ＭＳ ゴシック"/>
        <family val="2"/>
      </rPr>
      <t>社共有）</t>
    </r>
    <rPh sb="4" eb="6">
      <t>コウコク</t>
    </rPh>
    <rPh sb="9" eb="10">
      <t>プン</t>
    </rPh>
    <rPh sb="10" eb="11">
      <t>ゴト</t>
    </rPh>
    <phoneticPr fontId="0"/>
  </si>
  <si>
    <r>
      <rPr>
        <sz val="11"/>
        <color rgb="FF000000"/>
        <rFont val="Calibri"/>
        <family val="2"/>
      </rPr>
      <t>SPT0012</t>
    </r>
    <phoneticPr fontId="0"/>
  </si>
  <si>
    <r>
      <rPr>
        <sz val="11"/>
        <color rgb="FF000000"/>
        <rFont val="ＭＳ ゴシック"/>
        <family val="2"/>
      </rPr>
      <t>スポット広告</t>
    </r>
    <r>
      <rPr>
        <sz val="11"/>
        <color rgb="FF000000"/>
        <rFont val="Calibri"/>
        <family val="2"/>
      </rPr>
      <t>(10</t>
    </r>
    <r>
      <rPr>
        <sz val="11"/>
        <color rgb="FF000000"/>
        <rFont val="ＭＳ ゴシック"/>
        <family val="2"/>
      </rPr>
      <t>分毎・最大</t>
    </r>
    <r>
      <rPr>
        <sz val="11"/>
        <color rgb="FF000000"/>
        <rFont val="Calibri"/>
        <family val="2"/>
      </rPr>
      <t>5</t>
    </r>
    <r>
      <rPr>
        <sz val="11"/>
        <color rgb="FF000000"/>
        <rFont val="ＭＳ ゴシック"/>
        <family val="2"/>
      </rPr>
      <t>社共有）</t>
    </r>
    <rPh sb="4" eb="6">
      <t>コウコク</t>
    </rPh>
    <rPh sb="9" eb="10">
      <t>プン</t>
    </rPh>
    <rPh sb="10" eb="11">
      <t>ゴト</t>
    </rPh>
    <phoneticPr fontId="0"/>
  </si>
  <si>
    <r>
      <rPr>
        <sz val="11"/>
        <color rgb="FF000000"/>
        <rFont val="Calibri"/>
        <family val="2"/>
      </rPr>
      <t>SPT0013</t>
    </r>
    <phoneticPr fontId="0"/>
  </si>
  <si>
    <r>
      <rPr>
        <sz val="11"/>
        <color rgb="FF000000"/>
        <rFont val="Calibri"/>
        <family val="2"/>
      </rPr>
      <t>D</t>
    </r>
    <phoneticPr fontId="0"/>
  </si>
  <si>
    <r>
      <rPr>
        <sz val="11"/>
        <color rgb="FF000000"/>
        <rFont val="Calibri"/>
        <family val="2"/>
      </rPr>
      <t>DSG0001</t>
    </r>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</si>
  <si>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</si>
  <si>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文字・リンク有り・</t>
    </r>
    <r>
      <rPr>
        <sz val="11"/>
        <color rgb="FF000000"/>
        <rFont val="Calibri"/>
        <family val="2"/>
      </rPr>
      <t>1</t>
    </r>
    <r>
      <rPr>
        <sz val="11"/>
        <color rgb="FF000000"/>
        <rFont val="ＭＳ ゴシック"/>
        <family val="2"/>
      </rPr>
      <t>社占有</t>
    </r>
    <r>
      <rPr>
        <sz val="11"/>
        <color rgb="FF000000"/>
        <rFont val="Calibri"/>
        <family val="2"/>
      </rPr>
      <t>)</t>
    </r>
    <rPh sb="13" eb="15">
      <t>モジ</t>
    </rPh>
    <rPh sb="19" eb="20">
      <t>ア</t>
    </rPh>
    <phoneticPr fontId="0"/>
  </si>
  <si>
    <r>
      <rPr>
        <sz val="11"/>
        <color rgb="FF000000"/>
        <rFont val="Calibri"/>
        <family val="2"/>
      </rPr>
      <t>DSG0002</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</si>
  <si>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</si>
  <si>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DSG0003</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</si>
  <si>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</si>
  <si>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DSG0004</t>
    </r>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</si>
  <si>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文字・リンク有り・最大</t>
    </r>
    <r>
      <rPr>
        <sz val="11"/>
        <color rgb="FF000000"/>
        <rFont val="Calibri"/>
        <family val="2"/>
      </rPr>
      <t>5</t>
    </r>
    <r>
      <rPr>
        <sz val="11"/>
        <color rgb="FF000000"/>
        <rFont val="ＭＳ ゴシック"/>
        <family val="2"/>
      </rPr>
      <t>社共有</t>
    </r>
    <r>
      <rPr>
        <sz val="11"/>
        <color rgb="FF000000"/>
        <rFont val="Calibri"/>
        <family val="2"/>
      </rPr>
      <t>)</t>
    </r>
    <rPh sb="13" eb="15">
      <t>モジ</t>
    </rPh>
    <rPh sb="19" eb="20">
      <t>ア</t>
    </rPh>
    <phoneticPr fontId="0"/>
  </si>
  <si>
    <r>
      <rPr>
        <sz val="11"/>
        <color rgb="FF000000"/>
        <rFont val="Calibri"/>
        <family val="2"/>
      </rPr>
      <t>DSG0005</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</si>
  <si>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文字・リンク有り・</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</si>
  <si>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DSG0006</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</si>
  <si>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文字・リンク有り・</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</si>
  <si>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DSG0011</t>
    </r>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</si>
  <si>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</si>
  <si>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DSG0012</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</si>
  <si>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</si>
  <si>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DSG0013</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</si>
  <si>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</si>
  <si>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DSG0014</t>
    </r>
    <phoneticPr fontId="0"/>
  </si>
  <si>
    <r>
      <rPr>
        <sz val="11"/>
        <color rgb="FF000000"/>
        <rFont val="ＭＳ ゴシック"/>
        <family val="2"/>
      </rPr>
      <t>ビデオ広告小</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ショウ</t>
    </rPh>
    <phoneticPr fontId="0"/>
  </si>
  <si>
    <r>
      <rPr>
        <sz val="11"/>
        <color rgb="FF000000"/>
        <rFont val="Calibri"/>
        <family val="2"/>
      </rPr>
      <t>DSG0015</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</si>
  <si>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文字・リンク有り・最大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</si>
  <si>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DSG0016</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</si>
  <si>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文字・リンク有り・最大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</si>
  <si>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VID0001</t>
    </r>
    <phoneticPr fontId="0"/>
  </si>
  <si>
    <r>
      <rPr>
        <sz val="11"/>
        <color rgb="FF000000"/>
        <rFont val="ＭＳ ゴシック"/>
        <family val="2"/>
      </rPr>
      <t>ビデオ広告中</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チュウ</t>
    </rPh>
    <phoneticPr fontId="0"/>
  </si>
  <si>
    <r>
      <rPr>
        <sz val="11"/>
        <color rgb="FF000000"/>
        <rFont val="Calibri"/>
        <family val="2"/>
      </rPr>
      <t>V</t>
    </r>
    <phoneticPr fontId="0"/>
  </si>
  <si>
    <r>
      <rPr>
        <sz val="11"/>
        <color rgb="FF000000"/>
        <rFont val="Calibri"/>
        <family val="2"/>
      </rPr>
      <t>VID0002</t>
    </r>
    <phoneticPr fontId="0"/>
  </si>
  <si>
    <r>
      <rPr>
        <sz val="11"/>
        <color rgb="FF000000"/>
        <rFont val="ＭＳ ゴシック"/>
        <family val="2"/>
      </rPr>
      <t>ビデオ広告大</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ダイ</t>
    </rPh>
    <phoneticPr fontId="0"/>
  </si>
  <si>
    <r>
      <rPr>
        <sz val="11"/>
        <color rgb="FF000000"/>
        <rFont val="Calibri"/>
        <family val="2"/>
      </rPr>
      <t>VID0003</t>
    </r>
    <phoneticPr fontId="0"/>
  </si>
  <si>
    <r>
      <rPr>
        <sz val="11"/>
        <color rgb="FF000000"/>
        <rFont val="ＭＳ ゴシック"/>
        <family val="2"/>
      </rPr>
      <t>ビデオ広告小</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ショウ</t>
    </rPh>
    <phoneticPr fontId="0"/>
  </si>
  <si>
    <r>
      <rPr>
        <sz val="11"/>
        <color rgb="FF000000"/>
        <rFont val="Calibri"/>
        <family val="2"/>
      </rPr>
      <t>VID0011</t>
    </r>
    <phoneticPr fontId="0"/>
  </si>
  <si>
    <r>
      <rPr>
        <sz val="11"/>
        <color rgb="FF000000"/>
        <rFont val="ＭＳ ゴシック"/>
        <family val="2"/>
      </rPr>
      <t>ビデオ広告中</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チュウ</t>
    </rPh>
    <phoneticPr fontId="0"/>
  </si>
  <si>
    <r>
      <rPr>
        <sz val="11"/>
        <color rgb="FF000000"/>
        <rFont val="Calibri"/>
        <family val="2"/>
      </rPr>
      <t>VID0012</t>
    </r>
    <phoneticPr fontId="0"/>
  </si>
  <si>
    <r>
      <rPr>
        <sz val="11"/>
        <color rgb="FF000000"/>
        <rFont val="ＭＳ ゴシック"/>
        <family val="2"/>
      </rPr>
      <t>ビデオ広告大</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ダイ</t>
    </rPh>
    <phoneticPr fontId="0"/>
  </si>
  <si>
    <r>
      <rPr>
        <sz val="11"/>
        <color rgb="FF000000"/>
        <rFont val="Calibri"/>
        <family val="2"/>
      </rPr>
      <t>VID0013</t>
    </r>
    <phoneticPr fontId="0"/>
  </si>
  <si>
    <t>sales.common_codes</t>
  </si>
  <si>
    <t>共通コードマスター</t>
  </si>
  <si>
    <t>[INSERT] データ取り込み成功 処理件数：22件</t>
  </si>
  <si>
    <t>category_name</t>
  </si>
  <si>
    <t>category_code_name</t>
  </si>
  <si>
    <r>
      <rPr>
        <sz val="11"/>
        <color rgb="FF000000"/>
        <rFont val="Calibri"/>
        <family val="2"/>
      </rPr>
      <t>category_code</t>
    </r>
    <phoneticPr fontId="0"/>
  </si>
  <si>
    <t>category_code_description</t>
  </si>
  <si>
    <t>区分名（DB内のテーブルで使用される各種区分名。実際のテーブル項目の物理名を指定する）</t>
  </si>
  <si>
    <t>区分値（その区分のコード値）</t>
  </si>
  <si>
    <t>区分値名（その区分のコード値に割り当てられる名前）</t>
  </si>
  <si>
    <t>区分値説明（その区分のコード値の説明）</t>
  </si>
  <si>
    <t>NVarChar(400)</t>
  </si>
  <si>
    <r>
      <rPr>
        <sz val="11"/>
        <color rgb="FF000000"/>
        <rFont val="Calibri"/>
        <family val="2"/>
      </rPr>
      <t>ad_type</t>
    </r>
    <phoneticPr fontId="0"/>
  </si>
  <si>
    <r>
      <rPr>
        <sz val="11"/>
        <color rgb="FF000000"/>
        <rFont val="ＭＳ ゴシック"/>
        <family val="2"/>
      </rPr>
      <t>画面の所定の箇所に指定されたサイズのバナーを出す</t>
    </r>
    <rPh sb="0" eb="2">
      <t>ガメン</t>
    </rPh>
    <rPh sb="3" eb="5">
      <t>ショテイ</t>
    </rPh>
    <rPh sb="6" eb="8">
      <t>カショ</t>
    </rPh>
    <rPh sb="9" eb="11">
      <t>シテイ</t>
    </rPh>
    <rPh sb="22" eb="23">
      <t>ダ</t>
    </rPh>
    <phoneticPr fontId="0"/>
  </si>
  <si>
    <r>
      <rPr>
        <sz val="11"/>
        <color rgb="FF000000"/>
        <rFont val="ＭＳ ゴシック"/>
        <family val="3"/>
      </rPr>
      <t>バナー広告</t>
    </r>
    <phoneticPr fontId="0"/>
  </si>
  <si>
    <r>
      <rPr>
        <sz val="11"/>
        <color rgb="FF000000"/>
        <rFont val="Calibri"/>
        <family val="2"/>
      </rPr>
      <t>sys_admin</t>
    </r>
    <phoneticPr fontId="0"/>
  </si>
  <si>
    <r>
      <rPr>
        <sz val="11"/>
        <color rgb="FF000000"/>
        <rFont val="游ゴシック"/>
        <family val="2"/>
      </rPr>
      <t>スポット広告</t>
    </r>
    <rPh sb="4" eb="6">
      <t>コウコク</t>
    </rPh>
    <phoneticPr fontId="0"/>
  </si>
  <si>
    <t>sys_admin</t>
  </si>
  <si>
    <r>
      <rPr>
        <sz val="11"/>
        <color rgb="FF000000"/>
        <rFont val="ＭＳ ゴシック"/>
        <family val="2"/>
      </rPr>
      <t>一定時間ごとにフルサイズのスポット広告画面を表示する。</t>
    </r>
    <rPh sb="0" eb="4">
      <t>イッテイジカン</t>
    </rPh>
    <rPh sb="17" eb="19">
      <t>コウコク</t>
    </rPh>
    <rPh sb="19" eb="21">
      <t>ガメン</t>
    </rPh>
    <rPh sb="22" eb="24">
      <t>ヒョウジ</t>
    </rPh>
    <phoneticPr fontId="0"/>
  </si>
  <si>
    <r>
      <rPr>
        <sz val="11"/>
        <color rgb="FF000000"/>
        <rFont val="ＭＳ ゴシック"/>
        <family val="2"/>
      </rPr>
      <t>画面の所定の箇所に指定されたウィンドウサイズの動画広告を表示する。</t>
    </r>
    <rPh sb="0" eb="2">
      <t>ガメン</t>
    </rPh>
    <rPh sb="3" eb="5">
      <t>ショテイ</t>
    </rPh>
    <rPh sb="6" eb="8">
      <t>カショ</t>
    </rPh>
    <rPh sb="9" eb="11">
      <t>シテイ</t>
    </rPh>
    <rPh sb="23" eb="25">
      <t>ドウガ</t>
    </rPh>
    <rPh sb="25" eb="27">
      <t>コウコク</t>
    </rPh>
    <rPh sb="28" eb="30">
      <t>ヒョウジ</t>
    </rPh>
    <phoneticPr fontId="0"/>
  </si>
  <si>
    <r>
      <rPr>
        <sz val="11"/>
        <color rgb="FF000000"/>
        <rFont val="游ゴシック"/>
        <family val="2"/>
      </rPr>
      <t>デジタルサイネージ</t>
    </r>
    <phoneticPr fontId="0"/>
  </si>
  <si>
    <r>
      <rPr>
        <sz val="11"/>
        <color rgb="FF000000"/>
        <rFont val="ＭＳ ゴシック"/>
        <family val="2"/>
      </rPr>
      <t>デジタルサイネージ。電子掲示板などに文字が流れるように表示される広告の形式</t>
    </r>
    <phoneticPr fontId="0"/>
  </si>
  <si>
    <r>
      <rPr>
        <sz val="11"/>
        <color rgb="FF000000"/>
        <rFont val="游ゴシック"/>
        <family val="2"/>
      </rPr>
      <t>動画広告</t>
    </r>
    <phoneticPr fontId="0"/>
  </si>
  <si>
    <r>
      <rPr>
        <sz val="11"/>
        <color rgb="FF000000"/>
        <rFont val="Calibri"/>
        <family val="2"/>
      </rPr>
      <t>html_embed_available</t>
    </r>
    <phoneticPr fontId="0"/>
  </si>
  <si>
    <r>
      <rPr>
        <sz val="11"/>
        <color rgb="FF000000"/>
        <rFont val="ＭＳ ゴシック"/>
        <family val="2"/>
      </rPr>
      <t>表示する広告コンテンツを</t>
    </r>
    <r>
      <rPr>
        <sz val="11"/>
        <color rgb="FF000000"/>
        <rFont val="Calibri"/>
        <family val="2"/>
      </rPr>
      <t>HTML</t>
    </r>
    <r>
      <rPr>
        <sz val="11"/>
        <color rgb="FF000000"/>
        <rFont val="ＭＳ ゴシック"/>
        <family val="2"/>
      </rPr>
      <t>形式で設定することを許可する。</t>
    </r>
    <rPh sb="0" eb="2">
      <t>ヒョウジ</t>
    </rPh>
    <rPh sb="4" eb="6">
      <t>コウコク</t>
    </rPh>
    <rPh sb="16" eb="18">
      <t>ケイシキ</t>
    </rPh>
    <rPh sb="19" eb="21">
      <t>セッテイ</t>
    </rPh>
    <rPh sb="26" eb="28">
      <t>キョカ</t>
    </rPh>
    <phoneticPr fontId="0"/>
  </si>
  <si>
    <r>
      <rPr>
        <sz val="11"/>
        <color rgb="FF000000"/>
        <rFont val="Calibri"/>
        <family val="2"/>
      </rPr>
      <t>1</t>
    </r>
    <phoneticPr fontId="0"/>
  </si>
  <si>
    <r>
      <rPr>
        <sz val="11"/>
        <color rgb="FF000000"/>
        <rFont val="Calibri"/>
        <family val="2"/>
      </rPr>
      <t>HTML</t>
    </r>
    <r>
      <rPr>
        <sz val="11"/>
        <color rgb="FF000000"/>
        <rFont val="ＭＳ ゴシック"/>
        <family val="2"/>
      </rPr>
      <t>埋め込み可能</t>
    </r>
    <rPh sb="4" eb="5">
      <t>ウ</t>
    </rPh>
    <rPh sb="6" eb="7">
      <t>コ</t>
    </rPh>
    <rPh sb="8" eb="10">
      <t>カノウ</t>
    </rPh>
    <phoneticPr fontId="0"/>
  </si>
  <si>
    <r>
      <rPr>
        <sz val="11"/>
        <color rgb="FF000000"/>
        <rFont val="ＭＳ ゴシック"/>
        <family val="2"/>
      </rPr>
      <t>表示する広告コンテンツを</t>
    </r>
    <r>
      <rPr>
        <sz val="11"/>
        <color rgb="FF000000"/>
        <rFont val="Calibri"/>
        <family val="2"/>
      </rPr>
      <t>HTML</t>
    </r>
    <r>
      <rPr>
        <sz val="11"/>
        <color rgb="FF000000"/>
        <rFont val="ＭＳ ゴシック"/>
        <family val="2"/>
      </rPr>
      <t>形式で設定することを許可しない。（</t>
    </r>
    <r>
      <rPr>
        <sz val="11"/>
        <color rgb="FF000000"/>
        <rFont val="Calibri"/>
        <family val="2"/>
      </rPr>
      <t>ad_type=</t>
    </r>
    <r>
      <rPr>
        <sz val="11"/>
        <color rgb="FF000000"/>
        <rFont val="ＭＳ ゴシック"/>
        <family val="2"/>
      </rPr>
      <t>デジタルサイネージの場合などはこれが該当する）</t>
    </r>
    <rPh sb="0" eb="2">
      <t>ヒョウジ</t>
    </rPh>
    <rPh sb="4" eb="6">
      <t>コウコク</t>
    </rPh>
    <rPh sb="16" eb="18">
      <t>ケイシキ</t>
    </rPh>
    <rPh sb="19" eb="21">
      <t>セッテイ</t>
    </rPh>
    <rPh sb="26" eb="28">
      <t>キョカ</t>
    </rPh>
    <rPh sb="51" eb="53">
      <t>バアイ</t>
    </rPh>
    <rPh sb="59" eb="61">
      <t>ガイトウ</t>
    </rPh>
    <phoneticPr fontId="0"/>
  </si>
  <si>
    <r>
      <rPr>
        <sz val="11"/>
        <color rgb="FF000000"/>
        <rFont val="Calibri"/>
        <family val="2"/>
      </rPr>
      <t>0</t>
    </r>
    <phoneticPr fontId="0"/>
  </si>
  <si>
    <r>
      <rPr>
        <sz val="11"/>
        <color rgb="FF000000"/>
        <rFont val="Calibri"/>
        <family val="2"/>
      </rPr>
      <t>HTML</t>
    </r>
    <r>
      <rPr>
        <sz val="11"/>
        <color rgb="FF000000"/>
        <rFont val="Noto Sans JP"/>
        <family val="2"/>
      </rPr>
      <t>埋め込み不可</t>
    </r>
    <rPh sb="8" eb="10">
      <t>フカ</t>
    </rPh>
    <phoneticPr fontId="0"/>
  </si>
  <si>
    <t>1</t>
  </si>
  <si>
    <r>
      <rPr>
        <sz val="11"/>
        <color rgb="FF000000"/>
        <rFont val="Calibri"/>
        <family val="2"/>
      </rPr>
      <t>JavaScript</t>
    </r>
    <r>
      <rPr>
        <sz val="11"/>
        <color rgb="FF000000"/>
        <rFont val="ＭＳ ゴシック"/>
        <family val="2"/>
      </rPr>
      <t>埋め込み可能</t>
    </r>
    <rPh sb="10" eb="11">
      <t>ウ</t>
    </rPh>
    <rPh sb="12" eb="13">
      <t>コ</t>
    </rPh>
    <rPh sb="14" eb="16">
      <t>カノウ</t>
    </rPh>
    <phoneticPr fontId="0"/>
  </si>
  <si>
    <r>
      <rPr>
        <sz val="11"/>
        <color rgb="FF000000"/>
        <rFont val="ＭＳ ゴシック"/>
        <family val="2"/>
      </rPr>
      <t>広告コンテンツの</t>
    </r>
    <r>
      <rPr>
        <sz val="11"/>
        <color rgb="FF000000"/>
        <rFont val="Calibri"/>
        <family val="2"/>
      </rPr>
      <t>HTML</t>
    </r>
    <r>
      <rPr>
        <sz val="11"/>
        <color rgb="FF000000"/>
        <rFont val="ＭＳ ゴシック"/>
        <family val="2"/>
      </rPr>
      <t>内で</t>
    </r>
    <r>
      <rPr>
        <sz val="11"/>
        <color rgb="FF000000"/>
        <rFont val="Calibri"/>
        <family val="2"/>
      </rPr>
      <t>JavaScript</t>
    </r>
    <r>
      <rPr>
        <sz val="11"/>
        <color rgb="FF000000"/>
        <rFont val="ＭＳ ゴシック"/>
        <family val="2"/>
      </rPr>
      <t>の使用を許可する。</t>
    </r>
    <r>
      <rPr>
        <sz val="11"/>
        <color rgb="FF000000"/>
        <rFont val="Calibri"/>
        <family val="2"/>
      </rPr>
      <t xml:space="preserve">
html_embed_available=1</t>
    </r>
    <r>
      <rPr>
        <sz val="11"/>
        <color rgb="FF000000"/>
        <rFont val="ＭＳ ゴシック"/>
        <family val="2"/>
      </rPr>
      <t>の場合にのみ評価される。</t>
    </r>
    <rPh sb="0" eb="2">
      <t>コウコク</t>
    </rPh>
    <rPh sb="12" eb="13">
      <t>ナイ</t>
    </rPh>
    <rPh sb="25" eb="27">
      <t>シヨウ</t>
    </rPh>
    <rPh sb="28" eb="30">
      <t>キョカ</t>
    </rPh>
    <rPh sb="57" eb="59">
      <t>バアイ</t>
    </rPh>
    <rPh sb="62" eb="64">
      <t>ヒョウカ</t>
    </rPh>
    <phoneticPr fontId="0"/>
  </si>
  <si>
    <r>
      <rPr>
        <sz val="11"/>
        <color rgb="FF000000"/>
        <rFont val="Calibri"/>
        <family val="2"/>
      </rPr>
      <t>JavaScript</t>
    </r>
    <r>
      <rPr>
        <sz val="11"/>
        <color rgb="FF000000"/>
        <rFont val="Noto Sans JP"/>
        <family val="2"/>
      </rPr>
      <t>埋め込み不可</t>
    </r>
    <rPh sb="14" eb="16">
      <t>フカ</t>
    </rPh>
    <phoneticPr fontId="0"/>
  </si>
  <si>
    <r>
      <rPr>
        <sz val="11"/>
        <color rgb="FF000000"/>
        <rFont val="ＭＳ ゴシック"/>
        <family val="2"/>
      </rPr>
      <t>広告コンテンツの</t>
    </r>
    <r>
      <rPr>
        <sz val="11"/>
        <color rgb="FF000000"/>
        <rFont val="Calibri"/>
        <family val="2"/>
      </rPr>
      <t>HTML</t>
    </r>
    <r>
      <rPr>
        <sz val="11"/>
        <color rgb="FF000000"/>
        <rFont val="ＭＳ ゴシック"/>
        <family val="2"/>
      </rPr>
      <t>内で</t>
    </r>
    <r>
      <rPr>
        <sz val="11"/>
        <color rgb="FF000000"/>
        <rFont val="Calibri"/>
        <family val="2"/>
      </rPr>
      <t>JavaScript</t>
    </r>
    <r>
      <rPr>
        <sz val="11"/>
        <color rgb="FF000000"/>
        <rFont val="ＭＳ ゴシック"/>
        <family val="2"/>
      </rPr>
      <t>の使用を許可しない。</t>
    </r>
    <r>
      <rPr>
        <sz val="11"/>
        <color rgb="FF000000"/>
        <rFont val="Calibri"/>
        <family val="2"/>
      </rPr>
      <t xml:space="preserve">
html_embed_available=1</t>
    </r>
    <r>
      <rPr>
        <sz val="11"/>
        <color rgb="FF000000"/>
        <rFont val="ＭＳ ゴシック"/>
        <family val="2"/>
      </rPr>
      <t>の場合にのみ評価される。</t>
    </r>
    <phoneticPr fontId="0"/>
  </si>
  <si>
    <r>
      <rPr>
        <sz val="11"/>
        <color rgb="FF000000"/>
        <rFont val="ＭＳ ゴシック"/>
        <family val="2"/>
      </rPr>
      <t>有効</t>
    </r>
    <rPh sb="0" eb="2">
      <t>ユウコウ</t>
    </rPh>
    <phoneticPr fontId="0"/>
  </si>
  <si>
    <r>
      <rPr>
        <sz val="11"/>
        <color rgb="FF000000"/>
        <rFont val="ＭＳ ゴシック"/>
        <family val="2"/>
      </rPr>
      <t>当該データが有効であることを示す。</t>
    </r>
    <rPh sb="0" eb="2">
      <t>トウガイ</t>
    </rPh>
    <rPh sb="6" eb="8">
      <t>ユウコウ</t>
    </rPh>
    <rPh sb="14" eb="15">
      <t>シメ</t>
    </rPh>
    <phoneticPr fontId="0"/>
  </si>
  <si>
    <t>0</t>
  </si>
  <si>
    <r>
      <rPr>
        <sz val="11"/>
        <color rgb="FF000000"/>
        <rFont val="ＭＳ ゴシック"/>
        <family val="2"/>
      </rPr>
      <t>無効</t>
    </r>
    <rPh sb="0" eb="2">
      <t>ムコウ</t>
    </rPh>
    <phoneticPr fontId="0"/>
  </si>
  <si>
    <t>billing_type</t>
  </si>
  <si>
    <r>
      <rPr>
        <sz val="11"/>
        <color rgb="FF000000"/>
        <rFont val="ＭＳ ゴシック"/>
        <family val="2"/>
      </rPr>
      <t>当該データが無効であることを示す。</t>
    </r>
    <phoneticPr fontId="0"/>
  </si>
  <si>
    <r>
      <rPr>
        <sz val="11"/>
        <color rgb="FF000000"/>
        <rFont val="ＭＳ ゴシック"/>
        <family val="2"/>
      </rPr>
      <t>売上がたった月の締め日に他の請求とまとめて請求する。</t>
    </r>
    <rPh sb="0" eb="2">
      <t>ウリアゲ</t>
    </rPh>
    <rPh sb="6" eb="7">
      <t>ツキ</t>
    </rPh>
    <rPh sb="8" eb="9">
      <t>シ</t>
    </rPh>
    <rPh sb="10" eb="11">
      <t>ビ</t>
    </rPh>
    <rPh sb="12" eb="13">
      <t>タ</t>
    </rPh>
    <rPh sb="14" eb="16">
      <t>セイキュウ</t>
    </rPh>
    <rPh sb="21" eb="23">
      <t>セイキュウ</t>
    </rPh>
    <phoneticPr fontId="0"/>
  </si>
  <si>
    <r>
      <rPr>
        <sz val="11"/>
        <color rgb="FF000000"/>
        <rFont val="ＭＳ ゴシック"/>
        <family val="2"/>
      </rPr>
      <t>個別請求</t>
    </r>
    <rPh sb="0" eb="2">
      <t>コベツ</t>
    </rPh>
    <rPh sb="2" eb="4">
      <t>セイキュウ</t>
    </rPh>
    <phoneticPr fontId="0"/>
  </si>
  <si>
    <r>
      <rPr>
        <sz val="11"/>
        <color rgb="FF000000"/>
        <rFont val="ＭＳ ゴシック"/>
        <family val="2"/>
      </rPr>
      <t>売上がたった段階で個別請求する。</t>
    </r>
    <rPh sb="0" eb="2">
      <t>ウリアゲ</t>
    </rPh>
    <rPh sb="6" eb="8">
      <t>ダンカイ</t>
    </rPh>
    <rPh sb="9" eb="11">
      <t>コベツ</t>
    </rPh>
    <rPh sb="11" eb="13">
      <t>セイキュウ</t>
    </rPh>
    <phoneticPr fontId="0"/>
  </si>
  <si>
    <r>
      <rPr>
        <sz val="11"/>
        <color rgb="FF000000"/>
        <rFont val="Calibri"/>
        <family val="2"/>
      </rPr>
      <t>2</t>
    </r>
    <phoneticPr fontId="0"/>
  </si>
  <si>
    <r>
      <rPr>
        <sz val="11"/>
        <color rgb="FF000000"/>
        <rFont val="ＭＳ ゴシック"/>
        <family val="2"/>
      </rPr>
      <t>月締め請求</t>
    </r>
    <phoneticPr fontId="0"/>
  </si>
  <si>
    <r>
      <rPr>
        <sz val="11"/>
        <color rgb="FF000000"/>
        <rFont val="ＭＳ ゴシック"/>
        <family val="2"/>
      </rPr>
      <t>失注</t>
    </r>
    <rPh sb="0" eb="2">
      <t>シッチュウ</t>
    </rPh>
    <phoneticPr fontId="0"/>
  </si>
  <si>
    <r>
      <rPr>
        <sz val="11"/>
        <color rgb="FF000000"/>
        <rFont val="Calibri"/>
        <family val="2"/>
      </rPr>
      <t>status</t>
    </r>
    <phoneticPr fontId="0"/>
  </si>
  <si>
    <r>
      <rPr>
        <sz val="11"/>
        <color rgb="FF000000"/>
        <rFont val="ＭＳ ゴシック"/>
        <family val="2"/>
      </rPr>
      <t>見積、または契約が無効になった。</t>
    </r>
    <rPh sb="0" eb="2">
      <t>ミツモリ</t>
    </rPh>
    <rPh sb="6" eb="8">
      <t>ケイヤク</t>
    </rPh>
    <rPh sb="9" eb="11">
      <t>ムコウ</t>
    </rPh>
    <phoneticPr fontId="0"/>
  </si>
  <si>
    <r>
      <rPr>
        <sz val="11"/>
        <color rgb="FF000000"/>
        <rFont val="ＭＳ ゴシック"/>
        <family val="2"/>
      </rPr>
      <t>見積提示済み</t>
    </r>
    <rPh sb="0" eb="2">
      <t>ミツモリ</t>
    </rPh>
    <rPh sb="2" eb="4">
      <t>テイジ</t>
    </rPh>
    <rPh sb="4" eb="5">
      <t>ズ</t>
    </rPh>
    <phoneticPr fontId="0"/>
  </si>
  <si>
    <r>
      <rPr>
        <sz val="11"/>
        <color rgb="FF000000"/>
        <rFont val="ＭＳ ゴシック"/>
        <family val="2"/>
      </rPr>
      <t>見積提示前</t>
    </r>
    <rPh sb="0" eb="2">
      <t>ミツモリ</t>
    </rPh>
    <rPh sb="2" eb="5">
      <t>テイジマエ</t>
    </rPh>
    <phoneticPr fontId="0"/>
  </si>
  <si>
    <r>
      <rPr>
        <sz val="11"/>
        <color rgb="FF000000"/>
        <rFont val="ＭＳ ゴシック"/>
        <family val="2"/>
      </rPr>
      <t>見積書の作成中である。</t>
    </r>
    <rPh sb="0" eb="3">
      <t>ミツモリショ</t>
    </rPh>
    <rPh sb="4" eb="7">
      <t>サクセイチュウ</t>
    </rPh>
    <phoneticPr fontId="0"/>
  </si>
  <si>
    <r>
      <rPr>
        <sz val="11"/>
        <color rgb="FF000000"/>
        <rFont val="ＭＳ ゴシック"/>
        <family val="2"/>
      </rPr>
      <t>見積修正中</t>
    </r>
    <rPh sb="0" eb="2">
      <t>ミツモリ</t>
    </rPh>
    <rPh sb="2" eb="4">
      <t>シュウセイ</t>
    </rPh>
    <rPh sb="4" eb="5">
      <t>チュウ</t>
    </rPh>
    <phoneticPr fontId="0"/>
  </si>
  <si>
    <r>
      <rPr>
        <sz val="11"/>
        <color rgb="FF000000"/>
        <rFont val="ＭＳ ゴシック"/>
        <family val="2"/>
      </rPr>
      <t>見積書を提示済みである。</t>
    </r>
    <rPh sb="0" eb="3">
      <t>ミツモリショ</t>
    </rPh>
    <rPh sb="4" eb="7">
      <t>テイジズ</t>
    </rPh>
    <phoneticPr fontId="0"/>
  </si>
  <si>
    <r>
      <rPr>
        <sz val="11"/>
        <color rgb="FF000000"/>
        <rFont val="Calibri"/>
        <family val="2"/>
      </rPr>
      <t>3</t>
    </r>
    <phoneticPr fontId="0"/>
  </si>
  <si>
    <r>
      <rPr>
        <sz val="11"/>
        <color rgb="FF000000"/>
        <rFont val="ＭＳ ゴシック"/>
        <family val="2"/>
      </rPr>
      <t>見積書を訂正している（再提示したら「見積提示済み」に戻る。</t>
    </r>
    <rPh sb="0" eb="3">
      <t>ミツモリショ</t>
    </rPh>
    <rPh sb="4" eb="6">
      <t>テイセイ</t>
    </rPh>
    <rPh sb="11" eb="14">
      <t>サイテイジ</t>
    </rPh>
    <rPh sb="18" eb="20">
      <t>ミツモリ</t>
    </rPh>
    <rPh sb="20" eb="22">
      <t>テイジ</t>
    </rPh>
    <rPh sb="22" eb="23">
      <t>ズ</t>
    </rPh>
    <rPh sb="26" eb="27">
      <t>モド</t>
    </rPh>
    <phoneticPr fontId="0"/>
  </si>
  <si>
    <r>
      <rPr>
        <sz val="11"/>
        <color rgb="FF000000"/>
        <rFont val="ＭＳ ゴシック"/>
        <family val="2"/>
      </rPr>
      <t>契約済み</t>
    </r>
    <rPh sb="0" eb="3">
      <t>ケイヤクズ</t>
    </rPh>
    <phoneticPr fontId="0"/>
  </si>
  <si>
    <r>
      <rPr>
        <sz val="11"/>
        <color rgb="FF000000"/>
        <rFont val="Calibri"/>
        <family val="2"/>
      </rPr>
      <t>4</t>
    </r>
    <phoneticPr fontId="0"/>
  </si>
  <si>
    <r>
      <rPr>
        <sz val="11"/>
        <color rgb="FF000000"/>
        <rFont val="ＭＳ ゴシック"/>
        <family val="2"/>
      </rPr>
      <t>広告掲載終了</t>
    </r>
    <rPh sb="0" eb="2">
      <t>コウコク</t>
    </rPh>
    <rPh sb="2" eb="4">
      <t>ケイサイ</t>
    </rPh>
    <rPh sb="4" eb="6">
      <t>シュウリョウ</t>
    </rPh>
    <phoneticPr fontId="0"/>
  </si>
  <si>
    <r>
      <rPr>
        <sz val="11"/>
        <color rgb="FF000000"/>
        <rFont val="ＭＳ ゴシック"/>
        <family val="2"/>
      </rPr>
      <t>契約が成立したが広告掲載は開始されていない。</t>
    </r>
    <rPh sb="0" eb="2">
      <t>ケイヤク</t>
    </rPh>
    <rPh sb="3" eb="5">
      <t>セイリツ</t>
    </rPh>
    <rPh sb="8" eb="12">
      <t>コウコクケイサイ</t>
    </rPh>
    <rPh sb="13" eb="15">
      <t>カイシ</t>
    </rPh>
    <phoneticPr fontId="0"/>
  </si>
  <si>
    <r>
      <rPr>
        <sz val="11"/>
        <color rgb="FF000000"/>
        <rFont val="Calibri"/>
        <family val="2"/>
      </rPr>
      <t>5</t>
    </r>
    <phoneticPr fontId="0"/>
  </si>
  <si>
    <r>
      <rPr>
        <sz val="11"/>
        <color rgb="FF000000"/>
        <rFont val="ＭＳ ゴシック"/>
        <family val="2"/>
      </rPr>
      <t>広告掲載中</t>
    </r>
    <rPh sb="0" eb="2">
      <t>コウコク</t>
    </rPh>
    <rPh sb="2" eb="5">
      <t>ケイサイチュウ</t>
    </rPh>
    <phoneticPr fontId="0"/>
  </si>
  <si>
    <r>
      <rPr>
        <sz val="11"/>
        <color rgb="FF000000"/>
        <rFont val="ＭＳ ゴシック"/>
        <family val="2"/>
      </rPr>
      <t>契約が成立し広告掲載が開始された。</t>
    </r>
    <rPh sb="0" eb="2">
      <t>ケイヤク</t>
    </rPh>
    <rPh sb="3" eb="5">
      <t>セイリツ</t>
    </rPh>
    <rPh sb="6" eb="10">
      <t>コウコクケイサイ</t>
    </rPh>
    <rPh sb="11" eb="13">
      <t>カイシ</t>
    </rPh>
    <phoneticPr fontId="0"/>
  </si>
  <si>
    <r>
      <rPr>
        <sz val="11"/>
        <color rgb="FF000000"/>
        <rFont val="Calibri"/>
        <family val="2"/>
      </rPr>
      <t>6</t>
    </r>
    <phoneticPr fontId="0"/>
  </si>
  <si>
    <r>
      <rPr>
        <sz val="11"/>
        <color rgb="FF000000"/>
        <rFont val="ＭＳ ゴシック"/>
        <family val="2"/>
      </rPr>
      <t>請求データ作成済み</t>
    </r>
    <rPh sb="0" eb="2">
      <t>セイキュウ</t>
    </rPh>
    <rPh sb="5" eb="7">
      <t>サクセイ</t>
    </rPh>
    <rPh sb="7" eb="8">
      <t>ズ</t>
    </rPh>
    <phoneticPr fontId="0"/>
  </si>
  <si>
    <r>
      <rPr>
        <sz val="11"/>
        <color rgb="FF000000"/>
        <rFont val="ＭＳ ゴシック"/>
        <family val="2"/>
      </rPr>
      <t>広告掲載が終了した。</t>
    </r>
    <rPh sb="0" eb="4">
      <t>コウコクケイサイ</t>
    </rPh>
    <rPh sb="5" eb="7">
      <t>シュウリョウ</t>
    </rPh>
    <phoneticPr fontId="0"/>
  </si>
  <si>
    <r>
      <rPr>
        <sz val="11"/>
        <color rgb="FF000000"/>
        <rFont val="Calibri"/>
        <family val="2"/>
      </rPr>
      <t>7</t>
    </r>
    <phoneticPr fontId="0"/>
  </si>
  <si>
    <r>
      <rPr>
        <sz val="11"/>
        <color rgb="FF000000"/>
        <rFont val="ＭＳ ゴシック"/>
        <family val="2"/>
      </rPr>
      <t>契約終了</t>
    </r>
    <rPh sb="0" eb="2">
      <t>ケイヤク</t>
    </rPh>
    <rPh sb="2" eb="4">
      <t>シュウリョウ</t>
    </rPh>
    <phoneticPr fontId="0"/>
  </si>
  <si>
    <r>
      <rPr>
        <sz val="11"/>
        <color rgb="FF000000"/>
        <rFont val="ＭＳ ゴシック"/>
        <family val="2"/>
      </rPr>
      <t>契約が終了した。</t>
    </r>
    <phoneticPr fontId="0"/>
  </si>
  <si>
    <r>
      <rPr>
        <sz val="11"/>
        <color rgb="FF000000"/>
        <rFont val="Calibri"/>
        <family val="2"/>
      </rPr>
      <t>8</t>
    </r>
    <phoneticPr fontId="0"/>
  </si>
  <si>
    <t>見積ヘッダー</t>
  </si>
  <si>
    <r>
      <rPr>
        <sz val="11"/>
        <color rgb="FF000000"/>
        <rFont val="ＭＳ ゴシック"/>
        <family val="2"/>
      </rPr>
      <t>請求データが作成されたが、まだ請求書は発行されていない。</t>
    </r>
    <rPh sb="0" eb="2">
      <t>セイキュウ</t>
    </rPh>
    <rPh sb="6" eb="8">
      <t>サクセイ</t>
    </rPh>
    <rPh sb="15" eb="18">
      <t>セイキュウショ</t>
    </rPh>
    <rPh sb="19" eb="21">
      <t>ハッコウ</t>
    </rPh>
    <phoneticPr fontId="0"/>
  </si>
  <si>
    <r>
      <rPr>
        <sz val="11"/>
        <color rgb="FF000000"/>
        <rFont val="Calibri"/>
        <family val="2"/>
      </rPr>
      <t>9</t>
    </r>
    <phoneticPr fontId="0"/>
  </si>
  <si>
    <r>
      <rPr>
        <sz val="11"/>
        <color rgb="FF000000"/>
        <rFont val="ＭＳ ゴシック"/>
        <family val="2"/>
      </rPr>
      <t>請求書発行済み</t>
    </r>
    <rPh sb="0" eb="3">
      <t>セイキュウショ</t>
    </rPh>
    <rPh sb="3" eb="6">
      <t>ハッコウズ</t>
    </rPh>
    <phoneticPr fontId="0"/>
  </si>
  <si>
    <r>
      <rPr>
        <sz val="11"/>
        <color rgb="FF000000"/>
        <rFont val="ＭＳ ゴシック"/>
        <family val="2"/>
      </rPr>
      <t>請求書が発行された。</t>
    </r>
    <rPh sb="0" eb="3">
      <t>セイキュウショ</t>
    </rPh>
    <rPh sb="4" eb="6">
      <t>ハッコウ</t>
    </rPh>
    <phoneticPr fontId="0"/>
  </si>
  <si>
    <r>
      <rPr>
        <sz val="11"/>
        <color rgb="FF000000"/>
        <rFont val="Calibri"/>
        <family val="2"/>
      </rPr>
      <t>sales.quotations</t>
    </r>
    <phoneticPr fontId="0"/>
  </si>
  <si>
    <t>quotation_id</t>
  </si>
  <si>
    <t>site_operator_id</t>
  </si>
  <si>
    <t>display_start_date</t>
  </si>
  <si>
    <t>display_end_date</t>
  </si>
  <si>
    <t>payment_terms</t>
  </si>
  <si>
    <t>total_amount_foreign</t>
  </si>
  <si>
    <t>total_amount_jpy</t>
  </si>
  <si>
    <t>total_amount_jpy_est</t>
  </si>
  <si>
    <t>status</t>
  </si>
  <si>
    <t>notes</t>
  </si>
  <si>
    <t>見積ID</t>
  </si>
  <si>
    <t>取引先ID（広告主）</t>
  </si>
  <si>
    <t>サイト運営会社ID（広告表示先サイト運営会社）</t>
  </si>
  <si>
    <t>広告表示開始日</t>
  </si>
  <si>
    <t>広告表示終了日</t>
  </si>
  <si>
    <t>決済条件</t>
  </si>
  <si>
    <t>請求種別（1=一括請求,2=月締め請求）</t>
  </si>
  <si>
    <t>通貨コード（ISO 4217）</t>
  </si>
  <si>
    <t>外貨建て合計金額（外貨建て契約の場合）</t>
  </si>
  <si>
    <t>円建て合計金額（円建て契約の場合）</t>
  </si>
  <si>
    <t>予想円換算合計金額（外貨建て契約の場合）</t>
  </si>
  <si>
    <t>担当者ID</t>
  </si>
  <si>
    <t>見積状態（1=作成中,2=提出済,3=契約確定,9=失注）</t>
  </si>
  <si>
    <t>備考</t>
  </si>
  <si>
    <t>Char(12)</t>
  </si>
  <si>
    <t>Date</t>
  </si>
  <si>
    <t>VarChar(100)</t>
  </si>
  <si>
    <t>Decimal(18,2)</t>
  </si>
  <si>
    <t>NVarChar(500)</t>
  </si>
  <si>
    <t>202604140001</t>
  </si>
  <si>
    <t>20日締め翌月20日払い(銀行振り込み)</t>
  </si>
  <si>
    <t>2</t>
  </si>
  <si>
    <t>JPY</t>
  </si>
  <si>
    <t>(null)</t>
  </si>
  <si>
    <t>26000001</t>
  </si>
  <si>
    <t>顧客名：株式会社青山デジタルマーケット、ステータス：失注、営業担当者：法人営業課・近藤 美咲</t>
  </si>
  <si>
    <t>202604140002</t>
  </si>
  <si>
    <t>都度請求（銀行振り込み）</t>
  </si>
  <si>
    <t>22000002</t>
  </si>
  <si>
    <t>顧客名：渋谷ライフスタイル合同会社、ステータス：見積提示前、営業担当者：法人営業課・鈴木 亮</t>
  </si>
  <si>
    <t>202604150003</t>
  </si>
  <si>
    <t>都度請求（クレジットカード決済）</t>
  </si>
  <si>
    <t>19000003</t>
  </si>
  <si>
    <t>顧客名：有限会社銀座コスメティクス、ステータス：見積提示済み、営業担当者：既存顧客支援課・前田 亮</t>
  </si>
  <si>
    <t>202604150004</t>
  </si>
  <si>
    <t>月末締め翌月末払い(銀行振り込み)</t>
  </si>
  <si>
    <t>16000004</t>
  </si>
  <si>
    <t>3</t>
  </si>
  <si>
    <t>顧客名：日本フィットネスラボ株式会社、ステータス：見積修正中、営業担当者：既存顧客支援課・金子 亮</t>
  </si>
  <si>
    <t>202604160005</t>
  </si>
  <si>
    <t>24000004</t>
  </si>
  <si>
    <t>顧客名：合同会社東京フードリンク、ステータス：失注、営業担当者：インサイドセールス課・森 亮</t>
  </si>
  <si>
    <t>202604160006</t>
  </si>
  <si>
    <t>20000005</t>
  </si>
  <si>
    <t>顧客名：丸の内ビジネススクール有限会社、ステータス：見積提示前、営業担当者：インサイドセールス課・中島 翔太</t>
  </si>
  <si>
    <t>202604170007</t>
  </si>
  <si>
    <t>17000016</t>
  </si>
  <si>
    <t>顧客名：株式会社表参道アパレル、ステータス：見積提示済み、営業担当者：横浜法人営業課・野村 和也</t>
  </si>
  <si>
    <t>202604170008</t>
  </si>
  <si>
    <t>17000017</t>
  </si>
  <si>
    <t>顧客名：新宿トラベルサービス合同会社、ステータス：見積修正中、営業担当者：大宮法人営業課・石井 亮</t>
  </si>
  <si>
    <t>202604180009</t>
  </si>
  <si>
    <t>17000018</t>
  </si>
  <si>
    <t>顧客名：有限会社品川クラウドソリューション、ステータス：失注、営業担当者：千葉法人営業課・松本 葵</t>
  </si>
  <si>
    <t>202604180010</t>
  </si>
  <si>
    <t>16000002</t>
  </si>
  <si>
    <t>顧客名：横浜ホームデザイン株式会社、ステータス：見積提示前、営業担当者：法人営業課・遠藤 舞</t>
  </si>
  <si>
    <t>202604180011</t>
  </si>
  <si>
    <t>23000002</t>
  </si>
  <si>
    <t>顧客名：合同会社千葉ヘルスケア、ステータス：見積提示済み、営業担当者：法人営業課・伊藤 美咲</t>
  </si>
  <si>
    <t>202604190012</t>
  </si>
  <si>
    <t>顧客名：大宮教育出版有限会社、ステータス：見積修正中、営業担当者：既存顧客支援課・長谷川 美咲</t>
  </si>
  <si>
    <t>202604190013</t>
  </si>
  <si>
    <t>17000004</t>
  </si>
  <si>
    <t>顧客名：株式会社立川スポーツ用品、ステータス：失注、営業担当者：既存顧客支援課・スミス ジョン</t>
  </si>
  <si>
    <t>202604200014</t>
  </si>
  <si>
    <t>25000004</t>
  </si>
  <si>
    <t>顧客名：池袋ゲームスタジオ合同会社、ステータス：見積提示前、営業担当者：インサイドセールス課・藤田 美咲</t>
  </si>
  <si>
    <t>202604200015</t>
  </si>
  <si>
    <t>22000015</t>
  </si>
  <si>
    <t>顧客名：有限会社恵比寿ウェルネス、ステータス：見積提示済み、営業担当者：横浜法人営業課・近藤 翔太</t>
  </si>
  <si>
    <t>202604210016</t>
  </si>
  <si>
    <t>18000016</t>
  </si>
  <si>
    <t>顧客名：六本木イベント企画株式会社、ステータス：見積修正中、営業担当者：横浜営業支援課・鈴木 悠斗</t>
  </si>
  <si>
    <t>202604210017</t>
  </si>
  <si>
    <t>18000017</t>
  </si>
  <si>
    <t>顧客名：合同会社中目黒カフェグループ、ステータス：失注、営業担当者：大宮法人営業課・青木 美咲</t>
  </si>
  <si>
    <t>202604220018</t>
  </si>
  <si>
    <t>22000018</t>
  </si>
  <si>
    <t>顧客名：秋葉原ガジェット有限会社、ステータス：見積提示前、営業担当者：立川法人営業課・村上 亮</t>
  </si>
  <si>
    <t>202604220019</t>
  </si>
  <si>
    <t>17000002</t>
  </si>
  <si>
    <t>顧客名：株式会社日本サブスクサービス、ステータス：見積提示済み、営業担当者：法人営業課・西村 葵</t>
  </si>
  <si>
    <t>202604230020</t>
  </si>
  <si>
    <t>25000002</t>
  </si>
  <si>
    <t>顧客名：東京ペットライフ合同会社、ステータス：見積修正中、営業担当者：法人営業課・吉田 葵</t>
  </si>
  <si>
    <t>202604230021</t>
  </si>
  <si>
    <t>21000003</t>
  </si>
  <si>
    <t>顧客名：有限会社東日本青山デジタルマーケット、ステータス：失注、営業担当者：既存顧客支援課・石井 舞</t>
  </si>
  <si>
    <t>202604240022</t>
  </si>
  <si>
    <t>18000004</t>
  </si>
  <si>
    <t>顧客名：東日本渋谷ライフスタイル株式会社、ステータス：見積提示前、営業担当者：既存顧客支援課・渡辺 舞</t>
  </si>
  <si>
    <t>202604240023</t>
  </si>
  <si>
    <t>26000004</t>
  </si>
  <si>
    <t>顧客名：合同会社東日本銀座コスメティクス、ステータス：見積提示済み、営業担当者：インサイドセールス課・村上 舞</t>
  </si>
  <si>
    <t>202604240024</t>
  </si>
  <si>
    <t>23000015</t>
  </si>
  <si>
    <t>顧客名：東日本日本フィットネスラボ有限会社、ステータス：見積修正中、営業担当者：横浜法人営業課・遠藤 亮</t>
  </si>
  <si>
    <t>202604250025</t>
  </si>
  <si>
    <t>顧客名：株式会社東日本東京フードリンク、ステータス：失注、営業担当者：横浜営業支援課・伊藤 翔太</t>
  </si>
  <si>
    <t>202604250026</t>
  </si>
  <si>
    <t>顧客名：東日本丸の内ビジネススクール合同会社、ステータス：見積提示前、営業担当者：大宮法人営業課・藤原 葵</t>
  </si>
  <si>
    <t>202604260027</t>
  </si>
  <si>
    <t>23000018</t>
  </si>
  <si>
    <t>顧客名：有限会社東日本表参道アパレル、ステータス：見積提示済み、営業担当者：立川法人営業課・ロビンソン エイデン</t>
  </si>
  <si>
    <t>202604260028</t>
  </si>
  <si>
    <t>18000002</t>
  </si>
  <si>
    <t>顧客名：東日本新宿トラベルサービス株式会社、ステータス：見積修正中、営業担当者：法人営業課・三浦 遥</t>
  </si>
  <si>
    <t>202604270029</t>
  </si>
  <si>
    <t>26000002</t>
  </si>
  <si>
    <t>顧客名：合同会社東日本品川クラウドソリューション、ステータス：失注、営業担当者：法人営業課・山口 遥</t>
  </si>
  <si>
    <t>202604270030</t>
  </si>
  <si>
    <t>22000003</t>
  </si>
  <si>
    <t>顧客名：東日本横浜ホームデザイン有限会社、ステータス：見積提示前、営業担当者：既存顧客支援課・青木 葵</t>
  </si>
  <si>
    <t>202604280031</t>
  </si>
  <si>
    <t>JC000031</t>
  </si>
  <si>
    <t>19000004</t>
  </si>
  <si>
    <t>顧客名：株式会社東日本千葉ヘルスケア、ステータス：見積提示済み、営業担当者：既存顧客支援課・小林 葵</t>
  </si>
  <si>
    <t>202604280032</t>
  </si>
  <si>
    <t>JC000032</t>
  </si>
  <si>
    <t>16000005</t>
  </si>
  <si>
    <t>顧客名：東日本大宮教育出版合同会社、ステータス：見積修正中、営業担当者：インサイドセールス課・ジョンソン マイケル</t>
  </si>
  <si>
    <t>202604290033</t>
  </si>
  <si>
    <t>JC000033</t>
  </si>
  <si>
    <t>24000015</t>
  </si>
  <si>
    <t>顧客名：有限会社東日本立川スポーツ用品、ステータス：失注、営業担当者：横浜法人営業課・西村 美咲</t>
  </si>
  <si>
    <t>202604290034</t>
  </si>
  <si>
    <t>JC000034</t>
  </si>
  <si>
    <t>21000016</t>
  </si>
  <si>
    <t>顧客名：東日本池袋ゲームスタジオ株式会社、ステータス：見積提示前、営業担当者：横浜営業支援課・吉田 美咲</t>
  </si>
  <si>
    <t>202604290035</t>
  </si>
  <si>
    <t>JC000035</t>
  </si>
  <si>
    <t>24000017</t>
  </si>
  <si>
    <t>顧客名：合同会社東日本恵比寿ウェルネス、ステータス：見積提示済み、営業担当者：千葉法人営業課・チョウ ユナ</t>
  </si>
  <si>
    <t>202604300036</t>
  </si>
  <si>
    <t>JC000036</t>
  </si>
  <si>
    <t>24000018</t>
  </si>
  <si>
    <t>顧客名：東日本六本木イベント企画有限会社、ステータス：見積修正中、営業担当者：立川法人営業課・藤井 舞</t>
  </si>
  <si>
    <t>202604300037</t>
  </si>
  <si>
    <t>JC000037</t>
  </si>
  <si>
    <t>顧客名：株式会社東日本中目黒カフェグループ、ステータス：失注、営業担当者：法人営業課・ワン シャオリン</t>
  </si>
  <si>
    <t>202605010001</t>
  </si>
  <si>
    <t>JC000038</t>
  </si>
  <si>
    <t>16000003</t>
  </si>
  <si>
    <t>顧客名：東日本秋葉原ガジェット合同会社、ステータス：見積提示前、営業担当者：法人営業課・木村 和也</t>
  </si>
  <si>
    <t>202605010002</t>
  </si>
  <si>
    <t>JC000039</t>
  </si>
  <si>
    <t>24000003</t>
  </si>
  <si>
    <t>顧客名：有限会社東日本日本サブスクサービス、ステータス：見積提示済み、営業担当者：既存顧客支援課・藤原 和也</t>
  </si>
  <si>
    <t>202605020003</t>
  </si>
  <si>
    <t>JC000040</t>
  </si>
  <si>
    <t>20000004</t>
  </si>
  <si>
    <t>顧客名：東日本東京ペットライフ株式会社、ステータス：見積修正中、営業担当者：既存顧客支援課・山田 遥</t>
  </si>
  <si>
    <t>202605020004</t>
  </si>
  <si>
    <t>JC000041</t>
  </si>
  <si>
    <t>17000005</t>
  </si>
  <si>
    <t>顧客名：合同会社首都圏青山デジタルマーケット、ステータス：失注、営業担当者：インサイドセールス課・藤井 遥</t>
  </si>
  <si>
    <t>202605030005</t>
  </si>
  <si>
    <t>JC000042</t>
  </si>
  <si>
    <t>25000015</t>
  </si>
  <si>
    <t>顧客名：首都圏渋谷ライフスタイル有限会社、ステータス：見積提示前、営業担当者：横浜法人営業課・三浦 舞</t>
  </si>
  <si>
    <t>202605030006</t>
  </si>
  <si>
    <t>JC000043</t>
  </si>
  <si>
    <t>22000016</t>
  </si>
  <si>
    <t>顧客名：株式会社首都圏銀座コスメティクス、ステータス：見積提示済み、営業担当者：横浜営業支援課・山口 舞</t>
  </si>
  <si>
    <t>202605040007</t>
  </si>
  <si>
    <t>JC000044</t>
  </si>
  <si>
    <t>25000017</t>
  </si>
  <si>
    <t>顧客名：首都圏日本フィットネスラボ合同会社、ステータス：見積修正中、営業担当者：千葉法人営業課・渡辺 亮</t>
  </si>
  <si>
    <t>202605040008</t>
  </si>
  <si>
    <t>JC000045</t>
  </si>
  <si>
    <t>25000018</t>
  </si>
  <si>
    <t>顧客名：有限会社首都圏東京フードリンク、ステータス：失注、営業担当者：立川法人営業課・太田 葵</t>
  </si>
  <si>
    <t>202605050009</t>
  </si>
  <si>
    <t>JC000046</t>
  </si>
  <si>
    <t>20000002</t>
  </si>
  <si>
    <t>顧客名：首都圏丸の内ビジネススクール株式会社、ステータス：見積提示前、営業担当者：法人営業課・原田 悠斗</t>
  </si>
  <si>
    <t>202605050010</t>
  </si>
  <si>
    <t>JC000047</t>
  </si>
  <si>
    <t>17000003</t>
  </si>
  <si>
    <t>顧客名：合同会社首都圏表参道アパレル、ステータス：見積提示済み、営業担当者：法人営業課・斎藤 悠斗</t>
  </si>
  <si>
    <t>202605050011</t>
  </si>
  <si>
    <t>JC000048</t>
  </si>
  <si>
    <t>25000003</t>
  </si>
  <si>
    <t>顧客名：首都圏新宿トラベルサービス有限会社、ステータス：見積修正中、営業担当者：既存顧客支援課・中川 悠斗</t>
  </si>
  <si>
    <t>202605060012</t>
  </si>
  <si>
    <t>JC000049</t>
  </si>
  <si>
    <t>顧客名：株式会社首都圏品川クラウドソリューション、ステータス：失注、営業担当者：既存顧客支援課・松本 和也</t>
  </si>
  <si>
    <t>202605060013</t>
  </si>
  <si>
    <t>JC000050</t>
  </si>
  <si>
    <t>18000005</t>
  </si>
  <si>
    <t>顧客名：首都圏横浜ホームデザイン合同会社、ステータス：見積提示前、営業担当者：インサイドセールス課・太田 和也</t>
  </si>
  <si>
    <t>202605070014</t>
  </si>
  <si>
    <t>JC000051</t>
  </si>
  <si>
    <t>26000015</t>
  </si>
  <si>
    <t>顧客名：有限会社首都圏千葉ヘルスケア、ステータス：見積提示済み、営業担当者：横浜法人営業課・ロペス イサベル</t>
  </si>
  <si>
    <t>202605070015</t>
  </si>
  <si>
    <t>JC000052</t>
  </si>
  <si>
    <t>26000016</t>
  </si>
  <si>
    <t>顧客名：首都圏大宮教育出版株式会社、ステータス：見積修正中、営業担当者：大宮法人営業課・前田 悠斗</t>
  </si>
  <si>
    <t>202605080016</t>
  </si>
  <si>
    <t>JC000053</t>
  </si>
  <si>
    <t>26000017</t>
  </si>
  <si>
    <t>顧客名：合同会社首都圏立川スポーツ用品、ステータス：失注、営業担当者：千葉法人営業課・小林 美咲</t>
  </si>
  <si>
    <t>202605080017</t>
  </si>
  <si>
    <t>JC000054</t>
  </si>
  <si>
    <t>26000018</t>
  </si>
  <si>
    <t>顧客名：首都圏池袋ゲームスタジオ有限会社、ステータス：見積提示前、営業担当者：立川法人営業課・岡本 遥</t>
  </si>
  <si>
    <t>202605090018</t>
  </si>
  <si>
    <t>JC000055</t>
  </si>
  <si>
    <t>21000002</t>
  </si>
  <si>
    <t>顧客名：株式会社首都圏恵比寿ウェルネス、ステータス：見積提示済み、営業担当者：法人営業課・野村 翔太</t>
  </si>
  <si>
    <t>202605090019</t>
  </si>
  <si>
    <t>JC000056</t>
  </si>
  <si>
    <t>18000003</t>
  </si>
  <si>
    <t>顧客名：首都圏六本木イベント企画合同会社、ステータス：見積修正中、営業担当者：法人営業課・グエン アン</t>
  </si>
  <si>
    <t>202605100020</t>
  </si>
  <si>
    <t>JC000057</t>
  </si>
  <si>
    <t>26000003</t>
  </si>
  <si>
    <t>顧客名：有限会社首都圏中目黒カフェグループ、ステータス：失注、営業担当者：既存顧客支援課・小川 翔太</t>
  </si>
  <si>
    <t>202605100021</t>
  </si>
  <si>
    <t>JC000058</t>
  </si>
  <si>
    <t>23000004</t>
  </si>
  <si>
    <t>顧客名：首都圏秋葉原ガジェット株式会社、ステータス：見積提示前、営業担当者：インサイドセールス課・池田 翔太</t>
  </si>
  <si>
    <t>202605100022</t>
  </si>
  <si>
    <t>JC000059</t>
  </si>
  <si>
    <t>19000005</t>
  </si>
  <si>
    <t>顧客名：合同会社首都圏日本サブスクサービス、ステータス：見積提示済み、営業担当者：インサイドセールス課・岡本 悠斗</t>
  </si>
  <si>
    <t>202605110023</t>
  </si>
  <si>
    <t>JC000060</t>
  </si>
  <si>
    <t>16000016</t>
  </si>
  <si>
    <t>顧客名：首都圏東京ペットライフ有限会社、ステータス：見積修正中、営業担当者：横浜法人営業課・原田 遥</t>
  </si>
  <si>
    <t>202605110024</t>
  </si>
  <si>
    <t>JC000061</t>
  </si>
  <si>
    <t>16000017</t>
  </si>
  <si>
    <t>顧客名：株式会社オンライン青山デジタルマーケット、ステータス：失注、営業担当者：大宮法人営業課・長谷川 翔太</t>
  </si>
  <si>
    <t>202605120025</t>
  </si>
  <si>
    <t>JC000062</t>
  </si>
  <si>
    <t>16000018</t>
  </si>
  <si>
    <t>顧客名：オンライン渋谷ライフスタイル合同会社、ステータス：見積提示前、営業担当者：千葉法人営業課・山田 舞</t>
  </si>
  <si>
    <t>202605120026</t>
  </si>
  <si>
    <t>JC000063</t>
  </si>
  <si>
    <t>顧客名：有限会社オンライン銀座コスメティクス、ステータス：見積提示済み、営業担当者：法人営業課・近藤 美咲</t>
  </si>
  <si>
    <t>202605130027</t>
  </si>
  <si>
    <t>JC000064</t>
  </si>
  <si>
    <t>顧客名：オンライン日本フィットネスラボ株式会社、ステータス：見積修正中、営業担当者：法人営業課・鈴木 亮</t>
  </si>
  <si>
    <t>202605130028</t>
  </si>
  <si>
    <t>JC000065</t>
  </si>
  <si>
    <t>顧客名：合同会社オンライン東京フードリンク、ステータス：失注、営業担当者：既存顧客支援課・前田 亮</t>
  </si>
  <si>
    <t>202605140029</t>
  </si>
  <si>
    <t>JC000066</t>
  </si>
  <si>
    <t>顧客名：オンライン丸の内ビジネススクール有限会社、ステータス：見積提示前、営業担当者：既存顧客支援課・金子 亮</t>
  </si>
  <si>
    <t>202605140030</t>
  </si>
  <si>
    <t>JC000067</t>
  </si>
  <si>
    <t>顧客名：株式会社オンライン表参道アパレル、ステータス：見積提示済み、営業担当者：インサイドセールス課・森 亮</t>
  </si>
  <si>
    <t>202605150031</t>
  </si>
  <si>
    <t>JC000068</t>
  </si>
  <si>
    <t>顧客名：オンライン新宿トラベルサービス合同会社、ステータス：見積修正中、営業担当者：インサイドセールス課・中島 翔太</t>
  </si>
  <si>
    <t>202605150032</t>
  </si>
  <si>
    <t>JC000069</t>
  </si>
  <si>
    <t>顧客名：有限会社オンライン品川クラウドソリューション、ステータス：失注、営業担当者：横浜法人営業課・野村 和也</t>
  </si>
  <si>
    <t>202605160033</t>
  </si>
  <si>
    <t>JC000070</t>
  </si>
  <si>
    <t>顧客名：オンライン横浜ホームデザイン株式会社、ステータス：見積提示前、営業担当者：大宮法人営業課・石井 亮</t>
  </si>
  <si>
    <t>202605160034</t>
  </si>
  <si>
    <t>JC000071</t>
  </si>
  <si>
    <t>顧客名：合同会社オンライン千葉ヘルスケア、ステータス：見積提示済み、営業担当者：千葉法人営業課・松本 葵</t>
  </si>
  <si>
    <t>202605160035</t>
  </si>
  <si>
    <t>JC000072</t>
  </si>
  <si>
    <t>顧客名：オンライン大宮教育出版有限会社、ステータス：見積修正中、営業担当者：法人営業課・遠藤 舞</t>
  </si>
  <si>
    <t>202605170036</t>
  </si>
  <si>
    <t>JC000073</t>
  </si>
  <si>
    <t>顧客名：株式会社オンライン立川スポーツ用品、ステータス：失注、営業担当者：法人営業課・伊藤 美咲</t>
  </si>
  <si>
    <t>202605170037</t>
  </si>
  <si>
    <t>JC000074</t>
  </si>
  <si>
    <t>顧客名：オンライン池袋ゲームスタジオ合同会社、ステータス：見積提示前、営業担当者：既存顧客支援課・長谷川 美咲</t>
  </si>
  <si>
    <t>202605180038</t>
  </si>
  <si>
    <t>JC000075</t>
  </si>
  <si>
    <t>顧客名：有限会社オンライン恵比寿ウェルネス、ステータス：見積提示済み、営業担当者：既存顧客支援課・スミス ジョン</t>
  </si>
  <si>
    <t>202605180039</t>
  </si>
  <si>
    <t>JC000076</t>
  </si>
  <si>
    <t>顧客名：オンライン六本木イベント企画株式会社、ステータス：見積修正中、営業担当者：インサイドセールス課・藤田 美咲</t>
  </si>
  <si>
    <t>202605190040</t>
  </si>
  <si>
    <t>JC000077</t>
  </si>
  <si>
    <t>顧客名：合同会社オンライン中目黒カフェグループ、ステータス：失注、営業担当者：横浜法人営業課・近藤 翔太</t>
  </si>
  <si>
    <t>202605190041</t>
  </si>
  <si>
    <t>JC000078</t>
  </si>
  <si>
    <t>顧客名：オンライン秋葉原ガジェット有限会社、ステータス：見積提示前、営業担当者：横浜営業支援課・鈴木 悠斗</t>
  </si>
  <si>
    <t>202605200042</t>
  </si>
  <si>
    <t>JC000079</t>
  </si>
  <si>
    <t>顧客名：株式会社オンライン日本サブスクサービス、ステータス：見積提示済み、営業担当者：大宮法人営業課・青木 美咲</t>
  </si>
  <si>
    <t>202605200043</t>
  </si>
  <si>
    <t>JC000080</t>
  </si>
  <si>
    <t>顧客名：オンライン東京ペットライフ合同会社、ステータス：見積修正中、営業担当者：立川法人営業課・村上 亮</t>
  </si>
  <si>
    <t>202605210044</t>
  </si>
  <si>
    <t>JC000081</t>
  </si>
  <si>
    <t>顧客名：有限会社リテール青山デジタルマーケット、ステータス：失注、営業担当者：法人営業課・西村 葵</t>
  </si>
  <si>
    <t>202605210045</t>
  </si>
  <si>
    <t>JC000082</t>
  </si>
  <si>
    <t>顧客名：リテール渋谷ライフスタイル株式会社、ステータス：見積提示前、営業担当者：法人営業課・吉田 葵</t>
  </si>
  <si>
    <t>202605210046</t>
  </si>
  <si>
    <t>JC000083</t>
  </si>
  <si>
    <t>顧客名：合同会社リテール銀座コスメティクス、ステータス：見積提示済み、営業担当者：既存顧客支援課・石井 舞</t>
  </si>
  <si>
    <t>202605220047</t>
  </si>
  <si>
    <t>JC000084</t>
  </si>
  <si>
    <t>顧客名：リテール日本フィットネスラボ有限会社、ステータス：見積修正中、営業担当者：既存顧客支援課・渡辺 舞</t>
  </si>
  <si>
    <t>202605220048</t>
  </si>
  <si>
    <t>JC000085</t>
  </si>
  <si>
    <t>顧客名：株式会社リテール東京フードリンク、ステータス：失注、営業担当者：インサイドセールス課・村上 舞</t>
  </si>
  <si>
    <t>202605230049</t>
  </si>
  <si>
    <t>JC000086</t>
  </si>
  <si>
    <t>顧客名：リテール丸の内ビジネススクール合同会社、ステータス：見積提示前、営業担当者：横浜法人営業課・遠藤 亮</t>
  </si>
  <si>
    <t>202605230050</t>
  </si>
  <si>
    <t>JC000087</t>
  </si>
  <si>
    <t>顧客名：有限会社リテール表参道アパレル、ステータス：見積提示済み、営業担当者：横浜営業支援課・伊藤 翔太</t>
  </si>
  <si>
    <t>202605240051</t>
  </si>
  <si>
    <t>JC000088</t>
  </si>
  <si>
    <t>顧客名：リテール新宿トラベルサービス株式会社、ステータス：見積修正中、営業担当者：大宮法人営業課・藤原 葵</t>
  </si>
  <si>
    <t>202605240052</t>
  </si>
  <si>
    <t>JC000089</t>
  </si>
  <si>
    <t>顧客名：合同会社リテール品川クラウドソリューション、ステータス：失注、営業担当者：立川法人営業課・ロビンソン エイデン</t>
  </si>
  <si>
    <t>202605250053</t>
  </si>
  <si>
    <t>JC000090</t>
  </si>
  <si>
    <t>顧客名：リテール横浜ホームデザイン有限会社、ステータス：見積提示前、営業担当者：法人営業課・三浦 遥</t>
  </si>
  <si>
    <t>202605250054</t>
  </si>
  <si>
    <t>JC000091</t>
  </si>
  <si>
    <t>顧客名：株式会社リテール千葉ヘルスケア、ステータス：見積提示済み、営業担当者：法人営業課・山口 遥</t>
  </si>
  <si>
    <t>202605260055</t>
  </si>
  <si>
    <t>JC000092</t>
  </si>
  <si>
    <t>顧客名：リテール大宮教育出版合同会社、ステータス：見積修正中、営業担当者：既存顧客支援課・青木 葵</t>
  </si>
  <si>
    <t>202605260056</t>
  </si>
  <si>
    <t>JC000093</t>
  </si>
  <si>
    <t>顧客名：有限会社リテール立川スポーツ用品、ステータス：失注、営業担当者：既存顧客支援課・小林 葵</t>
  </si>
  <si>
    <t>202605270057</t>
  </si>
  <si>
    <t>JC000094</t>
  </si>
  <si>
    <t>顧客名：リテール池袋ゲームスタジオ株式会社、ステータス：見積提示前、営業担当者：インサイドセールス課・ジョンソン マイケル</t>
  </si>
  <si>
    <t>202605270058</t>
  </si>
  <si>
    <t>JC000095</t>
  </si>
  <si>
    <t>顧客名：合同会社リテール恵比寿ウェルネス、ステータス：見積提示済み、営業担当者：横浜法人営業課・西村 美咲</t>
  </si>
  <si>
    <t>202605270059</t>
  </si>
  <si>
    <t>JC000096</t>
  </si>
  <si>
    <t>顧客名：リテール六本木イベント企画有限会社、ステータス：見積修正中、営業担当者：横浜営業支援課・吉田 美咲</t>
  </si>
  <si>
    <t>202605280060</t>
  </si>
  <si>
    <t>JC000097</t>
  </si>
  <si>
    <t>顧客名：株式会社リテール中目黒カフェグループ、ステータス：失注、営業担当者：千葉法人営業課・チョウ ユナ</t>
  </si>
  <si>
    <t>202605280061</t>
  </si>
  <si>
    <t>JC000098</t>
  </si>
  <si>
    <t>顧客名：リテール秋葉原ガジェット合同会社、ステータス：見積提示前、営業担当者：立川法人営業課・藤井 舞</t>
  </si>
  <si>
    <t>202605290062</t>
  </si>
  <si>
    <t>JC000099</t>
  </si>
  <si>
    <t>顧客名：有限会社リテール日本サブスクサービス、ステータス：見積提示済み、営業担当者：法人営業課・ワン シャオリン</t>
  </si>
  <si>
    <t>202605290063</t>
  </si>
  <si>
    <t>JC000100</t>
  </si>
  <si>
    <t>顧客名：リテール東京ペットライフ株式会社、ステータス：見積修正中、営業担当者：法人営業課・木村 和也</t>
  </si>
  <si>
    <t>202605300064</t>
  </si>
  <si>
    <t>顧客名：株式会社青山デジタルマーケット、ステータス：失注、営業担当者：既存顧客支援課・藤原 和也</t>
  </si>
  <si>
    <t>202605300065</t>
  </si>
  <si>
    <t>顧客名：渋谷ライフスタイル合同会社、ステータス：見積提示前、営業担当者：既存顧客支援課・山田 遥</t>
  </si>
  <si>
    <t>202605310066</t>
  </si>
  <si>
    <t>顧客名：有限会社銀座コスメティクス、ステータス：見積提示済み、営業担当者：インサイドセールス課・藤井 遥</t>
  </si>
  <si>
    <t>202605310067</t>
  </si>
  <si>
    <t>顧客名：日本フィットネスラボ株式会社、ステータス：見積修正中、営業担当者：横浜法人営業課・三浦 舞</t>
  </si>
  <si>
    <t>202606010001</t>
  </si>
  <si>
    <t>顧客名：合同会社東京フードリンク、ステータス：失注、営業担当者：横浜営業支援課・山口 舞</t>
  </si>
  <si>
    <t>202606010002</t>
  </si>
  <si>
    <t>顧客名：丸の内ビジネススクール有限会社、ステータス：見積提示前、営業担当者：千葉法人営業課・渡辺 亮</t>
  </si>
  <si>
    <t>202606010003</t>
  </si>
  <si>
    <t>顧客名：株式会社表参道アパレル、ステータス：見積提示済み、営業担当者：立川法人営業課・太田 葵</t>
  </si>
  <si>
    <t>202606020004</t>
  </si>
  <si>
    <t>顧客名：新宿トラベルサービス合同会社、ステータス：見積修正中、営業担当者：法人営業課・原田 悠斗</t>
  </si>
  <si>
    <t>202606020005</t>
  </si>
  <si>
    <t>顧客名：有限会社品川クラウドソリューション、ステータス：失注、営業担当者：法人営業課・斎藤 悠斗</t>
  </si>
  <si>
    <t>202606030006</t>
  </si>
  <si>
    <t>顧客名：横浜ホームデザイン株式会社、ステータス：見積提示前、営業担当者：既存顧客支援課・中川 悠斗</t>
  </si>
  <si>
    <t>202606030007</t>
  </si>
  <si>
    <t>顧客名：合同会社千葉ヘルスケア、ステータス：見積提示済み、営業担当者：既存顧客支援課・松本 和也</t>
  </si>
  <si>
    <t>202606040008</t>
  </si>
  <si>
    <t>顧客名：大宮教育出版有限会社、ステータス：見積修正中、営業担当者：インサイドセールス課・太田 和也</t>
  </si>
  <si>
    <t>202606040009</t>
  </si>
  <si>
    <t>顧客名：株式会社立川スポーツ用品、ステータス：失注、営業担当者：横浜法人営業課・ロペス イサベル</t>
  </si>
  <si>
    <t>202606050010</t>
  </si>
  <si>
    <t>顧客名：池袋ゲームスタジオ合同会社、ステータス：見積提示前、営業担当者：大宮法人営業課・前田 悠斗</t>
  </si>
  <si>
    <t>202606050011</t>
  </si>
  <si>
    <t>顧客名：有限会社恵比寿ウェルネス、ステータス：見積提示済み、営業担当者：千葉法人営業課・小林 美咲</t>
  </si>
  <si>
    <t>202606060012</t>
  </si>
  <si>
    <t>顧客名：六本木イベント企画株式会社、ステータス：見積修正中、営業担当者：立川法人営業課・岡本 遥</t>
  </si>
  <si>
    <t>202606060013</t>
  </si>
  <si>
    <t>顧客名：合同会社中目黒カフェグループ、ステータス：失注、営業担当者：法人営業課・野村 翔太</t>
  </si>
  <si>
    <t>202606070014</t>
  </si>
  <si>
    <t>顧客名：秋葉原ガジェット有限会社、ステータス：見積提示前、営業担当者：法人営業課・グエン アン</t>
  </si>
  <si>
    <t>202606070015</t>
  </si>
  <si>
    <t>顧客名：株式会社日本サブスクサービス、ステータス：見積提示済み、営業担当者：既存顧客支援課・小川 翔太</t>
  </si>
  <si>
    <t>202606070016</t>
  </si>
  <si>
    <t>顧客名：東京ペットライフ合同会社、ステータス：見積修正中、営業担当者：インサイドセールス課・池田 翔太</t>
  </si>
  <si>
    <t>202606080017</t>
  </si>
  <si>
    <t>顧客名：有限会社東日本青山デジタルマーケット、ステータス：失注、営業担当者：インサイドセールス課・岡本 悠斗</t>
  </si>
  <si>
    <t>202606080018</t>
  </si>
  <si>
    <t>顧客名：東日本渋谷ライフスタイル株式会社、ステータス：見積提示前、営業担当者：横浜法人営業課・原田 遥</t>
  </si>
  <si>
    <t>202606090019</t>
  </si>
  <si>
    <t>顧客名：合同会社東日本銀座コスメティクス、ステータス：見積提示済み、営業担当者：大宮法人営業課・長谷川 翔太</t>
  </si>
  <si>
    <t>202606090020</t>
  </si>
  <si>
    <t>顧客名：東日本日本フィットネスラボ有限会社、ステータス：見積修正中、営業担当者：千葉法人営業課・山田 舞</t>
  </si>
  <si>
    <t>202606100021</t>
  </si>
  <si>
    <t>顧客名：株式会社東日本東京フードリンク、ステータス：失注、営業担当者：法人営業課・近藤 美咲</t>
  </si>
  <si>
    <t>202606100022</t>
  </si>
  <si>
    <t>顧客名：東日本丸の内ビジネススクール合同会社、ステータス：見積提示前、営業担当者：法人営業課・鈴木 亮</t>
  </si>
  <si>
    <t>202606110023</t>
  </si>
  <si>
    <t>顧客名：有限会社東日本表参道アパレル、ステータス：見積提示済み、営業担当者：既存顧客支援課・前田 亮</t>
  </si>
  <si>
    <t>202606110024</t>
  </si>
  <si>
    <t>顧客名：東日本新宿トラベルサービス株式会社、ステータス：見積修正中、営業担当者：既存顧客支援課・金子 亮</t>
  </si>
  <si>
    <t>202606120025</t>
  </si>
  <si>
    <t>顧客名：合同会社東日本品川クラウドソリューション、ステータス：失注、営業担当者：インサイドセールス課・森 亮</t>
  </si>
  <si>
    <t>202606120026</t>
  </si>
  <si>
    <t>顧客名：東日本横浜ホームデザイン有限会社、ステータス：見積提示前、営業担当者：インサイドセールス課・中島 翔太</t>
  </si>
  <si>
    <t>202606120027</t>
  </si>
  <si>
    <t>顧客名：株式会社東日本千葉ヘルスケア、ステータス：見積提示済み、営業担当者：横浜法人営業課・野村 和也</t>
  </si>
  <si>
    <t>202606130028</t>
  </si>
  <si>
    <t>顧客名：東日本大宮教育出版合同会社、ステータス：見積修正中、営業担当者：大宮法人営業課・石井 亮</t>
  </si>
  <si>
    <t>202606130029</t>
  </si>
  <si>
    <t>顧客名：有限会社東日本立川スポーツ用品、ステータス：失注、営業担当者：千葉法人営業課・松本 葵</t>
  </si>
  <si>
    <t>202606140030</t>
  </si>
  <si>
    <t>顧客名：東日本池袋ゲームスタジオ株式会社、ステータス：見積提示前、営業担当者：法人営業課・遠藤 舞</t>
  </si>
  <si>
    <t>202606140031</t>
  </si>
  <si>
    <t>顧客名：合同会社東日本恵比寿ウェルネス、ステータス：見積提示済み、営業担当者：法人営業課・伊藤 美咲</t>
  </si>
  <si>
    <t>202606150032</t>
  </si>
  <si>
    <t>顧客名：東日本六本木イベント企画有限会社、ステータス：見積修正中、営業担当者：既存顧客支援課・長谷川 美咲</t>
  </si>
  <si>
    <t>202606150033</t>
  </si>
  <si>
    <t>顧客名：株式会社東日本中目黒カフェグループ、ステータス：失注、営業担当者：既存顧客支援課・スミス ジョン</t>
  </si>
  <si>
    <t>202606160034</t>
  </si>
  <si>
    <t>顧客名：東日本秋葉原ガジェット合同会社、ステータス：見積提示前、営業担当者：インサイドセールス課・藤田 美咲</t>
  </si>
  <si>
    <t>202606160035</t>
  </si>
  <si>
    <t>顧客名：有限会社東日本日本サブスクサービス、ステータス：見積提示済み、営業担当者：横浜法人営業課・近藤 翔太</t>
  </si>
  <si>
    <t>202606170036</t>
  </si>
  <si>
    <t>顧客名：東日本東京ペットライフ株式会社、ステータス：見積修正中、営業担当者：横浜営業支援課・鈴木 悠斗</t>
  </si>
  <si>
    <t>202606170037</t>
  </si>
  <si>
    <t>顧客名：合同会社首都圏青山デジタルマーケット、ステータス：失注、営業担当者：大宮法人営業課・青木 美咲</t>
  </si>
  <si>
    <t>202606180038</t>
  </si>
  <si>
    <t>顧客名：首都圏渋谷ライフスタイル有限会社、ステータス：見積提示前、営業担当者：立川法人営業課・村上 亮</t>
  </si>
  <si>
    <t>202606180039</t>
  </si>
  <si>
    <t>顧客名：株式会社首都圏銀座コスメティクス、ステータス：見積提示済み、営業担当者：法人営業課・西村 葵</t>
  </si>
  <si>
    <t>202606180040</t>
  </si>
  <si>
    <t>顧客名：首都圏日本フィットネスラボ合同会社、ステータス：見積修正中、営業担当者：法人営業課・吉田 葵</t>
  </si>
  <si>
    <t>202606190041</t>
  </si>
  <si>
    <t>顧客名：有限会社首都圏東京フードリンク、ステータス：失注、営業担当者：既存顧客支援課・石井 舞</t>
  </si>
  <si>
    <t>202606190042</t>
  </si>
  <si>
    <t>顧客名：首都圏丸の内ビジネススクール株式会社、ステータス：見積提示前、営業担当者：既存顧客支援課・渡辺 舞</t>
  </si>
  <si>
    <t>202606200043</t>
  </si>
  <si>
    <t>顧客名：合同会社首都圏表参道アパレル、ステータス：見積提示済み、営業担当者：インサイドセールス課・村上 舞</t>
  </si>
  <si>
    <t>202606200044</t>
  </si>
  <si>
    <t>顧客名：首都圏新宿トラベルサービス有限会社、ステータス：見積修正中、営業担当者：横浜法人営業課・遠藤 亮</t>
  </si>
  <si>
    <t>202606210045</t>
  </si>
  <si>
    <t>顧客名：株式会社首都圏品川クラウドソリューション、ステータス：失注、営業担当者：横浜営業支援課・伊藤 翔太</t>
  </si>
  <si>
    <t>202606210046</t>
  </si>
  <si>
    <t>顧客名：首都圏横浜ホームデザイン合同会社、ステータス：見積提示前、営業担当者：大宮法人営業課・藤原 葵</t>
  </si>
  <si>
    <t>202606220047</t>
  </si>
  <si>
    <t>顧客名：有限会社首都圏千葉ヘルスケア、ステータス：見積提示済み、営業担当者：立川法人営業課・ロビンソン エイデン</t>
  </si>
  <si>
    <t>202606220048</t>
  </si>
  <si>
    <t>顧客名：首都圏大宮教育出版株式会社、ステータス：見積修正中、営業担当者：法人営業課・三浦 遥</t>
  </si>
  <si>
    <t>202606230049</t>
  </si>
  <si>
    <t>顧客名：合同会社首都圏立川スポーツ用品、ステータス：失注、営業担当者：法人営業課・山口 遥</t>
  </si>
  <si>
    <t>202606230050</t>
  </si>
  <si>
    <t>顧客名：首都圏池袋ゲームスタジオ有限会社、ステータス：見積提示前、営業担当者：既存顧客支援課・青木 葵</t>
  </si>
  <si>
    <t>202606230051</t>
  </si>
  <si>
    <t>顧客名：株式会社首都圏恵比寿ウェルネス、ステータス：見積提示済み、営業担当者：既存顧客支援課・小林 葵</t>
  </si>
  <si>
    <t>202606240052</t>
  </si>
  <si>
    <t>4</t>
  </si>
  <si>
    <t>顧客名：首都圏六本木イベント企画合同会社、ステータス：契約済み、営業担当者：インサイドセールス課・ジョンソン マイケル</t>
  </si>
  <si>
    <t>202606240053</t>
  </si>
  <si>
    <t>顧客名：有限会社首都圏中目黒カフェグループ、ステータス：契約済み、営業担当者：横浜法人営業課・西村 美咲</t>
  </si>
  <si>
    <t>202606250054</t>
  </si>
  <si>
    <t>顧客名：首都圏秋葉原ガジェット株式会社、ステータス：契約済み、営業担当者：横浜営業支援課・吉田 美咲</t>
  </si>
  <si>
    <t>202606250055</t>
  </si>
  <si>
    <t>顧客名：合同会社首都圏日本サブスクサービス、ステータス：契約済み、営業担当者：千葉法人営業課・チョウ ユナ</t>
  </si>
  <si>
    <t>202606260056</t>
  </si>
  <si>
    <t>顧客名：首都圏東京ペットライフ有限会社、ステータス：契約済み、営業担当者：立川法人営業課・藤井 舞</t>
  </si>
  <si>
    <t>202606260057</t>
  </si>
  <si>
    <t>顧客名：株式会社オンライン青山デジタルマーケット、ステータス：契約済み、営業担当者：法人営業課・ワン シャオリン</t>
  </si>
  <si>
    <t>202606270058</t>
  </si>
  <si>
    <t>顧客名：オンライン渋谷ライフスタイル合同会社、ステータス：契約済み、営業担当者：法人営業課・木村 和也</t>
  </si>
  <si>
    <t>202606270059</t>
  </si>
  <si>
    <t>顧客名：有限会社オンライン銀座コスメティクス、ステータス：契約済み、営業担当者：既存顧客支援課・藤原 和也</t>
  </si>
  <si>
    <t>202606280060</t>
  </si>
  <si>
    <t>顧客名：オンライン日本フィットネスラボ株式会社、ステータス：契約済み、営業担当者：既存顧客支援課・山田 遥</t>
  </si>
  <si>
    <t>202606280061</t>
  </si>
  <si>
    <t>顧客名：合同会社オンライン東京フードリンク、ステータス：契約済み、営業担当者：インサイドセールス課・藤井 遥</t>
  </si>
  <si>
    <t>202606290062</t>
  </si>
  <si>
    <t>顧客名：オンライン丸の内ビジネススクール有限会社、ステータス：契約済み、営業担当者：横浜法人営業課・三浦 舞</t>
  </si>
  <si>
    <t>202606290063</t>
  </si>
  <si>
    <t>顧客名：株式会社オンライン表参道アパレル、ステータス：契約済み、営業担当者：横浜営業支援課・山口 舞</t>
  </si>
  <si>
    <t>202606290064</t>
  </si>
  <si>
    <t>顧客名：オンライン新宿トラベルサービス合同会社、ステータス：契約済み、営業担当者：千葉法人営業課・渡辺 亮</t>
  </si>
  <si>
    <t>202606300065</t>
  </si>
  <si>
    <t>顧客名：有限会社オンライン品川クラウドソリューション、ステータス：契約済み、営業担当者：立川法人営業課・太田 葵</t>
  </si>
  <si>
    <t>202606300066</t>
  </si>
  <si>
    <t>顧客名：オンライン横浜ホームデザイン株式会社、ステータス：契約済み、営業担当者：法人営業課・原田 悠斗</t>
  </si>
  <si>
    <t>202607010001</t>
  </si>
  <si>
    <t>顧客名：合同会社オンライン千葉ヘルスケア、ステータス：契約済み、営業担当者：法人営業課・斎藤 悠斗</t>
  </si>
  <si>
    <t>202607010002</t>
  </si>
  <si>
    <t>顧客名：オンライン大宮教育出版有限会社、ステータス：契約済み、営業担当者：既存顧客支援課・中川 悠斗</t>
  </si>
  <si>
    <t>202607020003</t>
  </si>
  <si>
    <t>顧客名：株式会社オンライン立川スポーツ用品、ステータス：契約済み、営業担当者：既存顧客支援課・松本 和也</t>
  </si>
  <si>
    <t>202607020004</t>
  </si>
  <si>
    <t>顧客名：オンライン池袋ゲームスタジオ合同会社、ステータス：契約済み、営業担当者：インサイドセールス課・太田 和也</t>
  </si>
  <si>
    <t>202607030005</t>
  </si>
  <si>
    <t>顧客名：有限会社オンライン恵比寿ウェルネス、ステータス：契約済み、営業担当者：横浜法人営業課・ロペス イサベル</t>
  </si>
  <si>
    <t>202607030006</t>
  </si>
  <si>
    <t>顧客名：オンライン六本木イベント企画株式会社、ステータス：契約済み、営業担当者：大宮法人営業課・前田 悠斗</t>
  </si>
  <si>
    <t>202607040007</t>
  </si>
  <si>
    <t>顧客名：合同会社オンライン中目黒カフェグループ、ステータス：契約済み、営業担当者：千葉法人営業課・小林 美咲</t>
  </si>
  <si>
    <t>202607040008</t>
  </si>
  <si>
    <t>顧客名：オンライン秋葉原ガジェット有限会社、ステータス：契約済み、営業担当者：立川法人営業課・岡本 遥</t>
  </si>
  <si>
    <t>202607040009</t>
  </si>
  <si>
    <t>顧客名：株式会社オンライン日本サブスクサービス、ステータス：契約済み、営業担当者：法人営業課・野村 翔太</t>
  </si>
  <si>
    <t>202607050010</t>
  </si>
  <si>
    <t>顧客名：オンライン東京ペットライフ合同会社、ステータス：契約済み、営業担当者：法人営業課・グエン アン</t>
  </si>
  <si>
    <t>202607050011</t>
  </si>
  <si>
    <t>顧客名：有限会社リテール青山デジタルマーケット、ステータス：契約済み、営業担当者：既存顧客支援課・小川 翔太</t>
  </si>
  <si>
    <t>202607060012</t>
  </si>
  <si>
    <t>顧客名：リテール渋谷ライフスタイル株式会社、ステータス：契約済み、営業担当者：インサイドセールス課・池田 翔太</t>
  </si>
  <si>
    <t>202607060013</t>
  </si>
  <si>
    <t>顧客名：合同会社リテール銀座コスメティクス、ステータス：契約済み、営業担当者：インサイドセールス課・岡本 悠斗</t>
  </si>
  <si>
    <t>202607070014</t>
  </si>
  <si>
    <t>顧客名：リテール日本フィットネスラボ有限会社、ステータス：契約済み、営業担当者：横浜法人営業課・原田 遥</t>
  </si>
  <si>
    <t>202607070015</t>
  </si>
  <si>
    <t>顧客名：株式会社リテール東京フードリンク、ステータス：契約済み、営業担当者：大宮法人営業課・長谷川 翔太</t>
  </si>
  <si>
    <t>202607080016</t>
  </si>
  <si>
    <t>顧客名：リテール丸の内ビジネススクール合同会社、ステータス：契約済み、営業担当者：千葉法人営業課・山田 舞</t>
  </si>
  <si>
    <t>202607080017</t>
  </si>
  <si>
    <t>顧客名：有限会社リテール表参道アパレル、ステータス：契約済み、営業担当者：法人営業課・近藤 美咲</t>
  </si>
  <si>
    <t>202607090018</t>
  </si>
  <si>
    <t>顧客名：リテール新宿トラベルサービス株式会社、ステータス：契約済み、営業担当者：法人営業課・鈴木 亮</t>
  </si>
  <si>
    <t>202607090019</t>
  </si>
  <si>
    <t>顧客名：合同会社リテール品川クラウドソリューション、ステータス：契約済み、営業担当者：既存顧客支援課・前田 亮</t>
  </si>
  <si>
    <t>202607100020</t>
  </si>
  <si>
    <t>顧客名：リテール横浜ホームデザイン有限会社、ステータス：契約済み、営業担当者：既存顧客支援課・金子 亮</t>
  </si>
  <si>
    <t>202607100021</t>
  </si>
  <si>
    <t>顧客名：株式会社リテール千葉ヘルスケア、ステータス：契約済み、営業担当者：インサイドセールス課・森 亮</t>
  </si>
  <si>
    <t>202607100022</t>
  </si>
  <si>
    <t>顧客名：リテール大宮教育出版合同会社、ステータス：契約済み、営業担当者：インサイドセールス課・中島 翔太</t>
  </si>
  <si>
    <t>202607110023</t>
  </si>
  <si>
    <t>顧客名：有限会社リテール立川スポーツ用品、ステータス：契約済み、営業担当者：横浜法人営業課・野村 和也</t>
  </si>
  <si>
    <t>202607110024</t>
  </si>
  <si>
    <t>顧客名：リテール池袋ゲームスタジオ株式会社、ステータス：契約済み、営業担当者：大宮法人営業課・石井 亮</t>
  </si>
  <si>
    <t>202607120025</t>
  </si>
  <si>
    <t>顧客名：合同会社リテール恵比寿ウェルネス、ステータス：契約済み、営業担当者：千葉法人営業課・松本 葵</t>
  </si>
  <si>
    <t>202607120026</t>
  </si>
  <si>
    <t>顧客名：リテール六本木イベント企画有限会社、ステータス：契約済み、営業担当者：法人営業課・遠藤 舞</t>
  </si>
  <si>
    <t>202607130027</t>
  </si>
  <si>
    <t>顧客名：株式会社リテール中目黒カフェグループ、ステータス：契約済み、営業担当者：法人営業課・伊藤 美咲</t>
  </si>
  <si>
    <t>202607130028</t>
  </si>
  <si>
    <t>顧客名：リテール秋葉原ガジェット合同会社、ステータス：契約済み、営業担当者：既存顧客支援課・長谷川 美咲</t>
  </si>
  <si>
    <t>202607140029</t>
  </si>
  <si>
    <t>顧客名：有限会社リテール日本サブスクサービス、ステータス：契約済み、営業担当者：既存顧客支援課・スミス ジョン</t>
  </si>
  <si>
    <t>202607140030</t>
  </si>
  <si>
    <t>顧客名：リテール東京ペットライフ株式会社、ステータス：契約済み、営業担当者：インサイドセールス課・藤田 美咲</t>
  </si>
  <si>
    <t>見積明細</t>
  </si>
  <si>
    <r>
      <rPr>
        <sz val="11"/>
        <color rgb="FF000000"/>
        <rFont val="Calibri"/>
        <family val="2"/>
      </rPr>
      <t>sales.quotation_details</t>
    </r>
    <phoneticPr fontId="0"/>
  </si>
  <si>
    <t>detail_id</t>
  </si>
  <si>
    <t>line_no</t>
  </si>
  <si>
    <t>site_url</t>
  </si>
  <si>
    <t>display_weeks</t>
  </si>
  <si>
    <t>display_months</t>
  </si>
  <si>
    <t>unit_price_foreign</t>
  </si>
  <si>
    <t>amount_foreign</t>
  </si>
  <si>
    <t>amount_jpy</t>
  </si>
  <si>
    <t>amount_jpy_est</t>
  </si>
  <si>
    <t>明細ID</t>
  </si>
  <si>
    <t>明細行番号</t>
  </si>
  <si>
    <t>広告表示先URL</t>
  </si>
  <si>
    <t>サービスID</t>
  </si>
  <si>
    <t>表示週数（週単位の場合）</t>
  </si>
  <si>
    <t>表示月数（月単位の場合）</t>
  </si>
  <si>
    <t>外貨建て単価（外貨建て契約の場合）</t>
  </si>
  <si>
    <t>外貨建て金額（外貨建て契約の場合）</t>
  </si>
  <si>
    <t>円建て金額（円建て契約の場合）</t>
  </si>
  <si>
    <t>予想円換算金額（外貨建て契約の場合）</t>
  </si>
  <si>
    <t>Char(15)</t>
  </si>
  <si>
    <t>VarChar(500)</t>
  </si>
  <si>
    <t>202604140001001</t>
  </si>
  <si>
    <t>https://aoyama-digital.example.jp/ads/202604140001/01</t>
  </si>
  <si>
    <t>BNR0001</t>
  </si>
  <si>
    <t>202604140001002</t>
  </si>
  <si>
    <t>https://shibuya-lifestyle.example.jp/ads/202604140001/02</t>
  </si>
  <si>
    <t>BNR0002</t>
  </si>
  <si>
    <t>202604140001003</t>
  </si>
  <si>
    <t>https://ginza-cosme.example.jp/ads/202604140001/03</t>
  </si>
  <si>
    <t>BNR0003</t>
  </si>
  <si>
    <t>202604140001004</t>
  </si>
  <si>
    <t>https://fitness-lab.example.jp/ads/202604140001/04</t>
  </si>
  <si>
    <t>BNR0011</t>
  </si>
  <si>
    <t>202604140002001</t>
  </si>
  <si>
    <t>https://shibuya-lifestyle.example.jp/ads/202604140002/01</t>
  </si>
  <si>
    <t>BNR0012</t>
  </si>
  <si>
    <t>202604140002002</t>
  </si>
  <si>
    <t>https://ginza-cosme.example.jp/ads/202604140002/02</t>
  </si>
  <si>
    <t>BNR0013</t>
  </si>
  <si>
    <t>202604140002003</t>
  </si>
  <si>
    <t>https://fitness-lab.example.jp/ads/202604140002/03</t>
  </si>
  <si>
    <t>SPT0001</t>
  </si>
  <si>
    <t>202604140002004</t>
  </si>
  <si>
    <t>https://tokyo-foodlink.example.jp/ads/202604140002/04</t>
  </si>
  <si>
    <t>SPT0002</t>
  </si>
  <si>
    <t>202604150003001</t>
  </si>
  <si>
    <t>https://ginza-cosme.example.jp/ads/202604150003/01</t>
  </si>
  <si>
    <t>SPT0003</t>
  </si>
  <si>
    <t>202604150003002</t>
  </si>
  <si>
    <t>https://fitness-lab.example.jp/ads/202604150003/02</t>
  </si>
  <si>
    <t>SPT0011</t>
  </si>
  <si>
    <t>202604150003003</t>
  </si>
  <si>
    <t>https://tokyo-foodlink.example.jp/ads/202604150003/03</t>
  </si>
  <si>
    <t>SPT0012</t>
  </si>
  <si>
    <t>202604150003004</t>
  </si>
  <si>
    <t>https://business-school.example.jp/ads/202604150003/04</t>
  </si>
  <si>
    <t>SPT0013</t>
  </si>
  <si>
    <t>202604150004001</t>
  </si>
  <si>
    <t>https://fitness-lab.example.jp/ads/202604150004/01</t>
  </si>
  <si>
    <t>DSG0001</t>
  </si>
  <si>
    <t>202604150004002</t>
  </si>
  <si>
    <t>https://tokyo-foodlink.example.jp/ads/202604150004/02</t>
  </si>
  <si>
    <t>DSG0002</t>
  </si>
  <si>
    <t>202604150004003</t>
  </si>
  <si>
    <t>https://business-school.example.jp/ads/202604150004/03</t>
  </si>
  <si>
    <t>DSG0003</t>
  </si>
  <si>
    <t>202604150004004</t>
  </si>
  <si>
    <t>https://omotesando-apparel.example.jp/ads/202604150004/04</t>
  </si>
  <si>
    <t>DSG0004</t>
  </si>
  <si>
    <t>202604160005001</t>
  </si>
  <si>
    <t>https://tokyo-foodlink.example.jp/ads/202604160005/01</t>
  </si>
  <si>
    <t>DSG0005</t>
  </si>
  <si>
    <t>202604160005002</t>
  </si>
  <si>
    <t>https://business-school.example.jp/ads/202604160005/02</t>
  </si>
  <si>
    <t>DSG0006</t>
  </si>
  <si>
    <t>202604160005003</t>
  </si>
  <si>
    <t>https://omotesando-apparel.example.jp/ads/202604160005/03</t>
  </si>
  <si>
    <t>VID0001</t>
  </si>
  <si>
    <t>202604160005004</t>
  </si>
  <si>
    <t>https://travel-service.example.jp/ads/202604160005/04</t>
  </si>
  <si>
    <t>VID0002</t>
  </si>
  <si>
    <t>202604160006001</t>
  </si>
  <si>
    <t>https://business-school.example.jp/ads/202604160006/01</t>
  </si>
  <si>
    <t>VID0003</t>
  </si>
  <si>
    <t>202604160006002</t>
  </si>
  <si>
    <t>https://omotesando-apparel.example.jp/ads/202604160006/02</t>
  </si>
  <si>
    <t>202604160006003</t>
  </si>
  <si>
    <t>https://travel-service.example.jp/ads/202604160006/03</t>
  </si>
  <si>
    <t>202604160006004</t>
  </si>
  <si>
    <t>https://cloud-solution.example.jp/ads/202604160006/04</t>
  </si>
  <si>
    <t>202604170007001</t>
  </si>
  <si>
    <t>https://omotesando-apparel.example.jp/ads/202604170007/01</t>
  </si>
  <si>
    <t>202604170007002</t>
  </si>
  <si>
    <t>https://travel-service.example.jp/ads/202604170007/02</t>
  </si>
  <si>
    <t>202604170007003</t>
  </si>
  <si>
    <t>https://cloud-solution.example.jp/ads/202604170007/03</t>
  </si>
  <si>
    <t>202604170007004</t>
  </si>
  <si>
    <t>https://home-design.example.jp/ads/202604170007/04</t>
  </si>
  <si>
    <t>202604170008001</t>
  </si>
  <si>
    <t>https://travel-service.example.jp/ads/202604170008/01</t>
  </si>
  <si>
    <t>202604170008002</t>
  </si>
  <si>
    <t>https://cloud-solution.example.jp/ads/202604170008/02</t>
  </si>
  <si>
    <t>202604170008003</t>
  </si>
  <si>
    <t>https://home-design.example.jp/ads/202604170008/03</t>
  </si>
  <si>
    <t>202604170008004</t>
  </si>
  <si>
    <t>https://healthcare-media.example.jp/ads/202604170008/04</t>
  </si>
  <si>
    <t>202604180009001</t>
  </si>
  <si>
    <t>https://cloud-solution.example.jp/ads/202604180009/01</t>
  </si>
  <si>
    <t>202604180009002</t>
  </si>
  <si>
    <t>https://home-design.example.jp/ads/202604180009/02</t>
  </si>
  <si>
    <t>202604180009003</t>
  </si>
  <si>
    <t>https://healthcare-media.example.jp/ads/202604180009/03</t>
  </si>
  <si>
    <t>202604180009004</t>
  </si>
  <si>
    <t>https://education-publishing.example.jp/ads/202604180009/04</t>
  </si>
  <si>
    <t>202604180010001</t>
  </si>
  <si>
    <t>https://home-design.example.jp/ads/202604180010/01</t>
  </si>
  <si>
    <t>202604180010002</t>
  </si>
  <si>
    <t>https://healthcare-media.example.jp/ads/202604180010/02</t>
  </si>
  <si>
    <t>202604180010003</t>
  </si>
  <si>
    <t>https://education-publishing.example.jp/ads/202604180010/03</t>
  </si>
  <si>
    <t>202604180010004</t>
  </si>
  <si>
    <t>https://aoyama-digital.example.jp/ads/202604180010/04</t>
  </si>
  <si>
    <t>202604180011001</t>
  </si>
  <si>
    <t>https://healthcare-media.example.jp/ads/202604180011/01</t>
  </si>
  <si>
    <t>202604180011002</t>
  </si>
  <si>
    <t>https://education-publishing.example.jp/ads/202604180011/02</t>
  </si>
  <si>
    <t>202604180011003</t>
  </si>
  <si>
    <t>https://aoyama-digital.example.jp/ads/202604180011/03</t>
  </si>
  <si>
    <t>202604180011004</t>
  </si>
  <si>
    <t>https://shibuya-lifestyle.example.jp/ads/202604180011/04</t>
  </si>
  <si>
    <t>202604190012001</t>
  </si>
  <si>
    <t>https://education-publishing.example.jp/ads/202604190012/01</t>
  </si>
  <si>
    <t>202604190012002</t>
  </si>
  <si>
    <t>https://aoyama-digital.example.jp/ads/202604190012/02</t>
  </si>
  <si>
    <t>202604190012003</t>
  </si>
  <si>
    <t>https://shibuya-lifestyle.example.jp/ads/202604190012/03</t>
  </si>
  <si>
    <t>202604190012004</t>
  </si>
  <si>
    <t>https://ginza-cosme.example.jp/ads/202604190012/04</t>
  </si>
  <si>
    <t>202604190013001</t>
  </si>
  <si>
    <t>https://aoyama-digital.example.jp/ads/202604190013/01</t>
  </si>
  <si>
    <t>202604190013002</t>
  </si>
  <si>
    <t>https://shibuya-lifestyle.example.jp/ads/202604190013/02</t>
  </si>
  <si>
    <t>202604190013003</t>
  </si>
  <si>
    <t>https://ginza-cosme.example.jp/ads/202604190013/03</t>
  </si>
  <si>
    <t>202604190013004</t>
  </si>
  <si>
    <t>https://fitness-lab.example.jp/ads/202604190013/04</t>
  </si>
  <si>
    <t>202604200014001</t>
  </si>
  <si>
    <t>https://shibuya-lifestyle.example.jp/ads/202604200014/01</t>
  </si>
  <si>
    <t>202604200014002</t>
  </si>
  <si>
    <t>https://ginza-cosme.example.jp/ads/202604200014/02</t>
  </si>
  <si>
    <t>202604200014003</t>
  </si>
  <si>
    <t>https://fitness-lab.example.jp/ads/202604200014/03</t>
  </si>
  <si>
    <t>202604200014004</t>
  </si>
  <si>
    <t>https://tokyo-foodlink.example.jp/ads/202604200014/04</t>
  </si>
  <si>
    <t>202604200015001</t>
  </si>
  <si>
    <t>https://ginza-cosme.example.jp/ads/202604200015/01</t>
  </si>
  <si>
    <t>202604200015002</t>
  </si>
  <si>
    <t>https://fitness-lab.example.jp/ads/202604200015/02</t>
  </si>
  <si>
    <t>202604200015003</t>
  </si>
  <si>
    <t>https://tokyo-foodlink.example.jp/ads/202604200015/03</t>
  </si>
  <si>
    <t>202604200015004</t>
  </si>
  <si>
    <t>https://business-school.example.jp/ads/202604200015/04</t>
  </si>
  <si>
    <t>202604210016001</t>
  </si>
  <si>
    <t>https://fitness-lab.example.jp/ads/202604210016/01</t>
  </si>
  <si>
    <t>202604210016002</t>
  </si>
  <si>
    <t>https://tokyo-foodlink.example.jp/ads/202604210016/02</t>
  </si>
  <si>
    <t>202604210016003</t>
  </si>
  <si>
    <t>https://business-school.example.jp/ads/202604210016/03</t>
  </si>
  <si>
    <t>202604210016004</t>
  </si>
  <si>
    <t>https://omotesando-apparel.example.jp/ads/202604210016/04</t>
  </si>
  <si>
    <t>202604210017001</t>
  </si>
  <si>
    <t>https://tokyo-foodlink.example.jp/ads/202604210017/01</t>
  </si>
  <si>
    <t>202604210017002</t>
  </si>
  <si>
    <t>https://business-school.example.jp/ads/202604210017/02</t>
  </si>
  <si>
    <t>202604210017003</t>
  </si>
  <si>
    <t>https://omotesando-apparel.example.jp/ads/202604210017/03</t>
  </si>
  <si>
    <t>202604210017004</t>
  </si>
  <si>
    <t>https://travel-service.example.jp/ads/202604210017/04</t>
  </si>
  <si>
    <t>202604220018001</t>
  </si>
  <si>
    <t>https://business-school.example.jp/ads/202604220018/01</t>
  </si>
  <si>
    <t>202604220018002</t>
  </si>
  <si>
    <t>https://omotesando-apparel.example.jp/ads/202604220018/02</t>
  </si>
  <si>
    <t>202604220018003</t>
  </si>
  <si>
    <t>https://travel-service.example.jp/ads/202604220018/03</t>
  </si>
  <si>
    <t>202604220018004</t>
  </si>
  <si>
    <t>https://cloud-solution.example.jp/ads/202604220018/04</t>
  </si>
  <si>
    <t>202604220019001</t>
  </si>
  <si>
    <t>https://omotesando-apparel.example.jp/ads/202604220019/01</t>
  </si>
  <si>
    <t>202604220019002</t>
  </si>
  <si>
    <t>https://travel-service.example.jp/ads/202604220019/02</t>
  </si>
  <si>
    <t>202604220019003</t>
  </si>
  <si>
    <t>https://cloud-solution.example.jp/ads/202604220019/03</t>
  </si>
  <si>
    <t>202604220019004</t>
  </si>
  <si>
    <t>https://home-design.example.jp/ads/202604220019/04</t>
  </si>
  <si>
    <t>202604230020001</t>
  </si>
  <si>
    <t>https://travel-service.example.jp/ads/202604230020/01</t>
  </si>
  <si>
    <t>202604230020002</t>
  </si>
  <si>
    <t>https://cloud-solution.example.jp/ads/202604230020/02</t>
  </si>
  <si>
    <t>202604230020003</t>
  </si>
  <si>
    <t>https://home-design.example.jp/ads/202604230020/03</t>
  </si>
  <si>
    <t>202604230020004</t>
  </si>
  <si>
    <t>https://healthcare-media.example.jp/ads/202604230020/04</t>
  </si>
  <si>
    <t>202604230021001</t>
  </si>
  <si>
    <t>https://cloud-solution.example.jp/ads/202604230021/01</t>
  </si>
  <si>
    <t>202604230021002</t>
  </si>
  <si>
    <t>https://home-design.example.jp/ads/202604230021/02</t>
  </si>
  <si>
    <t>202604230021003</t>
  </si>
  <si>
    <t>https://healthcare-media.example.jp/ads/202604230021/03</t>
  </si>
  <si>
    <t>202604230021004</t>
  </si>
  <si>
    <t>https://education-publishing.example.jp/ads/202604230021/04</t>
  </si>
  <si>
    <t>202604240022001</t>
  </si>
  <si>
    <t>https://home-design.example.jp/ads/202604240022/01</t>
  </si>
  <si>
    <t>202604240022002</t>
  </si>
  <si>
    <t>https://healthcare-media.example.jp/ads/202604240022/02</t>
  </si>
  <si>
    <t>202604240022003</t>
  </si>
  <si>
    <t>https://education-publishing.example.jp/ads/202604240022/03</t>
  </si>
  <si>
    <t>202604240022004</t>
  </si>
  <si>
    <t>https://aoyama-digital.example.jp/ads/202604240022/04</t>
  </si>
  <si>
    <t>202604240023001</t>
  </si>
  <si>
    <t>https://healthcare-media.example.jp/ads/202604240023/01</t>
  </si>
  <si>
    <t>202604240023002</t>
  </si>
  <si>
    <t>https://education-publishing.example.jp/ads/202604240023/02</t>
  </si>
  <si>
    <t>202604240023003</t>
  </si>
  <si>
    <t>https://aoyama-digital.example.jp/ads/202604240023/03</t>
  </si>
  <si>
    <t>202604240023004</t>
  </si>
  <si>
    <t>https://shibuya-lifestyle.example.jp/ads/202604240023/04</t>
  </si>
  <si>
    <t>202604240024001</t>
  </si>
  <si>
    <t>https://education-publishing.example.jp/ads/202604240024/01</t>
  </si>
  <si>
    <t>202604240024002</t>
  </si>
  <si>
    <t>https://aoyama-digital.example.jp/ads/202604240024/02</t>
  </si>
  <si>
    <t>202604240024003</t>
  </si>
  <si>
    <t>https://shibuya-lifestyle.example.jp/ads/202604240024/03</t>
  </si>
  <si>
    <t>202604240024004</t>
  </si>
  <si>
    <t>https://ginza-cosme.example.jp/ads/202604240024/04</t>
  </si>
  <si>
    <t>202604250025001</t>
  </si>
  <si>
    <t>https://aoyama-digital.example.jp/ads/202604250025/01</t>
  </si>
  <si>
    <t>202604250025002</t>
  </si>
  <si>
    <t>https://shibuya-lifestyle.example.jp/ads/202604250025/02</t>
  </si>
  <si>
    <t>202604250025003</t>
  </si>
  <si>
    <t>https://ginza-cosme.example.jp/ads/202604250025/03</t>
  </si>
  <si>
    <t>202604250025004</t>
  </si>
  <si>
    <t>https://fitness-lab.example.jp/ads/202604250025/04</t>
  </si>
  <si>
    <t>202604250026001</t>
  </si>
  <si>
    <t>https://shibuya-lifestyle.example.jp/ads/202604250026/01</t>
  </si>
  <si>
    <t>202604250026002</t>
  </si>
  <si>
    <t>https://ginza-cosme.example.jp/ads/202604250026/02</t>
  </si>
  <si>
    <t>202604250026003</t>
  </si>
  <si>
    <t>https://fitness-lab.example.jp/ads/202604250026/03</t>
  </si>
  <si>
    <t>202604250026004</t>
  </si>
  <si>
    <t>https://tokyo-foodlink.example.jp/ads/202604250026/04</t>
  </si>
  <si>
    <t>202604260027001</t>
  </si>
  <si>
    <t>https://ginza-cosme.example.jp/ads/202604260027/01</t>
  </si>
  <si>
    <t>202604260027002</t>
  </si>
  <si>
    <t>https://fitness-lab.example.jp/ads/202604260027/02</t>
  </si>
  <si>
    <t>202604260027003</t>
  </si>
  <si>
    <t>https://tokyo-foodlink.example.jp/ads/202604260027/03</t>
  </si>
  <si>
    <t>202604260027004</t>
  </si>
  <si>
    <t>https://business-school.example.jp/ads/202604260027/04</t>
  </si>
  <si>
    <t>202604260028001</t>
  </si>
  <si>
    <t>https://fitness-lab.example.jp/ads/202604260028/01</t>
  </si>
  <si>
    <t>202604260028002</t>
  </si>
  <si>
    <t>https://tokyo-foodlink.example.jp/ads/202604260028/02</t>
  </si>
  <si>
    <t>202604260028003</t>
  </si>
  <si>
    <t>https://business-school.example.jp/ads/202604260028/03</t>
  </si>
  <si>
    <t>202604260028004</t>
  </si>
  <si>
    <t>https://omotesando-apparel.example.jp/ads/202604260028/04</t>
  </si>
  <si>
    <t>202604270029001</t>
  </si>
  <si>
    <t>https://tokyo-foodlink.example.jp/ads/202604270029/01</t>
  </si>
  <si>
    <t>202604270029002</t>
  </si>
  <si>
    <t>https://business-school.example.jp/ads/202604270029/02</t>
  </si>
  <si>
    <t>202604270029003</t>
  </si>
  <si>
    <t>https://omotesando-apparel.example.jp/ads/202604270029/03</t>
  </si>
  <si>
    <t>202604270029004</t>
  </si>
  <si>
    <t>https://travel-service.example.jp/ads/202604270029/04</t>
  </si>
  <si>
    <t>202604270030001</t>
  </si>
  <si>
    <t>https://business-school.example.jp/ads/202604270030/01</t>
  </si>
  <si>
    <t>202604270030002</t>
  </si>
  <si>
    <t>https://omotesando-apparel.example.jp/ads/202604270030/02</t>
  </si>
  <si>
    <t>202604270030003</t>
  </si>
  <si>
    <t>https://travel-service.example.jp/ads/202604270030/03</t>
  </si>
  <si>
    <t>202604270030004</t>
  </si>
  <si>
    <t>https://cloud-solution.example.jp/ads/202604270030/04</t>
  </si>
  <si>
    <t>202604280031001</t>
  </si>
  <si>
    <t>https://omotesando-apparel.example.jp/ads/202604280031/01</t>
  </si>
  <si>
    <t>202604280031002</t>
  </si>
  <si>
    <t>https://travel-service.example.jp/ads/202604280031/02</t>
  </si>
  <si>
    <t>202604280031003</t>
  </si>
  <si>
    <t>https://cloud-solution.example.jp/ads/202604280031/03</t>
  </si>
  <si>
    <t>202604280031004</t>
  </si>
  <si>
    <t>https://home-design.example.jp/ads/202604280031/04</t>
  </si>
  <si>
    <t>202604280032001</t>
  </si>
  <si>
    <t>https://travel-service.example.jp/ads/202604280032/01</t>
  </si>
  <si>
    <t>202604280032002</t>
  </si>
  <si>
    <t>https://cloud-solution.example.jp/ads/202604280032/02</t>
  </si>
  <si>
    <t>202604280032003</t>
  </si>
  <si>
    <t>https://home-design.example.jp/ads/202604280032/03</t>
  </si>
  <si>
    <t>202604280032004</t>
  </si>
  <si>
    <t>https://healthcare-media.example.jp/ads/202604280032/04</t>
  </si>
  <si>
    <t>202604290033001</t>
  </si>
  <si>
    <t>https://cloud-solution.example.jp/ads/202604290033/01</t>
  </si>
  <si>
    <t>202604290033002</t>
  </si>
  <si>
    <t>https://home-design.example.jp/ads/202604290033/02</t>
  </si>
  <si>
    <t>202604290033003</t>
  </si>
  <si>
    <t>https://healthcare-media.example.jp/ads/202604290033/03</t>
  </si>
  <si>
    <t>202604290033004</t>
  </si>
  <si>
    <t>https://education-publishing.example.jp/ads/202604290033/04</t>
  </si>
  <si>
    <t>202604290034001</t>
  </si>
  <si>
    <t>https://home-design.example.jp/ads/202604290034/01</t>
  </si>
  <si>
    <t>202604290034002</t>
  </si>
  <si>
    <t>https://healthcare-media.example.jp/ads/202604290034/02</t>
  </si>
  <si>
    <t>202604290034003</t>
  </si>
  <si>
    <t>https://education-publishing.example.jp/ads/202604290034/03</t>
  </si>
  <si>
    <t>202604290034004</t>
  </si>
  <si>
    <t>https://aoyama-digital.example.jp/ads/202604290034/04</t>
  </si>
  <si>
    <t>202604290035001</t>
  </si>
  <si>
    <t>https://healthcare-media.example.jp/ads/202604290035/01</t>
  </si>
  <si>
    <t>202604290035002</t>
  </si>
  <si>
    <t>https://education-publishing.example.jp/ads/202604290035/02</t>
  </si>
  <si>
    <t>202604290035003</t>
  </si>
  <si>
    <t>https://aoyama-digital.example.jp/ads/202604290035/03</t>
  </si>
  <si>
    <t>202604290035004</t>
  </si>
  <si>
    <t>https://shibuya-lifestyle.example.jp/ads/202604290035/04</t>
  </si>
  <si>
    <t>202604300036001</t>
  </si>
  <si>
    <t>https://education-publishing.example.jp/ads/202604300036/01</t>
  </si>
  <si>
    <t>202604300036002</t>
  </si>
  <si>
    <t>https://aoyama-digital.example.jp/ads/202604300036/02</t>
  </si>
  <si>
    <t>202604300036003</t>
  </si>
  <si>
    <t>https://shibuya-lifestyle.example.jp/ads/202604300036/03</t>
  </si>
  <si>
    <t>202604300036004</t>
  </si>
  <si>
    <t>https://ginza-cosme.example.jp/ads/202604300036/04</t>
  </si>
  <si>
    <t>202604300037001</t>
  </si>
  <si>
    <t>https://aoyama-digital.example.jp/ads/202604300037/01</t>
  </si>
  <si>
    <t>202604300037002</t>
  </si>
  <si>
    <t>https://shibuya-lifestyle.example.jp/ads/202604300037/02</t>
  </si>
  <si>
    <t>202604300037003</t>
  </si>
  <si>
    <t>https://ginza-cosme.example.jp/ads/202604300037/03</t>
  </si>
  <si>
    <t>202604300037004</t>
  </si>
  <si>
    <t>https://fitness-lab.example.jp/ads/202604300037/04</t>
  </si>
  <si>
    <t>202605010001001</t>
  </si>
  <si>
    <t>https://shibuya-lifestyle.example.jp/ads/202605010001/01</t>
  </si>
  <si>
    <t>202605010001002</t>
  </si>
  <si>
    <t>https://ginza-cosme.example.jp/ads/202605010001/02</t>
  </si>
  <si>
    <t>202605010001003</t>
  </si>
  <si>
    <t>https://fitness-lab.example.jp/ads/202605010001/03</t>
  </si>
  <si>
    <t>202605010001004</t>
  </si>
  <si>
    <t>https://tokyo-foodlink.example.jp/ads/202605010001/04</t>
  </si>
  <si>
    <t>202605010002001</t>
  </si>
  <si>
    <t>https://ginza-cosme.example.jp/ads/202605010002/01</t>
  </si>
  <si>
    <t>202605010002002</t>
  </si>
  <si>
    <t>https://fitness-lab.example.jp/ads/202605010002/02</t>
  </si>
  <si>
    <t>202605010002003</t>
  </si>
  <si>
    <t>https://tokyo-foodlink.example.jp/ads/202605010002/03</t>
  </si>
  <si>
    <t>202605010002004</t>
  </si>
  <si>
    <t>https://business-school.example.jp/ads/202605010002/04</t>
  </si>
  <si>
    <t>202605020003001</t>
  </si>
  <si>
    <t>https://fitness-lab.example.jp/ads/202605020003/01</t>
  </si>
  <si>
    <t>202605020003002</t>
  </si>
  <si>
    <t>https://tokyo-foodlink.example.jp/ads/202605020003/02</t>
  </si>
  <si>
    <t>202605020003003</t>
  </si>
  <si>
    <t>https://business-school.example.jp/ads/202605020003/03</t>
  </si>
  <si>
    <t>202605020003004</t>
  </si>
  <si>
    <t>https://omotesando-apparel.example.jp/ads/202605020003/04</t>
  </si>
  <si>
    <t>202605020004001</t>
  </si>
  <si>
    <t>https://tokyo-foodlink.example.jp/ads/202605020004/01</t>
  </si>
  <si>
    <t>202605020004002</t>
  </si>
  <si>
    <t>https://business-school.example.jp/ads/202605020004/02</t>
  </si>
  <si>
    <t>202605020004003</t>
  </si>
  <si>
    <t>https://omotesando-apparel.example.jp/ads/202605020004/03</t>
  </si>
  <si>
    <t>202605020004004</t>
  </si>
  <si>
    <t>https://travel-service.example.jp/ads/202605020004/04</t>
  </si>
  <si>
    <t>202605030005001</t>
  </si>
  <si>
    <t>https://business-school.example.jp/ads/202605030005/01</t>
  </si>
  <si>
    <t>202605030005002</t>
  </si>
  <si>
    <t>https://omotesando-apparel.example.jp/ads/202605030005/02</t>
  </si>
  <si>
    <t>202605030005003</t>
  </si>
  <si>
    <t>https://travel-service.example.jp/ads/202605030005/03</t>
  </si>
  <si>
    <t>202605030005004</t>
  </si>
  <si>
    <t>https://cloud-solution.example.jp/ads/202605030005/04</t>
  </si>
  <si>
    <t>202605030006001</t>
  </si>
  <si>
    <t>https://omotesando-apparel.example.jp/ads/202605030006/01</t>
  </si>
  <si>
    <t>202605030006002</t>
  </si>
  <si>
    <t>https://travel-service.example.jp/ads/202605030006/02</t>
  </si>
  <si>
    <t>202605030006003</t>
  </si>
  <si>
    <t>https://cloud-solution.example.jp/ads/202605030006/03</t>
  </si>
  <si>
    <t>202605030006004</t>
  </si>
  <si>
    <t>https://home-design.example.jp/ads/202605030006/04</t>
  </si>
  <si>
    <t>202605040007001</t>
  </si>
  <si>
    <t>https://travel-service.example.jp/ads/202605040007/01</t>
  </si>
  <si>
    <t>202605040007002</t>
  </si>
  <si>
    <t>https://cloud-solution.example.jp/ads/202605040007/02</t>
  </si>
  <si>
    <t>202605040007003</t>
  </si>
  <si>
    <t>https://home-design.example.jp/ads/202605040007/03</t>
  </si>
  <si>
    <t>202605040007004</t>
  </si>
  <si>
    <t>https://healthcare-media.example.jp/ads/202605040007/04</t>
  </si>
  <si>
    <t>202605040008001</t>
  </si>
  <si>
    <t>https://cloud-solution.example.jp/ads/202605040008/01</t>
  </si>
  <si>
    <t>202605040008002</t>
  </si>
  <si>
    <t>https://home-design.example.jp/ads/202605040008/02</t>
  </si>
  <si>
    <t>202605040008003</t>
  </si>
  <si>
    <t>https://healthcare-media.example.jp/ads/202605040008/03</t>
  </si>
  <si>
    <t>202605040008004</t>
  </si>
  <si>
    <t>https://education-publishing.example.jp/ads/202605040008/04</t>
  </si>
  <si>
    <t>202605050009001</t>
  </si>
  <si>
    <t>https://home-design.example.jp/ads/202605050009/01</t>
  </si>
  <si>
    <t>202605050009002</t>
  </si>
  <si>
    <t>https://healthcare-media.example.jp/ads/202605050009/02</t>
  </si>
  <si>
    <t>202605050009003</t>
  </si>
  <si>
    <t>https://education-publishing.example.jp/ads/202605050009/03</t>
  </si>
  <si>
    <t>202605050009004</t>
  </si>
  <si>
    <t>https://aoyama-digital.example.jp/ads/202605050009/04</t>
  </si>
  <si>
    <t>202605050010001</t>
  </si>
  <si>
    <t>https://healthcare-media.example.jp/ads/202605050010/01</t>
  </si>
  <si>
    <t>202605050010002</t>
  </si>
  <si>
    <t>https://education-publishing.example.jp/ads/202605050010/02</t>
  </si>
  <si>
    <t>202605050010003</t>
  </si>
  <si>
    <t>https://aoyama-digital.example.jp/ads/202605050010/03</t>
  </si>
  <si>
    <t>202605050010004</t>
  </si>
  <si>
    <t>https://shibuya-lifestyle.example.jp/ads/202605050010/04</t>
  </si>
  <si>
    <t>202605050011001</t>
  </si>
  <si>
    <t>https://education-publishing.example.jp/ads/202605050011/01</t>
  </si>
  <si>
    <t>202605050011002</t>
  </si>
  <si>
    <t>https://aoyama-digital.example.jp/ads/202605050011/02</t>
  </si>
  <si>
    <t>202605050011003</t>
  </si>
  <si>
    <t>https://shibuya-lifestyle.example.jp/ads/202605050011/03</t>
  </si>
  <si>
    <t>202605050011004</t>
  </si>
  <si>
    <t>https://ginza-cosme.example.jp/ads/202605050011/04</t>
  </si>
  <si>
    <t>202605060012001</t>
  </si>
  <si>
    <t>https://aoyama-digital.example.jp/ads/202605060012/01</t>
  </si>
  <si>
    <t>202605060012002</t>
  </si>
  <si>
    <t>https://shibuya-lifestyle.example.jp/ads/202605060012/02</t>
  </si>
  <si>
    <t>202605060012003</t>
  </si>
  <si>
    <t>https://ginza-cosme.example.jp/ads/202605060012/03</t>
  </si>
  <si>
    <t>202605060012004</t>
  </si>
  <si>
    <t>https://fitness-lab.example.jp/ads/202605060012/04</t>
  </si>
  <si>
    <t>202605060013001</t>
  </si>
  <si>
    <t>https://shibuya-lifestyle.example.jp/ads/202605060013/01</t>
  </si>
  <si>
    <t>202605060013002</t>
  </si>
  <si>
    <t>https://ginza-cosme.example.jp/ads/202605060013/02</t>
  </si>
  <si>
    <t>202605060013003</t>
  </si>
  <si>
    <t>https://fitness-lab.example.jp/ads/202605060013/03</t>
  </si>
  <si>
    <t>202605060013004</t>
  </si>
  <si>
    <t>https://tokyo-foodlink.example.jp/ads/202605060013/04</t>
  </si>
  <si>
    <t>202605070014001</t>
  </si>
  <si>
    <t>https://ginza-cosme.example.jp/ads/202605070014/01</t>
  </si>
  <si>
    <t>202605070014002</t>
  </si>
  <si>
    <t>https://fitness-lab.example.jp/ads/202605070014/02</t>
  </si>
  <si>
    <t>202605070014003</t>
  </si>
  <si>
    <t>https://tokyo-foodlink.example.jp/ads/202605070014/03</t>
  </si>
  <si>
    <t>202605070014004</t>
  </si>
  <si>
    <t>https://business-school.example.jp/ads/202605070014/04</t>
  </si>
  <si>
    <t>202605070015001</t>
  </si>
  <si>
    <t>https://fitness-lab.example.jp/ads/202605070015/01</t>
  </si>
  <si>
    <t>202605070015002</t>
  </si>
  <si>
    <t>https://tokyo-foodlink.example.jp/ads/202605070015/02</t>
  </si>
  <si>
    <t>202605070015003</t>
  </si>
  <si>
    <t>https://business-school.example.jp/ads/202605070015/03</t>
  </si>
  <si>
    <t>202605070015004</t>
  </si>
  <si>
    <t>https://omotesando-apparel.example.jp/ads/202605070015/04</t>
  </si>
  <si>
    <t>202605080016001</t>
  </si>
  <si>
    <t>https://tokyo-foodlink.example.jp/ads/202605080016/01</t>
  </si>
  <si>
    <t>202605080016002</t>
  </si>
  <si>
    <t>https://business-school.example.jp/ads/202605080016/02</t>
  </si>
  <si>
    <t>202605080016003</t>
  </si>
  <si>
    <t>https://omotesando-apparel.example.jp/ads/202605080016/03</t>
  </si>
  <si>
    <t>202605080016004</t>
  </si>
  <si>
    <t>https://travel-service.example.jp/ads/202605080016/04</t>
  </si>
  <si>
    <t>202605080017001</t>
  </si>
  <si>
    <t>https://business-school.example.jp/ads/202605080017/01</t>
  </si>
  <si>
    <t>202605080017002</t>
  </si>
  <si>
    <t>https://omotesando-apparel.example.jp/ads/202605080017/02</t>
  </si>
  <si>
    <t>202605080017003</t>
  </si>
  <si>
    <t>https://travel-service.example.jp/ads/202605080017/03</t>
  </si>
  <si>
    <t>202605080017004</t>
  </si>
  <si>
    <t>https://cloud-solution.example.jp/ads/202605080017/04</t>
  </si>
  <si>
    <t>202605090018001</t>
  </si>
  <si>
    <t>https://omotesando-apparel.example.jp/ads/202605090018/01</t>
  </si>
  <si>
    <t>202605090018002</t>
  </si>
  <si>
    <t>https://travel-service.example.jp/ads/202605090018/02</t>
  </si>
  <si>
    <t>202605090018003</t>
  </si>
  <si>
    <t>https://cloud-solution.example.jp/ads/202605090018/03</t>
  </si>
  <si>
    <t>202605090018004</t>
  </si>
  <si>
    <t>https://home-design.example.jp/ads/202605090018/04</t>
  </si>
  <si>
    <t>202605090019001</t>
  </si>
  <si>
    <t>https://travel-service.example.jp/ads/202605090019/01</t>
  </si>
  <si>
    <t>202605090019002</t>
  </si>
  <si>
    <t>https://cloud-solution.example.jp/ads/202605090019/02</t>
  </si>
  <si>
    <t>202605090019003</t>
  </si>
  <si>
    <t>https://home-design.example.jp/ads/202605090019/03</t>
  </si>
  <si>
    <t>202605090019004</t>
  </si>
  <si>
    <t>https://healthcare-media.example.jp/ads/202605090019/04</t>
  </si>
  <si>
    <t>202605100020001</t>
  </si>
  <si>
    <t>https://cloud-solution.example.jp/ads/202605100020/01</t>
  </si>
  <si>
    <t>202605100020002</t>
  </si>
  <si>
    <t>https://home-design.example.jp/ads/202605100020/02</t>
  </si>
  <si>
    <t>202605100020003</t>
  </si>
  <si>
    <t>https://healthcare-media.example.jp/ads/202605100020/03</t>
  </si>
  <si>
    <t>202605100020004</t>
  </si>
  <si>
    <t>https://education-publishing.example.jp/ads/202605100020/04</t>
  </si>
  <si>
    <t>202605100021001</t>
  </si>
  <si>
    <t>https://home-design.example.jp/ads/202605100021/01</t>
  </si>
  <si>
    <t>202605100021002</t>
  </si>
  <si>
    <t>https://healthcare-media.example.jp/ads/202605100021/02</t>
  </si>
  <si>
    <t>202605100021003</t>
  </si>
  <si>
    <t>https://education-publishing.example.jp/ads/202605100021/03</t>
  </si>
  <si>
    <t>202605100021004</t>
  </si>
  <si>
    <t>https://aoyama-digital.example.jp/ads/202605100021/04</t>
  </si>
  <si>
    <t>202605100022001</t>
  </si>
  <si>
    <t>https://healthcare-media.example.jp/ads/202605100022/01</t>
  </si>
  <si>
    <t>202605100022002</t>
  </si>
  <si>
    <t>https://education-publishing.example.jp/ads/202605100022/02</t>
  </si>
  <si>
    <t>202605100022003</t>
  </si>
  <si>
    <t>https://aoyama-digital.example.jp/ads/202605100022/03</t>
  </si>
  <si>
    <t>202605100022004</t>
  </si>
  <si>
    <t>https://shibuya-lifestyle.example.jp/ads/202605100022/04</t>
  </si>
  <si>
    <t>202605110023001</t>
  </si>
  <si>
    <t>https://education-publishing.example.jp/ads/202605110023/01</t>
  </si>
  <si>
    <t>202605110023002</t>
  </si>
  <si>
    <t>https://aoyama-digital.example.jp/ads/202605110023/02</t>
  </si>
  <si>
    <t>202605110023003</t>
  </si>
  <si>
    <t>https://shibuya-lifestyle.example.jp/ads/202605110023/03</t>
  </si>
  <si>
    <t>202605110023004</t>
  </si>
  <si>
    <t>https://ginza-cosme.example.jp/ads/202605110023/04</t>
  </si>
  <si>
    <t>202605110024001</t>
  </si>
  <si>
    <t>https://aoyama-digital.example.jp/ads/202605110024/01</t>
  </si>
  <si>
    <t>202605110024002</t>
  </si>
  <si>
    <t>https://shibuya-lifestyle.example.jp/ads/202605110024/02</t>
  </si>
  <si>
    <t>202605110024003</t>
  </si>
  <si>
    <t>https://ginza-cosme.example.jp/ads/202605110024/03</t>
  </si>
  <si>
    <t>202605110024004</t>
  </si>
  <si>
    <t>https://fitness-lab.example.jp/ads/202605110024/04</t>
  </si>
  <si>
    <t>202605120025001</t>
  </si>
  <si>
    <t>https://shibuya-lifestyle.example.jp/ads/202605120025/01</t>
  </si>
  <si>
    <t>202605120025002</t>
  </si>
  <si>
    <t>https://ginza-cosme.example.jp/ads/202605120025/02</t>
  </si>
  <si>
    <t>202605120025003</t>
  </si>
  <si>
    <t>https://fitness-lab.example.jp/ads/202605120025/03</t>
  </si>
  <si>
    <t>202605120025004</t>
  </si>
  <si>
    <t>https://tokyo-foodlink.example.jp/ads/202605120025/04</t>
  </si>
  <si>
    <t>202605120026001</t>
  </si>
  <si>
    <t>https://ginza-cosme.example.jp/ads/202605120026/01</t>
  </si>
  <si>
    <t>202605120026002</t>
  </si>
  <si>
    <t>https://fitness-lab.example.jp/ads/202605120026/02</t>
  </si>
  <si>
    <t>202605120026003</t>
  </si>
  <si>
    <t>https://tokyo-foodlink.example.jp/ads/202605120026/03</t>
  </si>
  <si>
    <t>202605120026004</t>
  </si>
  <si>
    <t>https://business-school.example.jp/ads/202605120026/04</t>
  </si>
  <si>
    <t>202605130027001</t>
  </si>
  <si>
    <t>https://fitness-lab.example.jp/ads/202605130027/01</t>
  </si>
  <si>
    <t>202605130027002</t>
  </si>
  <si>
    <t>https://tokyo-foodlink.example.jp/ads/202605130027/02</t>
  </si>
  <si>
    <t>202605130027003</t>
  </si>
  <si>
    <t>https://business-school.example.jp/ads/202605130027/03</t>
  </si>
  <si>
    <t>202605130027004</t>
  </si>
  <si>
    <t>https://omotesando-apparel.example.jp/ads/202605130027/04</t>
  </si>
  <si>
    <t>202605130028001</t>
  </si>
  <si>
    <t>https://tokyo-foodlink.example.jp/ads/202605130028/01</t>
  </si>
  <si>
    <t>202605130028002</t>
  </si>
  <si>
    <t>https://business-school.example.jp/ads/202605130028/02</t>
  </si>
  <si>
    <t>202605130028003</t>
  </si>
  <si>
    <t>https://omotesando-apparel.example.jp/ads/202605130028/03</t>
  </si>
  <si>
    <t>202605130028004</t>
  </si>
  <si>
    <t>https://travel-service.example.jp/ads/202605130028/04</t>
  </si>
  <si>
    <t>202605140029001</t>
  </si>
  <si>
    <t>https://business-school.example.jp/ads/202605140029/01</t>
  </si>
  <si>
    <t>202605140029002</t>
  </si>
  <si>
    <t>https://omotesando-apparel.example.jp/ads/202605140029/02</t>
  </si>
  <si>
    <t>202605140029003</t>
  </si>
  <si>
    <t>https://travel-service.example.jp/ads/202605140029/03</t>
  </si>
  <si>
    <t>202605140029004</t>
  </si>
  <si>
    <t>https://cloud-solution.example.jp/ads/202605140029/04</t>
  </si>
  <si>
    <t>202605140030001</t>
  </si>
  <si>
    <t>https://omotesando-apparel.example.jp/ads/202605140030/01</t>
  </si>
  <si>
    <t>202605140030002</t>
  </si>
  <si>
    <t>https://travel-service.example.jp/ads/202605140030/02</t>
  </si>
  <si>
    <t>202605140030003</t>
  </si>
  <si>
    <t>https://cloud-solution.example.jp/ads/202605140030/03</t>
  </si>
  <si>
    <t>202605140030004</t>
  </si>
  <si>
    <t>https://home-design.example.jp/ads/202605140030/04</t>
  </si>
  <si>
    <t>202605150031001</t>
  </si>
  <si>
    <t>https://travel-service.example.jp/ads/202605150031/01</t>
  </si>
  <si>
    <t>202605150031002</t>
  </si>
  <si>
    <t>https://cloud-solution.example.jp/ads/202605150031/02</t>
  </si>
  <si>
    <t>202605150031003</t>
  </si>
  <si>
    <t>https://home-design.example.jp/ads/202605150031/03</t>
  </si>
  <si>
    <t>202605150031004</t>
  </si>
  <si>
    <t>https://healthcare-media.example.jp/ads/202605150031/04</t>
  </si>
  <si>
    <t>202605150032001</t>
  </si>
  <si>
    <t>https://cloud-solution.example.jp/ads/202605150032/01</t>
  </si>
  <si>
    <t>202605150032002</t>
  </si>
  <si>
    <t>https://home-design.example.jp/ads/202605150032/02</t>
  </si>
  <si>
    <t>202605150032003</t>
  </si>
  <si>
    <t>https://healthcare-media.example.jp/ads/202605150032/03</t>
  </si>
  <si>
    <t>202605150032004</t>
  </si>
  <si>
    <t>https://education-publishing.example.jp/ads/202605150032/04</t>
  </si>
  <si>
    <t>202605160033001</t>
  </si>
  <si>
    <t>https://home-design.example.jp/ads/202605160033/01</t>
  </si>
  <si>
    <t>202605160033002</t>
  </si>
  <si>
    <t>https://healthcare-media.example.jp/ads/202605160033/02</t>
  </si>
  <si>
    <t>202605160033003</t>
  </si>
  <si>
    <t>https://education-publishing.example.jp/ads/202605160033/03</t>
  </si>
  <si>
    <t>202605160033004</t>
  </si>
  <si>
    <t>https://aoyama-digital.example.jp/ads/202605160033/04</t>
  </si>
  <si>
    <t>202605160034001</t>
  </si>
  <si>
    <t>https://healthcare-media.example.jp/ads/202605160034/01</t>
  </si>
  <si>
    <t>202605160034002</t>
  </si>
  <si>
    <t>https://education-publishing.example.jp/ads/202605160034/02</t>
  </si>
  <si>
    <t>202605160034003</t>
  </si>
  <si>
    <t>https://aoyama-digital.example.jp/ads/202605160034/03</t>
  </si>
  <si>
    <t>202605160034004</t>
  </si>
  <si>
    <t>https://shibuya-lifestyle.example.jp/ads/202605160034/04</t>
  </si>
  <si>
    <t>202605160035001</t>
  </si>
  <si>
    <t>https://education-publishing.example.jp/ads/202605160035/01</t>
  </si>
  <si>
    <t>202605160035002</t>
  </si>
  <si>
    <t>https://aoyama-digital.example.jp/ads/202605160035/02</t>
  </si>
  <si>
    <t>202605160035003</t>
  </si>
  <si>
    <t>https://shibuya-lifestyle.example.jp/ads/202605160035/03</t>
  </si>
  <si>
    <t>202605160035004</t>
  </si>
  <si>
    <t>https://ginza-cosme.example.jp/ads/202605160035/04</t>
  </si>
  <si>
    <t>202605170036001</t>
  </si>
  <si>
    <t>https://aoyama-digital.example.jp/ads/202605170036/01</t>
  </si>
  <si>
    <t>202605170036002</t>
  </si>
  <si>
    <t>https://shibuya-lifestyle.example.jp/ads/202605170036/02</t>
  </si>
  <si>
    <t>202605170036003</t>
  </si>
  <si>
    <t>https://ginza-cosme.example.jp/ads/202605170036/03</t>
  </si>
  <si>
    <t>202605170036004</t>
  </si>
  <si>
    <t>https://fitness-lab.example.jp/ads/202605170036/04</t>
  </si>
  <si>
    <t>202605170037001</t>
  </si>
  <si>
    <t>https://shibuya-lifestyle.example.jp/ads/202605170037/01</t>
  </si>
  <si>
    <t>202605170037002</t>
  </si>
  <si>
    <t>https://ginza-cosme.example.jp/ads/202605170037/02</t>
  </si>
  <si>
    <t>202605170037003</t>
  </si>
  <si>
    <t>https://fitness-lab.example.jp/ads/202605170037/03</t>
  </si>
  <si>
    <t>202605170037004</t>
  </si>
  <si>
    <t>https://tokyo-foodlink.example.jp/ads/202605170037/04</t>
  </si>
  <si>
    <t>202605180038001</t>
  </si>
  <si>
    <t>https://ginza-cosme.example.jp/ads/202605180038/01</t>
  </si>
  <si>
    <t>202605180038002</t>
  </si>
  <si>
    <t>https://fitness-lab.example.jp/ads/202605180038/02</t>
  </si>
  <si>
    <t>202605180038003</t>
  </si>
  <si>
    <t>https://tokyo-foodlink.example.jp/ads/202605180038/03</t>
  </si>
  <si>
    <t>202605180038004</t>
  </si>
  <si>
    <t>https://business-school.example.jp/ads/202605180038/04</t>
  </si>
  <si>
    <t>202605180039001</t>
  </si>
  <si>
    <t>https://fitness-lab.example.jp/ads/202605180039/01</t>
  </si>
  <si>
    <t>202605180039002</t>
  </si>
  <si>
    <t>https://tokyo-foodlink.example.jp/ads/202605180039/02</t>
  </si>
  <si>
    <t>202605180039003</t>
  </si>
  <si>
    <t>https://business-school.example.jp/ads/202605180039/03</t>
  </si>
  <si>
    <t>202605180039004</t>
  </si>
  <si>
    <t>https://omotesando-apparel.example.jp/ads/202605180039/04</t>
  </si>
  <si>
    <t>202605190040001</t>
  </si>
  <si>
    <t>https://tokyo-foodlink.example.jp/ads/202605190040/01</t>
  </si>
  <si>
    <t>202605190040002</t>
  </si>
  <si>
    <t>https://business-school.example.jp/ads/202605190040/02</t>
  </si>
  <si>
    <t>202605190040003</t>
  </si>
  <si>
    <t>https://omotesando-apparel.example.jp/ads/202605190040/03</t>
  </si>
  <si>
    <t>202605190040004</t>
  </si>
  <si>
    <t>https://travel-service.example.jp/ads/202605190040/04</t>
  </si>
  <si>
    <t>202605190041001</t>
  </si>
  <si>
    <t>https://business-school.example.jp/ads/202605190041/01</t>
  </si>
  <si>
    <t>202605190041002</t>
  </si>
  <si>
    <t>https://omotesando-apparel.example.jp/ads/202605190041/02</t>
  </si>
  <si>
    <t>202605190041003</t>
  </si>
  <si>
    <t>https://travel-service.example.jp/ads/202605190041/03</t>
  </si>
  <si>
    <t>202605190041004</t>
  </si>
  <si>
    <t>https://cloud-solution.example.jp/ads/202605190041/04</t>
  </si>
  <si>
    <t>202605200042001</t>
  </si>
  <si>
    <t>https://omotesando-apparel.example.jp/ads/202605200042/01</t>
  </si>
  <si>
    <t>202605200042002</t>
  </si>
  <si>
    <t>https://travel-service.example.jp/ads/202605200042/02</t>
  </si>
  <si>
    <t>202605200042003</t>
  </si>
  <si>
    <t>https://cloud-solution.example.jp/ads/202605200042/03</t>
  </si>
  <si>
    <t>202605200042004</t>
  </si>
  <si>
    <t>https://home-design.example.jp/ads/202605200042/04</t>
  </si>
  <si>
    <t>202605200043001</t>
  </si>
  <si>
    <t>https://travel-service.example.jp/ads/202605200043/01</t>
  </si>
  <si>
    <t>202605200043002</t>
  </si>
  <si>
    <t>https://cloud-solution.example.jp/ads/202605200043/02</t>
  </si>
  <si>
    <t>202605200043003</t>
  </si>
  <si>
    <t>https://home-design.example.jp/ads/202605200043/03</t>
  </si>
  <si>
    <t>202605200043004</t>
  </si>
  <si>
    <t>https://healthcare-media.example.jp/ads/202605200043/04</t>
  </si>
  <si>
    <t>202605210044001</t>
  </si>
  <si>
    <t>https://cloud-solution.example.jp/ads/202605210044/01</t>
  </si>
  <si>
    <t>202605210044002</t>
  </si>
  <si>
    <t>https://home-design.example.jp/ads/202605210044/02</t>
  </si>
  <si>
    <t>202605210044003</t>
  </si>
  <si>
    <t>https://healthcare-media.example.jp/ads/202605210044/03</t>
  </si>
  <si>
    <t>202605210044004</t>
  </si>
  <si>
    <t>https://education-publishing.example.jp/ads/202605210044/04</t>
  </si>
  <si>
    <t>202605210045001</t>
  </si>
  <si>
    <t>https://home-design.example.jp/ads/202605210045/01</t>
  </si>
  <si>
    <t>202605210045002</t>
  </si>
  <si>
    <t>https://healthcare-media.example.jp/ads/202605210045/02</t>
  </si>
  <si>
    <t>202605210045003</t>
  </si>
  <si>
    <t>https://education-publishing.example.jp/ads/202605210045/03</t>
  </si>
  <si>
    <t>202605210045004</t>
  </si>
  <si>
    <t>https://aoyama-digital.example.jp/ads/202605210045/04</t>
  </si>
  <si>
    <t>202605210046001</t>
  </si>
  <si>
    <t>https://healthcare-media.example.jp/ads/202605210046/01</t>
  </si>
  <si>
    <t>202605210046002</t>
  </si>
  <si>
    <t>https://education-publishing.example.jp/ads/202605210046/02</t>
  </si>
  <si>
    <t>202605210046003</t>
  </si>
  <si>
    <t>https://aoyama-digital.example.jp/ads/202605210046/03</t>
  </si>
  <si>
    <t>202605210046004</t>
  </si>
  <si>
    <t>https://shibuya-lifestyle.example.jp/ads/202605210046/04</t>
  </si>
  <si>
    <t>202605220047001</t>
  </si>
  <si>
    <t>https://education-publishing.example.jp/ads/202605220047/01</t>
  </si>
  <si>
    <t>202605220047002</t>
  </si>
  <si>
    <t>https://aoyama-digital.example.jp/ads/202605220047/02</t>
  </si>
  <si>
    <t>202605220047003</t>
  </si>
  <si>
    <t>https://shibuya-lifestyle.example.jp/ads/202605220047/03</t>
  </si>
  <si>
    <t>202605220047004</t>
  </si>
  <si>
    <t>https://ginza-cosme.example.jp/ads/202605220047/04</t>
  </si>
  <si>
    <t>202605220048001</t>
  </si>
  <si>
    <t>https://aoyama-digital.example.jp/ads/202605220048/01</t>
  </si>
  <si>
    <t>202605220048002</t>
  </si>
  <si>
    <t>https://shibuya-lifestyle.example.jp/ads/202605220048/02</t>
  </si>
  <si>
    <t>202605220048003</t>
  </si>
  <si>
    <t>https://ginza-cosme.example.jp/ads/202605220048/03</t>
  </si>
  <si>
    <t>202605220048004</t>
  </si>
  <si>
    <t>https://fitness-lab.example.jp/ads/202605220048/04</t>
  </si>
  <si>
    <t>202605230049001</t>
  </si>
  <si>
    <t>https://shibuya-lifestyle.example.jp/ads/202605230049/01</t>
  </si>
  <si>
    <t>202605230049002</t>
  </si>
  <si>
    <t>https://ginza-cosme.example.jp/ads/202605230049/02</t>
  </si>
  <si>
    <t>202605230049003</t>
  </si>
  <si>
    <t>https://fitness-lab.example.jp/ads/202605230049/03</t>
  </si>
  <si>
    <t>202605230049004</t>
  </si>
  <si>
    <t>https://tokyo-foodlink.example.jp/ads/202605230049/04</t>
  </si>
  <si>
    <t>202605230050001</t>
  </si>
  <si>
    <t>https://ginza-cosme.example.jp/ads/202605230050/01</t>
  </si>
  <si>
    <t>202605230050002</t>
  </si>
  <si>
    <t>https://fitness-lab.example.jp/ads/202605230050/02</t>
  </si>
  <si>
    <t>202605230050003</t>
  </si>
  <si>
    <t>https://tokyo-foodlink.example.jp/ads/202605230050/03</t>
  </si>
  <si>
    <t>202605230050004</t>
  </si>
  <si>
    <t>https://business-school.example.jp/ads/202605230050/04</t>
  </si>
  <si>
    <t>202605240051001</t>
  </si>
  <si>
    <t>https://fitness-lab.example.jp/ads/202605240051/01</t>
  </si>
  <si>
    <t>202605240051002</t>
  </si>
  <si>
    <t>https://tokyo-foodlink.example.jp/ads/202605240051/02</t>
  </si>
  <si>
    <t>202605240051003</t>
  </si>
  <si>
    <t>https://business-school.example.jp/ads/202605240051/03</t>
  </si>
  <si>
    <t>202605240051004</t>
  </si>
  <si>
    <t>https://omotesando-apparel.example.jp/ads/202605240051/04</t>
  </si>
  <si>
    <t>202605240052001</t>
  </si>
  <si>
    <t>https://tokyo-foodlink.example.jp/ads/202605240052/01</t>
  </si>
  <si>
    <t>202605240052002</t>
  </si>
  <si>
    <t>https://business-school.example.jp/ads/202605240052/02</t>
  </si>
  <si>
    <t>202605240052003</t>
  </si>
  <si>
    <t>https://omotesando-apparel.example.jp/ads/202605240052/03</t>
  </si>
  <si>
    <t>202605240052004</t>
  </si>
  <si>
    <t>https://travel-service.example.jp/ads/202605240052/04</t>
  </si>
  <si>
    <t>202605250053001</t>
  </si>
  <si>
    <t>https://business-school.example.jp/ads/202605250053/01</t>
  </si>
  <si>
    <t>202605250053002</t>
  </si>
  <si>
    <t>https://omotesando-apparel.example.jp/ads/202605250053/02</t>
  </si>
  <si>
    <t>202605250053003</t>
  </si>
  <si>
    <t>https://travel-service.example.jp/ads/202605250053/03</t>
  </si>
  <si>
    <t>202605250053004</t>
  </si>
  <si>
    <t>https://cloud-solution.example.jp/ads/202605250053/04</t>
  </si>
  <si>
    <t>202605250054001</t>
  </si>
  <si>
    <t>https://omotesando-apparel.example.jp/ads/202605250054/01</t>
  </si>
  <si>
    <t>202605250054002</t>
  </si>
  <si>
    <t>https://travel-service.example.jp/ads/202605250054/02</t>
  </si>
  <si>
    <t>202605250054003</t>
  </si>
  <si>
    <t>https://cloud-solution.example.jp/ads/202605250054/03</t>
  </si>
  <si>
    <t>202605250054004</t>
  </si>
  <si>
    <t>https://home-design.example.jp/ads/202605250054/04</t>
  </si>
  <si>
    <t>202605260055001</t>
  </si>
  <si>
    <t>https://travel-service.example.jp/ads/202605260055/01</t>
  </si>
  <si>
    <t>202605260055002</t>
  </si>
  <si>
    <t>https://cloud-solution.example.jp/ads/202605260055/02</t>
  </si>
  <si>
    <t>202605260055003</t>
  </si>
  <si>
    <t>https://home-design.example.jp/ads/202605260055/03</t>
  </si>
  <si>
    <t>202605260055004</t>
  </si>
  <si>
    <t>https://healthcare-media.example.jp/ads/202605260055/04</t>
  </si>
  <si>
    <t>202605260056001</t>
  </si>
  <si>
    <t>https://cloud-solution.example.jp/ads/202605260056/01</t>
  </si>
  <si>
    <t>202605260056002</t>
  </si>
  <si>
    <t>https://home-design.example.jp/ads/202605260056/02</t>
  </si>
  <si>
    <t>202605260056003</t>
  </si>
  <si>
    <t>https://healthcare-media.example.jp/ads/202605260056/03</t>
  </si>
  <si>
    <t>202605260056004</t>
  </si>
  <si>
    <t>https://education-publishing.example.jp/ads/202605260056/04</t>
  </si>
  <si>
    <t>202605270057001</t>
  </si>
  <si>
    <t>https://home-design.example.jp/ads/202605270057/01</t>
  </si>
  <si>
    <t>202605270057002</t>
  </si>
  <si>
    <t>https://healthcare-media.example.jp/ads/202605270057/02</t>
  </si>
  <si>
    <t>202605270057003</t>
  </si>
  <si>
    <t>https://education-publishing.example.jp/ads/202605270057/03</t>
  </si>
  <si>
    <t>202605270057004</t>
  </si>
  <si>
    <t>https://aoyama-digital.example.jp/ads/202605270057/04</t>
  </si>
  <si>
    <t>202605270058001</t>
  </si>
  <si>
    <t>https://healthcare-media.example.jp/ads/202605270058/01</t>
  </si>
  <si>
    <t>202605270058002</t>
  </si>
  <si>
    <t>https://education-publishing.example.jp/ads/202605270058/02</t>
  </si>
  <si>
    <t>202605270058003</t>
  </si>
  <si>
    <t>https://aoyama-digital.example.jp/ads/202605270058/03</t>
  </si>
  <si>
    <t>202605270058004</t>
  </si>
  <si>
    <t>https://shibuya-lifestyle.example.jp/ads/202605270058/04</t>
  </si>
  <si>
    <t>202605270059001</t>
  </si>
  <si>
    <t>https://education-publishing.example.jp/ads/202605270059/01</t>
  </si>
  <si>
    <t>202605270059002</t>
  </si>
  <si>
    <t>https://aoyama-digital.example.jp/ads/202605270059/02</t>
  </si>
  <si>
    <t>202605270059003</t>
  </si>
  <si>
    <t>https://shibuya-lifestyle.example.jp/ads/202605270059/03</t>
  </si>
  <si>
    <t>202605270059004</t>
  </si>
  <si>
    <t>https://ginza-cosme.example.jp/ads/202605270059/04</t>
  </si>
  <si>
    <t>202605280060001</t>
  </si>
  <si>
    <t>https://aoyama-digital.example.jp/ads/202605280060/01</t>
  </si>
  <si>
    <t>202605280060002</t>
  </si>
  <si>
    <t>https://shibuya-lifestyle.example.jp/ads/202605280060/02</t>
  </si>
  <si>
    <t>202605280060003</t>
  </si>
  <si>
    <t>https://ginza-cosme.example.jp/ads/202605280060/03</t>
  </si>
  <si>
    <t>202605280060004</t>
  </si>
  <si>
    <t>https://fitness-lab.example.jp/ads/202605280060/04</t>
  </si>
  <si>
    <t>202605280061001</t>
  </si>
  <si>
    <t>https://shibuya-lifestyle.example.jp/ads/202605280061/01</t>
  </si>
  <si>
    <t>202605280061002</t>
  </si>
  <si>
    <t>https://ginza-cosme.example.jp/ads/202605280061/02</t>
  </si>
  <si>
    <t>202605280061003</t>
  </si>
  <si>
    <t>https://fitness-lab.example.jp/ads/202605280061/03</t>
  </si>
  <si>
    <t>202605280061004</t>
  </si>
  <si>
    <t>https://tokyo-foodlink.example.jp/ads/202605280061/04</t>
  </si>
  <si>
    <t>202605290062001</t>
  </si>
  <si>
    <t>https://ginza-cosme.example.jp/ads/202605290062/01</t>
  </si>
  <si>
    <t>202605290062002</t>
  </si>
  <si>
    <t>https://fitness-lab.example.jp/ads/202605290062/02</t>
  </si>
  <si>
    <t>202605290062003</t>
  </si>
  <si>
    <t>https://tokyo-foodlink.example.jp/ads/202605290062/03</t>
  </si>
  <si>
    <t>202605290062004</t>
  </si>
  <si>
    <t>https://business-school.example.jp/ads/202605290062/04</t>
  </si>
  <si>
    <t>202605290063001</t>
  </si>
  <si>
    <t>https://fitness-lab.example.jp/ads/202605290063/01</t>
  </si>
  <si>
    <t>202605290063002</t>
  </si>
  <si>
    <t>https://tokyo-foodlink.example.jp/ads/202605290063/02</t>
  </si>
  <si>
    <t>202605290063003</t>
  </si>
  <si>
    <t>https://business-school.example.jp/ads/202605290063/03</t>
  </si>
  <si>
    <t>202605290063004</t>
  </si>
  <si>
    <t>https://omotesando-apparel.example.jp/ads/202605290063/04</t>
  </si>
  <si>
    <t>202605300064001</t>
  </si>
  <si>
    <t>https://tokyo-foodlink.example.jp/ads/202605300064/01</t>
  </si>
  <si>
    <t>202605300064002</t>
  </si>
  <si>
    <t>https://business-school.example.jp/ads/202605300064/02</t>
  </si>
  <si>
    <t>202605300064003</t>
  </si>
  <si>
    <t>https://omotesando-apparel.example.jp/ads/202605300064/03</t>
  </si>
  <si>
    <t>202605300064004</t>
  </si>
  <si>
    <t>https://travel-service.example.jp/ads/202605300064/04</t>
  </si>
  <si>
    <t>202605300065001</t>
  </si>
  <si>
    <t>https://business-school.example.jp/ads/202605300065/01</t>
  </si>
  <si>
    <t>202605300065002</t>
  </si>
  <si>
    <t>https://omotesando-apparel.example.jp/ads/202605300065/02</t>
  </si>
  <si>
    <t>202605300065003</t>
  </si>
  <si>
    <t>https://travel-service.example.jp/ads/202605300065/03</t>
  </si>
  <si>
    <t>202605300065004</t>
  </si>
  <si>
    <t>https://cloud-solution.example.jp/ads/202605300065/04</t>
  </si>
  <si>
    <t>202605310066001</t>
  </si>
  <si>
    <t>https://omotesando-apparel.example.jp/ads/202605310066/01</t>
  </si>
  <si>
    <t>202605310066002</t>
  </si>
  <si>
    <t>https://travel-service.example.jp/ads/202605310066/02</t>
  </si>
  <si>
    <t>202605310066003</t>
  </si>
  <si>
    <t>https://cloud-solution.example.jp/ads/202605310066/03</t>
  </si>
  <si>
    <t>202605310066004</t>
  </si>
  <si>
    <t>https://home-design.example.jp/ads/202605310066/04</t>
  </si>
  <si>
    <t>202605310067001</t>
  </si>
  <si>
    <t>https://travel-service.example.jp/ads/202605310067/01</t>
  </si>
  <si>
    <t>202605310067002</t>
  </si>
  <si>
    <t>https://cloud-solution.example.jp/ads/202605310067/02</t>
  </si>
  <si>
    <t>202605310067003</t>
  </si>
  <si>
    <t>https://home-design.example.jp/ads/202605310067/03</t>
  </si>
  <si>
    <t>202605310067004</t>
  </si>
  <si>
    <t>https://healthcare-media.example.jp/ads/202605310067/04</t>
  </si>
  <si>
    <t>202606010001001</t>
  </si>
  <si>
    <t>https://cloud-solution.example.jp/ads/202606010001/01</t>
  </si>
  <si>
    <t>202606010001002</t>
  </si>
  <si>
    <t>https://home-design.example.jp/ads/202606010001/02</t>
  </si>
  <si>
    <t>202606010001003</t>
  </si>
  <si>
    <t>https://healthcare-media.example.jp/ads/202606010001/03</t>
  </si>
  <si>
    <t>202606010001004</t>
  </si>
  <si>
    <t>https://education-publishing.example.jp/ads/202606010001/04</t>
  </si>
  <si>
    <t>202606010002001</t>
  </si>
  <si>
    <t>https://home-design.example.jp/ads/202606010002/01</t>
  </si>
  <si>
    <t>202606010002002</t>
  </si>
  <si>
    <t>https://healthcare-media.example.jp/ads/202606010002/02</t>
  </si>
  <si>
    <t>202606010002003</t>
  </si>
  <si>
    <t>https://education-publishing.example.jp/ads/202606010002/03</t>
  </si>
  <si>
    <t>202606010002004</t>
  </si>
  <si>
    <t>https://aoyama-digital.example.jp/ads/202606010002/04</t>
  </si>
  <si>
    <t>202606010003001</t>
  </si>
  <si>
    <t>https://healthcare-media.example.jp/ads/202606010003/01</t>
  </si>
  <si>
    <t>202606010003002</t>
  </si>
  <si>
    <t>https://education-publishing.example.jp/ads/202606010003/02</t>
  </si>
  <si>
    <t>202606010003003</t>
  </si>
  <si>
    <t>https://aoyama-digital.example.jp/ads/202606010003/03</t>
  </si>
  <si>
    <t>202606010003004</t>
  </si>
  <si>
    <t>https://shibuya-lifestyle.example.jp/ads/202606010003/04</t>
  </si>
  <si>
    <t>202606020004001</t>
  </si>
  <si>
    <t>https://education-publishing.example.jp/ads/202606020004/01</t>
  </si>
  <si>
    <t>202606020004002</t>
  </si>
  <si>
    <t>https://aoyama-digital.example.jp/ads/202606020004/02</t>
  </si>
  <si>
    <t>202606020004003</t>
  </si>
  <si>
    <t>https://shibuya-lifestyle.example.jp/ads/202606020004/03</t>
  </si>
  <si>
    <t>202606020004004</t>
  </si>
  <si>
    <t>https://ginza-cosme.example.jp/ads/202606020004/04</t>
  </si>
  <si>
    <t>202606020005001</t>
  </si>
  <si>
    <t>https://aoyama-digital.example.jp/ads/202606020005/01</t>
  </si>
  <si>
    <t>202606020005002</t>
  </si>
  <si>
    <t>https://shibuya-lifestyle.example.jp/ads/202606020005/02</t>
  </si>
  <si>
    <t>202606020005003</t>
  </si>
  <si>
    <t>https://ginza-cosme.example.jp/ads/202606020005/03</t>
  </si>
  <si>
    <t>202606020005004</t>
  </si>
  <si>
    <t>https://fitness-lab.example.jp/ads/202606020005/04</t>
  </si>
  <si>
    <t>202606030006001</t>
  </si>
  <si>
    <t>https://shibuya-lifestyle.example.jp/ads/202606030006/01</t>
  </si>
  <si>
    <t>202606030006002</t>
  </si>
  <si>
    <t>https://ginza-cosme.example.jp/ads/202606030006/02</t>
  </si>
  <si>
    <t>202606030006003</t>
  </si>
  <si>
    <t>https://fitness-lab.example.jp/ads/202606030006/03</t>
  </si>
  <si>
    <t>202606030006004</t>
  </si>
  <si>
    <t>https://tokyo-foodlink.example.jp/ads/202606030006/04</t>
  </si>
  <si>
    <t>202606030007001</t>
  </si>
  <si>
    <t>https://ginza-cosme.example.jp/ads/202606030007/01</t>
  </si>
  <si>
    <t>202606030007002</t>
  </si>
  <si>
    <t>https://fitness-lab.example.jp/ads/202606030007/02</t>
  </si>
  <si>
    <t>202606030007003</t>
  </si>
  <si>
    <t>https://tokyo-foodlink.example.jp/ads/202606030007/03</t>
  </si>
  <si>
    <t>202606030007004</t>
  </si>
  <si>
    <t>https://business-school.example.jp/ads/202606030007/04</t>
  </si>
  <si>
    <t>202606040008001</t>
  </si>
  <si>
    <t>https://fitness-lab.example.jp/ads/202606040008/01</t>
  </si>
  <si>
    <t>202606040008002</t>
  </si>
  <si>
    <t>https://tokyo-foodlink.example.jp/ads/202606040008/02</t>
  </si>
  <si>
    <t>202606040008003</t>
  </si>
  <si>
    <t>https://business-school.example.jp/ads/202606040008/03</t>
  </si>
  <si>
    <t>202606040008004</t>
  </si>
  <si>
    <t>https://omotesando-apparel.example.jp/ads/202606040008/04</t>
  </si>
  <si>
    <t>202606040009001</t>
  </si>
  <si>
    <t>https://tokyo-foodlink.example.jp/ads/202606040009/01</t>
  </si>
  <si>
    <t>202606040009002</t>
  </si>
  <si>
    <t>https://business-school.example.jp/ads/202606040009/02</t>
  </si>
  <si>
    <t>202606040009003</t>
  </si>
  <si>
    <t>https://omotesando-apparel.example.jp/ads/202606040009/03</t>
  </si>
  <si>
    <t>202606040009004</t>
  </si>
  <si>
    <t>https://travel-service.example.jp/ads/202606040009/04</t>
  </si>
  <si>
    <t>202606050010001</t>
  </si>
  <si>
    <t>https://business-school.example.jp/ads/202606050010/01</t>
  </si>
  <si>
    <t>202606050010002</t>
  </si>
  <si>
    <t>https://omotesando-apparel.example.jp/ads/202606050010/02</t>
  </si>
  <si>
    <t>202606050010003</t>
  </si>
  <si>
    <t>https://travel-service.example.jp/ads/202606050010/03</t>
  </si>
  <si>
    <t>202606050010004</t>
  </si>
  <si>
    <t>https://cloud-solution.example.jp/ads/202606050010/04</t>
  </si>
  <si>
    <t>202606050011001</t>
  </si>
  <si>
    <t>https://omotesando-apparel.example.jp/ads/202606050011/01</t>
  </si>
  <si>
    <t>202606050011002</t>
  </si>
  <si>
    <t>https://travel-service.example.jp/ads/202606050011/02</t>
  </si>
  <si>
    <t>202606050011003</t>
  </si>
  <si>
    <t>https://cloud-solution.example.jp/ads/202606050011/03</t>
  </si>
  <si>
    <t>202606050011004</t>
  </si>
  <si>
    <t>https://home-design.example.jp/ads/202606050011/04</t>
  </si>
  <si>
    <t>202606060012001</t>
  </si>
  <si>
    <t>https://travel-service.example.jp/ads/202606060012/01</t>
  </si>
  <si>
    <t>202606060012002</t>
  </si>
  <si>
    <t>https://cloud-solution.example.jp/ads/202606060012/02</t>
  </si>
  <si>
    <t>202606060012003</t>
  </si>
  <si>
    <t>https://home-design.example.jp/ads/202606060012/03</t>
  </si>
  <si>
    <t>202606060012004</t>
  </si>
  <si>
    <t>https://healthcare-media.example.jp/ads/202606060012/04</t>
  </si>
  <si>
    <t>202606060013001</t>
  </si>
  <si>
    <t>https://cloud-solution.example.jp/ads/202606060013/01</t>
  </si>
  <si>
    <t>202606060013002</t>
  </si>
  <si>
    <t>https://home-design.example.jp/ads/202606060013/02</t>
  </si>
  <si>
    <t>202606060013003</t>
  </si>
  <si>
    <t>https://healthcare-media.example.jp/ads/202606060013/03</t>
  </si>
  <si>
    <t>202606060013004</t>
  </si>
  <si>
    <t>https://education-publishing.example.jp/ads/202606060013/04</t>
  </si>
  <si>
    <t>202606070014001</t>
  </si>
  <si>
    <t>https://home-design.example.jp/ads/202606070014/01</t>
  </si>
  <si>
    <t>202606070014002</t>
  </si>
  <si>
    <t>https://healthcare-media.example.jp/ads/202606070014/02</t>
  </si>
  <si>
    <t>202606070014003</t>
  </si>
  <si>
    <t>https://education-publishing.example.jp/ads/202606070014/03</t>
  </si>
  <si>
    <t>202606070014004</t>
  </si>
  <si>
    <t>https://aoyama-digital.example.jp/ads/202606070014/04</t>
  </si>
  <si>
    <t>202606070015001</t>
  </si>
  <si>
    <t>https://healthcare-media.example.jp/ads/202606070015/01</t>
  </si>
  <si>
    <t>202606070015002</t>
  </si>
  <si>
    <t>https://education-publishing.example.jp/ads/202606070015/02</t>
  </si>
  <si>
    <t>202606070015003</t>
  </si>
  <si>
    <t>https://aoyama-digital.example.jp/ads/202606070015/03</t>
  </si>
  <si>
    <t>202606070015004</t>
  </si>
  <si>
    <t>https://shibuya-lifestyle.example.jp/ads/202606070015/04</t>
  </si>
  <si>
    <t>202606070016001</t>
  </si>
  <si>
    <t>https://education-publishing.example.jp/ads/202606070016/01</t>
  </si>
  <si>
    <t>202606070016002</t>
  </si>
  <si>
    <t>https://aoyama-digital.example.jp/ads/202606070016/02</t>
  </si>
  <si>
    <t>202606070016003</t>
  </si>
  <si>
    <t>https://shibuya-lifestyle.example.jp/ads/202606070016/03</t>
  </si>
  <si>
    <t>202606070016004</t>
  </si>
  <si>
    <t>https://ginza-cosme.example.jp/ads/202606070016/04</t>
  </si>
  <si>
    <t>202606080017001</t>
  </si>
  <si>
    <t>https://aoyama-digital.example.jp/ads/202606080017/01</t>
  </si>
  <si>
    <t>202606080017002</t>
  </si>
  <si>
    <t>https://shibuya-lifestyle.example.jp/ads/202606080017/02</t>
  </si>
  <si>
    <t>202606080017003</t>
  </si>
  <si>
    <t>https://ginza-cosme.example.jp/ads/202606080017/03</t>
  </si>
  <si>
    <t>202606080017004</t>
  </si>
  <si>
    <t>https://fitness-lab.example.jp/ads/202606080017/04</t>
  </si>
  <si>
    <t>202606080018001</t>
  </si>
  <si>
    <t>https://shibuya-lifestyle.example.jp/ads/202606080018/01</t>
  </si>
  <si>
    <t>202606080018002</t>
  </si>
  <si>
    <t>https://ginza-cosme.example.jp/ads/202606080018/02</t>
  </si>
  <si>
    <t>202606080018003</t>
  </si>
  <si>
    <t>https://fitness-lab.example.jp/ads/202606080018/03</t>
  </si>
  <si>
    <t>202606080018004</t>
  </si>
  <si>
    <t>https://tokyo-foodlink.example.jp/ads/202606080018/04</t>
  </si>
  <si>
    <t>202606090019001</t>
  </si>
  <si>
    <t>https://ginza-cosme.example.jp/ads/202606090019/01</t>
  </si>
  <si>
    <t>202606090019002</t>
  </si>
  <si>
    <t>https://fitness-lab.example.jp/ads/202606090019/02</t>
  </si>
  <si>
    <t>202606090019003</t>
  </si>
  <si>
    <t>https://tokyo-foodlink.example.jp/ads/202606090019/03</t>
  </si>
  <si>
    <t>202606090019004</t>
  </si>
  <si>
    <t>https://business-school.example.jp/ads/202606090019/04</t>
  </si>
  <si>
    <t>202606090020001</t>
  </si>
  <si>
    <t>https://fitness-lab.example.jp/ads/202606090020/01</t>
  </si>
  <si>
    <t>202606090020002</t>
  </si>
  <si>
    <t>https://tokyo-foodlink.example.jp/ads/202606090020/02</t>
  </si>
  <si>
    <t>202606090020003</t>
  </si>
  <si>
    <t>https://business-school.example.jp/ads/202606090020/03</t>
  </si>
  <si>
    <t>202606090020004</t>
  </si>
  <si>
    <t>https://omotesando-apparel.example.jp/ads/202606090020/04</t>
  </si>
  <si>
    <t>202606100021001</t>
  </si>
  <si>
    <t>https://tokyo-foodlink.example.jp/ads/202606100021/01</t>
  </si>
  <si>
    <t>202606100021002</t>
  </si>
  <si>
    <t>https://business-school.example.jp/ads/202606100021/02</t>
  </si>
  <si>
    <t>202606100021003</t>
  </si>
  <si>
    <t>https://omotesando-apparel.example.jp/ads/202606100021/03</t>
  </si>
  <si>
    <t>202606100021004</t>
  </si>
  <si>
    <t>https://travel-service.example.jp/ads/202606100021/04</t>
  </si>
  <si>
    <t>202606100022001</t>
  </si>
  <si>
    <t>https://business-school.example.jp/ads/202606100022/01</t>
  </si>
  <si>
    <t>202606100022002</t>
  </si>
  <si>
    <t>https://omotesando-apparel.example.jp/ads/202606100022/02</t>
  </si>
  <si>
    <t>202606100022003</t>
  </si>
  <si>
    <t>https://travel-service.example.jp/ads/202606100022/03</t>
  </si>
  <si>
    <t>202606100022004</t>
  </si>
  <si>
    <t>https://cloud-solution.example.jp/ads/202606100022/04</t>
  </si>
  <si>
    <t>202606110023001</t>
  </si>
  <si>
    <t>https://omotesando-apparel.example.jp/ads/202606110023/01</t>
  </si>
  <si>
    <t>202606110023002</t>
  </si>
  <si>
    <t>https://travel-service.example.jp/ads/202606110023/02</t>
  </si>
  <si>
    <t>202606110023003</t>
  </si>
  <si>
    <t>https://cloud-solution.example.jp/ads/202606110023/03</t>
  </si>
  <si>
    <t>202606110023004</t>
  </si>
  <si>
    <t>https://home-design.example.jp/ads/202606110023/04</t>
  </si>
  <si>
    <t>202606110024001</t>
  </si>
  <si>
    <t>https://travel-service.example.jp/ads/202606110024/01</t>
  </si>
  <si>
    <t>202606110024002</t>
  </si>
  <si>
    <t>https://cloud-solution.example.jp/ads/202606110024/02</t>
  </si>
  <si>
    <t>202606110024003</t>
  </si>
  <si>
    <t>https://home-design.example.jp/ads/202606110024/03</t>
  </si>
  <si>
    <t>202606110024004</t>
  </si>
  <si>
    <t>https://healthcare-media.example.jp/ads/202606110024/04</t>
  </si>
  <si>
    <t>202606120025001</t>
  </si>
  <si>
    <t>https://cloud-solution.example.jp/ads/202606120025/01</t>
  </si>
  <si>
    <t>202606120025002</t>
  </si>
  <si>
    <t>https://home-design.example.jp/ads/202606120025/02</t>
  </si>
  <si>
    <t>202606120025003</t>
  </si>
  <si>
    <t>https://healthcare-media.example.jp/ads/202606120025/03</t>
  </si>
  <si>
    <t>202606120025004</t>
  </si>
  <si>
    <t>https://education-publishing.example.jp/ads/202606120025/04</t>
  </si>
  <si>
    <t>202606120026001</t>
  </si>
  <si>
    <t>https://home-design.example.jp/ads/202606120026/01</t>
  </si>
  <si>
    <t>202606120026002</t>
  </si>
  <si>
    <t>https://healthcare-media.example.jp/ads/202606120026/02</t>
  </si>
  <si>
    <t>202606120026003</t>
  </si>
  <si>
    <t>https://education-publishing.example.jp/ads/202606120026/03</t>
  </si>
  <si>
    <t>202606120026004</t>
  </si>
  <si>
    <t>https://aoyama-digital.example.jp/ads/202606120026/04</t>
  </si>
  <si>
    <t>202606120027001</t>
  </si>
  <si>
    <t>https://healthcare-media.example.jp/ads/202606120027/01</t>
  </si>
  <si>
    <t>202606120027002</t>
  </si>
  <si>
    <t>https://education-publishing.example.jp/ads/202606120027/02</t>
  </si>
  <si>
    <t>202606120027003</t>
  </si>
  <si>
    <t>https://aoyama-digital.example.jp/ads/202606120027/03</t>
  </si>
  <si>
    <t>202606120027004</t>
  </si>
  <si>
    <t>https://shibuya-lifestyle.example.jp/ads/202606120027/04</t>
  </si>
  <si>
    <t>202606130028001</t>
  </si>
  <si>
    <t>https://education-publishing.example.jp/ads/202606130028/01</t>
  </si>
  <si>
    <t>202606130028002</t>
  </si>
  <si>
    <t>https://aoyama-digital.example.jp/ads/202606130028/02</t>
  </si>
  <si>
    <t>202606130028003</t>
  </si>
  <si>
    <t>https://shibuya-lifestyle.example.jp/ads/202606130028/03</t>
  </si>
  <si>
    <t>202606130028004</t>
  </si>
  <si>
    <t>https://ginza-cosme.example.jp/ads/202606130028/04</t>
  </si>
  <si>
    <t>202606130029001</t>
  </si>
  <si>
    <t>https://aoyama-digital.example.jp/ads/202606130029/01</t>
  </si>
  <si>
    <t>202606130029002</t>
  </si>
  <si>
    <t>https://shibuya-lifestyle.example.jp/ads/202606130029/02</t>
  </si>
  <si>
    <t>202606130029003</t>
  </si>
  <si>
    <t>https://ginza-cosme.example.jp/ads/202606130029/03</t>
  </si>
  <si>
    <t>202606130029004</t>
  </si>
  <si>
    <t>https://fitness-lab.example.jp/ads/202606130029/04</t>
  </si>
  <si>
    <t>202606140030001</t>
  </si>
  <si>
    <t>https://shibuya-lifestyle.example.jp/ads/202606140030/01</t>
  </si>
  <si>
    <t>202606140030002</t>
  </si>
  <si>
    <t>https://ginza-cosme.example.jp/ads/202606140030/02</t>
  </si>
  <si>
    <t>202606140030003</t>
  </si>
  <si>
    <t>https://fitness-lab.example.jp/ads/202606140030/03</t>
  </si>
  <si>
    <t>202606140030004</t>
  </si>
  <si>
    <t>https://tokyo-foodlink.example.jp/ads/202606140030/04</t>
  </si>
  <si>
    <t>202606140031001</t>
  </si>
  <si>
    <t>https://ginza-cosme.example.jp/ads/202606140031/01</t>
  </si>
  <si>
    <t>202606140031002</t>
  </si>
  <si>
    <t>https://fitness-lab.example.jp/ads/202606140031/02</t>
  </si>
  <si>
    <t>202606140031003</t>
  </si>
  <si>
    <t>https://tokyo-foodlink.example.jp/ads/202606140031/03</t>
  </si>
  <si>
    <t>202606140031004</t>
  </si>
  <si>
    <t>https://business-school.example.jp/ads/202606140031/04</t>
  </si>
  <si>
    <t>202606150032001</t>
  </si>
  <si>
    <t>https://fitness-lab.example.jp/ads/202606150032/01</t>
  </si>
  <si>
    <t>202606150032002</t>
  </si>
  <si>
    <t>https://tokyo-foodlink.example.jp/ads/202606150032/02</t>
  </si>
  <si>
    <t>202606150032003</t>
  </si>
  <si>
    <t>https://business-school.example.jp/ads/202606150032/03</t>
  </si>
  <si>
    <t>202606150032004</t>
  </si>
  <si>
    <t>https://omotesando-apparel.example.jp/ads/202606150032/04</t>
  </si>
  <si>
    <t>202606150033001</t>
  </si>
  <si>
    <t>https://tokyo-foodlink.example.jp/ads/202606150033/01</t>
  </si>
  <si>
    <t>202606150033002</t>
  </si>
  <si>
    <t>https://business-school.example.jp/ads/202606150033/02</t>
  </si>
  <si>
    <t>202606150033003</t>
  </si>
  <si>
    <t>https://omotesando-apparel.example.jp/ads/202606150033/03</t>
  </si>
  <si>
    <t>202606150033004</t>
  </si>
  <si>
    <t>https://travel-service.example.jp/ads/202606150033/04</t>
  </si>
  <si>
    <t>202606160034001</t>
  </si>
  <si>
    <t>https://business-school.example.jp/ads/202606160034/01</t>
  </si>
  <si>
    <t>202606160034002</t>
  </si>
  <si>
    <t>https://omotesando-apparel.example.jp/ads/202606160034/02</t>
  </si>
  <si>
    <t>202606160034003</t>
  </si>
  <si>
    <t>https://travel-service.example.jp/ads/202606160034/03</t>
  </si>
  <si>
    <t>202606160034004</t>
  </si>
  <si>
    <t>https://cloud-solution.example.jp/ads/202606160034/04</t>
  </si>
  <si>
    <t>202606160035001</t>
  </si>
  <si>
    <t>https://omotesando-apparel.example.jp/ads/202606160035/01</t>
  </si>
  <si>
    <t>202606160035002</t>
  </si>
  <si>
    <t>https://travel-service.example.jp/ads/202606160035/02</t>
  </si>
  <si>
    <t>202606160035003</t>
  </si>
  <si>
    <t>https://cloud-solution.example.jp/ads/202606160035/03</t>
  </si>
  <si>
    <t>202606160035004</t>
  </si>
  <si>
    <t>https://home-design.example.jp/ads/202606160035/04</t>
  </si>
  <si>
    <t>202606170036001</t>
  </si>
  <si>
    <t>https://travel-service.example.jp/ads/202606170036/01</t>
  </si>
  <si>
    <t>202606170036002</t>
  </si>
  <si>
    <t>https://cloud-solution.example.jp/ads/202606170036/02</t>
  </si>
  <si>
    <t>202606170036003</t>
  </si>
  <si>
    <t>https://home-design.example.jp/ads/202606170036/03</t>
  </si>
  <si>
    <t>202606170036004</t>
  </si>
  <si>
    <t>https://healthcare-media.example.jp/ads/202606170036/04</t>
  </si>
  <si>
    <t>202606170037001</t>
  </si>
  <si>
    <t>https://cloud-solution.example.jp/ads/202606170037/01</t>
  </si>
  <si>
    <t>202606170037002</t>
  </si>
  <si>
    <t>https://home-design.example.jp/ads/202606170037/02</t>
  </si>
  <si>
    <t>202606170037003</t>
  </si>
  <si>
    <t>https://healthcare-media.example.jp/ads/202606170037/03</t>
  </si>
  <si>
    <t>202606170037004</t>
  </si>
  <si>
    <t>https://education-publishing.example.jp/ads/202606170037/04</t>
  </si>
  <si>
    <t>202606180038001</t>
  </si>
  <si>
    <t>https://home-design.example.jp/ads/202606180038/01</t>
  </si>
  <si>
    <t>202606180038002</t>
  </si>
  <si>
    <t>https://healthcare-media.example.jp/ads/202606180038/02</t>
  </si>
  <si>
    <t>202606180038003</t>
  </si>
  <si>
    <t>https://education-publishing.example.jp/ads/202606180038/03</t>
  </si>
  <si>
    <t>202606180038004</t>
  </si>
  <si>
    <t>https://aoyama-digital.example.jp/ads/202606180038/04</t>
  </si>
  <si>
    <t>202606180039001</t>
  </si>
  <si>
    <t>https://healthcare-media.example.jp/ads/202606180039/01</t>
  </si>
  <si>
    <t>202606180039002</t>
  </si>
  <si>
    <t>https://education-publishing.example.jp/ads/202606180039/02</t>
  </si>
  <si>
    <t>202606180039003</t>
  </si>
  <si>
    <t>https://aoyama-digital.example.jp/ads/202606180039/03</t>
  </si>
  <si>
    <t>202606180039004</t>
  </si>
  <si>
    <t>https://shibuya-lifestyle.example.jp/ads/202606180039/04</t>
  </si>
  <si>
    <t>202606180040001</t>
  </si>
  <si>
    <t>https://education-publishing.example.jp/ads/202606180040/01</t>
  </si>
  <si>
    <t>202606180040002</t>
  </si>
  <si>
    <t>https://aoyama-digital.example.jp/ads/202606180040/02</t>
  </si>
  <si>
    <t>202606180040003</t>
  </si>
  <si>
    <t>https://shibuya-lifestyle.example.jp/ads/202606180040/03</t>
  </si>
  <si>
    <t>202606180040004</t>
  </si>
  <si>
    <t>https://ginza-cosme.example.jp/ads/202606180040/04</t>
  </si>
  <si>
    <t>202606190041001</t>
  </si>
  <si>
    <t>https://aoyama-digital.example.jp/ads/202606190041/01</t>
  </si>
  <si>
    <t>202606190041002</t>
  </si>
  <si>
    <t>https://shibuya-lifestyle.example.jp/ads/202606190041/02</t>
  </si>
  <si>
    <t>202606190041003</t>
  </si>
  <si>
    <t>https://ginza-cosme.example.jp/ads/202606190041/03</t>
  </si>
  <si>
    <t>202606190041004</t>
  </si>
  <si>
    <t>https://fitness-lab.example.jp/ads/202606190041/04</t>
  </si>
  <si>
    <t>202606190042001</t>
  </si>
  <si>
    <t>https://shibuya-lifestyle.example.jp/ads/202606190042/01</t>
  </si>
  <si>
    <t>202606190042002</t>
  </si>
  <si>
    <t>https://ginza-cosme.example.jp/ads/202606190042/02</t>
  </si>
  <si>
    <t>202606190042003</t>
  </si>
  <si>
    <t>https://fitness-lab.example.jp/ads/202606190042/03</t>
  </si>
  <si>
    <t>202606190042004</t>
  </si>
  <si>
    <t>https://tokyo-foodlink.example.jp/ads/202606190042/04</t>
  </si>
  <si>
    <t>202606200043001</t>
  </si>
  <si>
    <t>https://ginza-cosme.example.jp/ads/202606200043/01</t>
  </si>
  <si>
    <t>202606200043002</t>
  </si>
  <si>
    <t>https://fitness-lab.example.jp/ads/202606200043/02</t>
  </si>
  <si>
    <t>202606200043003</t>
  </si>
  <si>
    <t>https://tokyo-foodlink.example.jp/ads/202606200043/03</t>
  </si>
  <si>
    <t>202606200043004</t>
  </si>
  <si>
    <t>https://business-school.example.jp/ads/202606200043/04</t>
  </si>
  <si>
    <t>202606200044001</t>
  </si>
  <si>
    <t>https://fitness-lab.example.jp/ads/202606200044/01</t>
  </si>
  <si>
    <t>202606200044002</t>
  </si>
  <si>
    <t>https://tokyo-foodlink.example.jp/ads/202606200044/02</t>
  </si>
  <si>
    <t>202606200044003</t>
  </si>
  <si>
    <t>https://business-school.example.jp/ads/202606200044/03</t>
  </si>
  <si>
    <t>202606200044004</t>
  </si>
  <si>
    <t>https://omotesando-apparel.example.jp/ads/202606200044/04</t>
  </si>
  <si>
    <t>202606210045001</t>
  </si>
  <si>
    <t>https://tokyo-foodlink.example.jp/ads/202606210045/01</t>
  </si>
  <si>
    <t>202606210045002</t>
  </si>
  <si>
    <t>https://business-school.example.jp/ads/202606210045/02</t>
  </si>
  <si>
    <t>202606210045003</t>
  </si>
  <si>
    <t>https://omotesando-apparel.example.jp/ads/202606210045/03</t>
  </si>
  <si>
    <t>202606210045004</t>
  </si>
  <si>
    <t>https://travel-service.example.jp/ads/202606210045/04</t>
  </si>
  <si>
    <t>202606210046001</t>
  </si>
  <si>
    <t>https://business-school.example.jp/ads/202606210046/01</t>
  </si>
  <si>
    <t>202606210046002</t>
  </si>
  <si>
    <t>https://omotesando-apparel.example.jp/ads/202606210046/02</t>
  </si>
  <si>
    <t>202606210046003</t>
  </si>
  <si>
    <t>https://travel-service.example.jp/ads/202606210046/03</t>
  </si>
  <si>
    <t>202606210046004</t>
  </si>
  <si>
    <t>https://cloud-solution.example.jp/ads/202606210046/04</t>
  </si>
  <si>
    <t>202606220047001</t>
  </si>
  <si>
    <t>https://omotesando-apparel.example.jp/ads/202606220047/01</t>
  </si>
  <si>
    <t>202606220047002</t>
  </si>
  <si>
    <t>https://travel-service.example.jp/ads/202606220047/02</t>
  </si>
  <si>
    <t>202606220047003</t>
  </si>
  <si>
    <t>https://cloud-solution.example.jp/ads/202606220047/03</t>
  </si>
  <si>
    <t>202606220047004</t>
  </si>
  <si>
    <t>https://home-design.example.jp/ads/202606220047/04</t>
  </si>
  <si>
    <t>202606220048001</t>
  </si>
  <si>
    <t>https://travel-service.example.jp/ads/202606220048/01</t>
  </si>
  <si>
    <t>202606220048002</t>
  </si>
  <si>
    <t>https://cloud-solution.example.jp/ads/202606220048/02</t>
  </si>
  <si>
    <t>202606220048003</t>
  </si>
  <si>
    <t>https://home-design.example.jp/ads/202606220048/03</t>
  </si>
  <si>
    <t>202606220048004</t>
  </si>
  <si>
    <t>https://healthcare-media.example.jp/ads/202606220048/04</t>
  </si>
  <si>
    <t>202606230049001</t>
  </si>
  <si>
    <t>https://cloud-solution.example.jp/ads/202606230049/01</t>
  </si>
  <si>
    <t>202606230049002</t>
  </si>
  <si>
    <t>https://home-design.example.jp/ads/202606230049/02</t>
  </si>
  <si>
    <t>202606230049003</t>
  </si>
  <si>
    <t>https://healthcare-media.example.jp/ads/202606230049/03</t>
  </si>
  <si>
    <t>202606230049004</t>
  </si>
  <si>
    <t>https://education-publishing.example.jp/ads/202606230049/04</t>
  </si>
  <si>
    <t>202606230050001</t>
  </si>
  <si>
    <t>https://home-design.example.jp/ads/202606230050/01</t>
  </si>
  <si>
    <t>202606230050002</t>
  </si>
  <si>
    <t>https://healthcare-media.example.jp/ads/202606230050/02</t>
  </si>
  <si>
    <t>202606230050003</t>
  </si>
  <si>
    <t>https://education-publishing.example.jp/ads/202606230050/03</t>
  </si>
  <si>
    <t>202606230050004</t>
  </si>
  <si>
    <t>https://aoyama-digital.example.jp/ads/202606230050/04</t>
  </si>
  <si>
    <t>202606230051001</t>
  </si>
  <si>
    <t>https://healthcare-media.example.jp/ads/202606230051/01</t>
  </si>
  <si>
    <t>202606230051002</t>
  </si>
  <si>
    <t>https://education-publishing.example.jp/ads/202606230051/02</t>
  </si>
  <si>
    <t>202606230051003</t>
  </si>
  <si>
    <t>https://aoyama-digital.example.jp/ads/202606230051/03</t>
  </si>
  <si>
    <t>202606230051004</t>
  </si>
  <si>
    <t>https://shibuya-lifestyle.example.jp/ads/202606230051/04</t>
  </si>
  <si>
    <t>202606240052001</t>
  </si>
  <si>
    <t>https://education-publishing.example.jp/ads/202606240052/01</t>
  </si>
  <si>
    <t>202606240052002</t>
  </si>
  <si>
    <t>https://aoyama-digital.example.jp/ads/202606240052/02</t>
  </si>
  <si>
    <t>202606240052003</t>
  </si>
  <si>
    <t>https://shibuya-lifestyle.example.jp/ads/202606240052/03</t>
  </si>
  <si>
    <t>202606240052004</t>
  </si>
  <si>
    <t>https://ginza-cosme.example.jp/ads/202606240052/04</t>
  </si>
  <si>
    <t>202606240053001</t>
  </si>
  <si>
    <t>https://aoyama-digital.example.jp/ads/202606240053/01</t>
  </si>
  <si>
    <t>202606240053002</t>
  </si>
  <si>
    <t>https://shibuya-lifestyle.example.jp/ads/202606240053/02</t>
  </si>
  <si>
    <t>202606240053003</t>
  </si>
  <si>
    <t>https://ginza-cosme.example.jp/ads/202606240053/03</t>
  </si>
  <si>
    <t>202606240053004</t>
  </si>
  <si>
    <t>https://fitness-lab.example.jp/ads/202606240053/04</t>
  </si>
  <si>
    <t>202606250054001</t>
  </si>
  <si>
    <t>https://shibuya-lifestyle.example.jp/ads/202606250054/01</t>
  </si>
  <si>
    <t>202606250054002</t>
  </si>
  <si>
    <t>https://ginza-cosme.example.jp/ads/202606250054/02</t>
  </si>
  <si>
    <t>202606250054003</t>
  </si>
  <si>
    <t>https://fitness-lab.example.jp/ads/202606250054/03</t>
  </si>
  <si>
    <t>202606250054004</t>
  </si>
  <si>
    <t>https://tokyo-foodlink.example.jp/ads/202606250054/04</t>
  </si>
  <si>
    <t>202606250055001</t>
  </si>
  <si>
    <t>https://ginza-cosme.example.jp/ads/202606250055/01</t>
  </si>
  <si>
    <t>202606250055002</t>
  </si>
  <si>
    <t>https://fitness-lab.example.jp/ads/202606250055/02</t>
  </si>
  <si>
    <t>202606250055003</t>
  </si>
  <si>
    <t>https://tokyo-foodlink.example.jp/ads/202606250055/03</t>
  </si>
  <si>
    <t>202606250055004</t>
  </si>
  <si>
    <t>https://business-school.example.jp/ads/202606250055/04</t>
  </si>
  <si>
    <t>202606260056001</t>
  </si>
  <si>
    <t>https://fitness-lab.example.jp/ads/202606260056/01</t>
  </si>
  <si>
    <t>202606260056002</t>
  </si>
  <si>
    <t>https://tokyo-foodlink.example.jp/ads/202606260056/02</t>
  </si>
  <si>
    <t>202606260056003</t>
  </si>
  <si>
    <t>https://business-school.example.jp/ads/202606260056/03</t>
  </si>
  <si>
    <t>202606260056004</t>
  </si>
  <si>
    <t>https://omotesando-apparel.example.jp/ads/202606260056/04</t>
  </si>
  <si>
    <t>202606260057001</t>
  </si>
  <si>
    <t>https://tokyo-foodlink.example.jp/ads/202606260057/01</t>
  </si>
  <si>
    <t>202606260057002</t>
  </si>
  <si>
    <t>https://business-school.example.jp/ads/202606260057/02</t>
  </si>
  <si>
    <t>202606260057003</t>
  </si>
  <si>
    <t>https://omotesando-apparel.example.jp/ads/202606260057/03</t>
  </si>
  <si>
    <t>202606260057004</t>
  </si>
  <si>
    <t>https://travel-service.example.jp/ads/202606260057/04</t>
  </si>
  <si>
    <t>202606270058001</t>
  </si>
  <si>
    <t>https://business-school.example.jp/ads/202606270058/01</t>
  </si>
  <si>
    <t>202606270058002</t>
  </si>
  <si>
    <t>https://omotesando-apparel.example.jp/ads/202606270058/02</t>
  </si>
  <si>
    <t>202606270058003</t>
  </si>
  <si>
    <t>https://travel-service.example.jp/ads/202606270058/03</t>
  </si>
  <si>
    <t>202606270058004</t>
  </si>
  <si>
    <t>https://cloud-solution.example.jp/ads/202606270058/04</t>
  </si>
  <si>
    <t>202606270059001</t>
  </si>
  <si>
    <t>https://omotesando-apparel.example.jp/ads/202606270059/01</t>
  </si>
  <si>
    <t>202606270059002</t>
  </si>
  <si>
    <t>https://travel-service.example.jp/ads/202606270059/02</t>
  </si>
  <si>
    <t>202606270059003</t>
  </si>
  <si>
    <t>https://cloud-solution.example.jp/ads/202606270059/03</t>
  </si>
  <si>
    <t>202606270059004</t>
  </si>
  <si>
    <t>https://home-design.example.jp/ads/202606270059/04</t>
  </si>
  <si>
    <t>202606280060001</t>
  </si>
  <si>
    <t>https://travel-service.example.jp/ads/202606280060/01</t>
  </si>
  <si>
    <t>202606280060002</t>
  </si>
  <si>
    <t>https://cloud-solution.example.jp/ads/202606280060/02</t>
  </si>
  <si>
    <t>202606280060003</t>
  </si>
  <si>
    <t>https://home-design.example.jp/ads/202606280060/03</t>
  </si>
  <si>
    <t>202606280060004</t>
  </si>
  <si>
    <t>https://healthcare-media.example.jp/ads/202606280060/04</t>
  </si>
  <si>
    <t>202606280061001</t>
  </si>
  <si>
    <t>https://cloud-solution.example.jp/ads/202606280061/01</t>
  </si>
  <si>
    <t>202606280061002</t>
  </si>
  <si>
    <t>https://home-design.example.jp/ads/202606280061/02</t>
  </si>
  <si>
    <t>202606280061003</t>
  </si>
  <si>
    <t>https://healthcare-media.example.jp/ads/202606280061/03</t>
  </si>
  <si>
    <t>202606280061004</t>
  </si>
  <si>
    <t>https://education-publishing.example.jp/ads/202606280061/04</t>
  </si>
  <si>
    <t>202606290062001</t>
  </si>
  <si>
    <t>https://home-design.example.jp/ads/202606290062/01</t>
  </si>
  <si>
    <t>202606290062002</t>
  </si>
  <si>
    <t>https://healthcare-media.example.jp/ads/202606290062/02</t>
  </si>
  <si>
    <t>202606290062003</t>
  </si>
  <si>
    <t>https://education-publishing.example.jp/ads/202606290062/03</t>
  </si>
  <si>
    <t>202606290062004</t>
  </si>
  <si>
    <t>https://aoyama-digital.example.jp/ads/202606290062/04</t>
  </si>
  <si>
    <t>202606290063001</t>
  </si>
  <si>
    <t>https://healthcare-media.example.jp/ads/202606290063/01</t>
  </si>
  <si>
    <t>202606290063002</t>
  </si>
  <si>
    <t>https://education-publishing.example.jp/ads/202606290063/02</t>
  </si>
  <si>
    <t>202606290063003</t>
  </si>
  <si>
    <t>https://aoyama-digital.example.jp/ads/202606290063/03</t>
  </si>
  <si>
    <t>202606290063004</t>
  </si>
  <si>
    <t>https://shibuya-lifestyle.example.jp/ads/202606290063/04</t>
  </si>
  <si>
    <t>202606290064001</t>
  </si>
  <si>
    <t>https://education-publishing.example.jp/ads/202606290064/01</t>
  </si>
  <si>
    <t>202606290064002</t>
  </si>
  <si>
    <t>https://aoyama-digital.example.jp/ads/202606290064/02</t>
  </si>
  <si>
    <t>202606290064003</t>
  </si>
  <si>
    <t>https://shibuya-lifestyle.example.jp/ads/202606290064/03</t>
  </si>
  <si>
    <t>202606290064004</t>
  </si>
  <si>
    <t>https://ginza-cosme.example.jp/ads/202606290064/04</t>
  </si>
  <si>
    <t>202606300065001</t>
  </si>
  <si>
    <t>https://aoyama-digital.example.jp/ads/202606300065/01</t>
  </si>
  <si>
    <t>202606300065002</t>
  </si>
  <si>
    <t>https://shibuya-lifestyle.example.jp/ads/202606300065/02</t>
  </si>
  <si>
    <t>202606300065003</t>
  </si>
  <si>
    <t>https://ginza-cosme.example.jp/ads/202606300065/03</t>
  </si>
  <si>
    <t>202606300065004</t>
  </si>
  <si>
    <t>https://fitness-lab.example.jp/ads/202606300065/04</t>
  </si>
  <si>
    <t>202606300066001</t>
  </si>
  <si>
    <t>https://shibuya-lifestyle.example.jp/ads/202606300066/01</t>
  </si>
  <si>
    <t>202606300066002</t>
  </si>
  <si>
    <t>https://ginza-cosme.example.jp/ads/202606300066/02</t>
  </si>
  <si>
    <t>202606300066003</t>
  </si>
  <si>
    <t>https://fitness-lab.example.jp/ads/202606300066/03</t>
  </si>
  <si>
    <t>202606300066004</t>
  </si>
  <si>
    <t>https://tokyo-foodlink.example.jp/ads/202606300066/04</t>
  </si>
  <si>
    <t>202607010001001</t>
  </si>
  <si>
    <t>https://ginza-cosme.example.jp/ads/202607010001/01</t>
  </si>
  <si>
    <t>202607010001002</t>
  </si>
  <si>
    <t>https://fitness-lab.example.jp/ads/202607010001/02</t>
  </si>
  <si>
    <t>202607010001003</t>
  </si>
  <si>
    <t>https://tokyo-foodlink.example.jp/ads/202607010001/03</t>
  </si>
  <si>
    <t>202607010001004</t>
  </si>
  <si>
    <t>https://business-school.example.jp/ads/202607010001/04</t>
  </si>
  <si>
    <t>202607010002001</t>
  </si>
  <si>
    <t>https://fitness-lab.example.jp/ads/202607010002/01</t>
  </si>
  <si>
    <t>202607010002002</t>
  </si>
  <si>
    <t>https://tokyo-foodlink.example.jp/ads/202607010002/02</t>
  </si>
  <si>
    <t>202607010002003</t>
  </si>
  <si>
    <t>https://business-school.example.jp/ads/202607010002/03</t>
  </si>
  <si>
    <t>202607010002004</t>
  </si>
  <si>
    <t>https://omotesando-apparel.example.jp/ads/202607010002/04</t>
  </si>
  <si>
    <t>202607020003001</t>
  </si>
  <si>
    <t>https://tokyo-foodlink.example.jp/ads/202607020003/01</t>
  </si>
  <si>
    <t>202607020003002</t>
  </si>
  <si>
    <t>https://business-school.example.jp/ads/202607020003/02</t>
  </si>
  <si>
    <t>202607020003003</t>
  </si>
  <si>
    <t>https://omotesando-apparel.example.jp/ads/202607020003/03</t>
  </si>
  <si>
    <t>202607020003004</t>
  </si>
  <si>
    <t>https://travel-service.example.jp/ads/202607020003/04</t>
  </si>
  <si>
    <t>202607020004001</t>
  </si>
  <si>
    <t>https://business-school.example.jp/ads/202607020004/01</t>
  </si>
  <si>
    <t>202607020004002</t>
  </si>
  <si>
    <t>https://omotesando-apparel.example.jp/ads/202607020004/02</t>
  </si>
  <si>
    <t>202607020004003</t>
  </si>
  <si>
    <t>https://travel-service.example.jp/ads/202607020004/03</t>
  </si>
  <si>
    <t>202607020004004</t>
  </si>
  <si>
    <t>https://cloud-solution.example.jp/ads/202607020004/04</t>
  </si>
  <si>
    <t>202607030005001</t>
  </si>
  <si>
    <t>https://omotesando-apparel.example.jp/ads/202607030005/01</t>
  </si>
  <si>
    <t>202607030005002</t>
  </si>
  <si>
    <t>https://travel-service.example.jp/ads/202607030005/02</t>
  </si>
  <si>
    <t>202607030005003</t>
  </si>
  <si>
    <t>https://cloud-solution.example.jp/ads/202607030005/03</t>
  </si>
  <si>
    <t>202607030005004</t>
  </si>
  <si>
    <t>https://home-design.example.jp/ads/202607030005/04</t>
  </si>
  <si>
    <t>202607030006001</t>
  </si>
  <si>
    <t>https://travel-service.example.jp/ads/202607030006/01</t>
  </si>
  <si>
    <t>202607030006002</t>
  </si>
  <si>
    <t>https://cloud-solution.example.jp/ads/202607030006/02</t>
  </si>
  <si>
    <t>202607030006003</t>
  </si>
  <si>
    <t>https://home-design.example.jp/ads/202607030006/03</t>
  </si>
  <si>
    <t>202607030006004</t>
  </si>
  <si>
    <t>https://healthcare-media.example.jp/ads/202607030006/04</t>
  </si>
  <si>
    <t>202607040007001</t>
  </si>
  <si>
    <t>https://cloud-solution.example.jp/ads/202607040007/01</t>
  </si>
  <si>
    <t>202607040007002</t>
  </si>
  <si>
    <t>https://home-design.example.jp/ads/202607040007/02</t>
  </si>
  <si>
    <t>202607040007003</t>
  </si>
  <si>
    <t>https://healthcare-media.example.jp/ads/202607040007/03</t>
  </si>
  <si>
    <t>202607040007004</t>
  </si>
  <si>
    <t>https://education-publishing.example.jp/ads/202607040007/04</t>
  </si>
  <si>
    <t>202607040008001</t>
  </si>
  <si>
    <t>https://home-design.example.jp/ads/202607040008/01</t>
  </si>
  <si>
    <t>202607040008002</t>
  </si>
  <si>
    <t>https://healthcare-media.example.jp/ads/202607040008/02</t>
  </si>
  <si>
    <t>202607040008003</t>
  </si>
  <si>
    <t>https://education-publishing.example.jp/ads/202607040008/03</t>
  </si>
  <si>
    <t>202607040008004</t>
  </si>
  <si>
    <t>https://aoyama-digital.example.jp/ads/202607040008/04</t>
  </si>
  <si>
    <t>202607040009001</t>
  </si>
  <si>
    <t>https://healthcare-media.example.jp/ads/202607040009/01</t>
  </si>
  <si>
    <t>202607040009002</t>
  </si>
  <si>
    <t>https://education-publishing.example.jp/ads/202607040009/02</t>
  </si>
  <si>
    <t>202607040009003</t>
  </si>
  <si>
    <t>https://aoyama-digital.example.jp/ads/202607040009/03</t>
  </si>
  <si>
    <t>202607040009004</t>
  </si>
  <si>
    <t>https://shibuya-lifestyle.example.jp/ads/202607040009/04</t>
  </si>
  <si>
    <t>202607050010001</t>
  </si>
  <si>
    <t>https://education-publishing.example.jp/ads/202607050010/01</t>
  </si>
  <si>
    <t>202607050010002</t>
  </si>
  <si>
    <t>https://aoyama-digital.example.jp/ads/202607050010/02</t>
  </si>
  <si>
    <t>202607050010003</t>
  </si>
  <si>
    <t>https://shibuya-lifestyle.example.jp/ads/202607050010/03</t>
  </si>
  <si>
    <t>202607050010004</t>
  </si>
  <si>
    <t>https://ginza-cosme.example.jp/ads/202607050010/04</t>
  </si>
  <si>
    <t>202607050011001</t>
  </si>
  <si>
    <t>https://aoyama-digital.example.jp/ads/202607050011/01</t>
  </si>
  <si>
    <t>202607050011002</t>
  </si>
  <si>
    <t>https://shibuya-lifestyle.example.jp/ads/202607050011/02</t>
  </si>
  <si>
    <t>202607050011003</t>
  </si>
  <si>
    <t>https://ginza-cosme.example.jp/ads/202607050011/03</t>
  </si>
  <si>
    <t>202607050011004</t>
  </si>
  <si>
    <t>https://fitness-lab.example.jp/ads/202607050011/04</t>
  </si>
  <si>
    <t>202607060012001</t>
  </si>
  <si>
    <t>https://shibuya-lifestyle.example.jp/ads/202607060012/01</t>
  </si>
  <si>
    <t>202607060012002</t>
  </si>
  <si>
    <t>https://ginza-cosme.example.jp/ads/202607060012/02</t>
  </si>
  <si>
    <t>202607060012003</t>
  </si>
  <si>
    <t>https://fitness-lab.example.jp/ads/202607060012/03</t>
  </si>
  <si>
    <t>202607060012004</t>
  </si>
  <si>
    <t>https://tokyo-foodlink.example.jp/ads/202607060012/04</t>
  </si>
  <si>
    <t>202607060013001</t>
  </si>
  <si>
    <t>https://ginza-cosme.example.jp/ads/202607060013/01</t>
  </si>
  <si>
    <t>202607060013002</t>
  </si>
  <si>
    <t>https://fitness-lab.example.jp/ads/202607060013/02</t>
  </si>
  <si>
    <t>202607060013003</t>
  </si>
  <si>
    <t>https://tokyo-foodlink.example.jp/ads/202607060013/03</t>
  </si>
  <si>
    <t>202607060013004</t>
  </si>
  <si>
    <t>https://business-school.example.jp/ads/202607060013/04</t>
  </si>
  <si>
    <t>202607070014001</t>
  </si>
  <si>
    <t>https://fitness-lab.example.jp/ads/202607070014/01</t>
  </si>
  <si>
    <t>202607070014002</t>
  </si>
  <si>
    <t>https://tokyo-foodlink.example.jp/ads/202607070014/02</t>
  </si>
  <si>
    <t>202607070014003</t>
  </si>
  <si>
    <t>https://business-school.example.jp/ads/202607070014/03</t>
  </si>
  <si>
    <t>202607070014004</t>
  </si>
  <si>
    <t>https://omotesando-apparel.example.jp/ads/202607070014/04</t>
  </si>
  <si>
    <t>202607070015001</t>
  </si>
  <si>
    <t>https://tokyo-foodlink.example.jp/ads/202607070015/01</t>
  </si>
  <si>
    <t>202607070015002</t>
  </si>
  <si>
    <t>https://business-school.example.jp/ads/202607070015/02</t>
  </si>
  <si>
    <t>202607070015003</t>
  </si>
  <si>
    <t>https://omotesando-apparel.example.jp/ads/202607070015/03</t>
  </si>
  <si>
    <t>202607070015004</t>
  </si>
  <si>
    <t>https://travel-service.example.jp/ads/202607070015/04</t>
  </si>
  <si>
    <t>202607080016001</t>
  </si>
  <si>
    <t>https://business-school.example.jp/ads/202607080016/01</t>
  </si>
  <si>
    <t>202607080016002</t>
  </si>
  <si>
    <t>https://omotesando-apparel.example.jp/ads/202607080016/02</t>
  </si>
  <si>
    <t>202607080016003</t>
  </si>
  <si>
    <t>https://travel-service.example.jp/ads/202607080016/03</t>
  </si>
  <si>
    <t>202607080016004</t>
  </si>
  <si>
    <t>https://cloud-solution.example.jp/ads/202607080016/04</t>
  </si>
  <si>
    <t>202607080017001</t>
  </si>
  <si>
    <t>https://omotesando-apparel.example.jp/ads/202607080017/01</t>
  </si>
  <si>
    <t>202607080017002</t>
  </si>
  <si>
    <t>https://travel-service.example.jp/ads/202607080017/02</t>
  </si>
  <si>
    <t>202607080017003</t>
  </si>
  <si>
    <t>https://cloud-solution.example.jp/ads/202607080017/03</t>
  </si>
  <si>
    <t>202607080017004</t>
  </si>
  <si>
    <t>https://home-design.example.jp/ads/202607080017/04</t>
  </si>
  <si>
    <t>202607090018001</t>
  </si>
  <si>
    <t>https://travel-service.example.jp/ads/202607090018/01</t>
  </si>
  <si>
    <t>202607090018002</t>
  </si>
  <si>
    <t>https://cloud-solution.example.jp/ads/202607090018/02</t>
  </si>
  <si>
    <t>202607090018003</t>
  </si>
  <si>
    <t>https://home-design.example.jp/ads/202607090018/03</t>
  </si>
  <si>
    <t>202607090018004</t>
  </si>
  <si>
    <t>https://healthcare-media.example.jp/ads/202607090018/04</t>
  </si>
  <si>
    <t>202607090019001</t>
  </si>
  <si>
    <t>https://cloud-solution.example.jp/ads/202607090019/01</t>
  </si>
  <si>
    <t>202607090019002</t>
  </si>
  <si>
    <t>https://home-design.example.jp/ads/202607090019/02</t>
  </si>
  <si>
    <t>202607090019003</t>
  </si>
  <si>
    <t>https://healthcare-media.example.jp/ads/202607090019/03</t>
  </si>
  <si>
    <t>202607090019004</t>
  </si>
  <si>
    <t>https://education-publishing.example.jp/ads/202607090019/04</t>
  </si>
  <si>
    <t>202607100020001</t>
  </si>
  <si>
    <t>https://home-design.example.jp/ads/202607100020/01</t>
  </si>
  <si>
    <t>202607100020002</t>
  </si>
  <si>
    <t>https://healthcare-media.example.jp/ads/202607100020/02</t>
  </si>
  <si>
    <t>202607100020003</t>
  </si>
  <si>
    <t>https://education-publishing.example.jp/ads/202607100020/03</t>
  </si>
  <si>
    <t>202607100020004</t>
  </si>
  <si>
    <t>https://aoyama-digital.example.jp/ads/202607100020/04</t>
  </si>
  <si>
    <t>202607100021001</t>
  </si>
  <si>
    <t>https://healthcare-media.example.jp/ads/202607100021/01</t>
  </si>
  <si>
    <t>202607100021002</t>
  </si>
  <si>
    <t>https://education-publishing.example.jp/ads/202607100021/02</t>
  </si>
  <si>
    <t>202607100021003</t>
  </si>
  <si>
    <t>https://aoyama-digital.example.jp/ads/202607100021/03</t>
  </si>
  <si>
    <t>202607100021004</t>
  </si>
  <si>
    <t>https://shibuya-lifestyle.example.jp/ads/202607100021/04</t>
  </si>
  <si>
    <t>202607100022001</t>
  </si>
  <si>
    <t>https://education-publishing.example.jp/ads/202607100022/01</t>
  </si>
  <si>
    <t>202607100022002</t>
  </si>
  <si>
    <t>https://aoyama-digital.example.jp/ads/202607100022/02</t>
  </si>
  <si>
    <t>202607100022003</t>
  </si>
  <si>
    <t>https://shibuya-lifestyle.example.jp/ads/202607100022/03</t>
  </si>
  <si>
    <t>202607100022004</t>
  </si>
  <si>
    <t>https://ginza-cosme.example.jp/ads/202607100022/04</t>
  </si>
  <si>
    <t>202607110023001</t>
  </si>
  <si>
    <t>https://aoyama-digital.example.jp/ads/202607110023/01</t>
  </si>
  <si>
    <t>202607110023002</t>
  </si>
  <si>
    <t>https://shibuya-lifestyle.example.jp/ads/202607110023/02</t>
  </si>
  <si>
    <t>202607110023003</t>
  </si>
  <si>
    <t>https://ginza-cosme.example.jp/ads/202607110023/03</t>
  </si>
  <si>
    <t>202607110023004</t>
  </si>
  <si>
    <t>https://fitness-lab.example.jp/ads/202607110023/04</t>
  </si>
  <si>
    <t>202607110024001</t>
  </si>
  <si>
    <t>https://shibuya-lifestyle.example.jp/ads/202607110024/01</t>
  </si>
  <si>
    <t>202607110024002</t>
  </si>
  <si>
    <t>https://ginza-cosme.example.jp/ads/202607110024/02</t>
  </si>
  <si>
    <t>202607110024003</t>
  </si>
  <si>
    <t>https://fitness-lab.example.jp/ads/202607110024/03</t>
  </si>
  <si>
    <t>202607110024004</t>
  </si>
  <si>
    <t>https://tokyo-foodlink.example.jp/ads/202607110024/04</t>
  </si>
  <si>
    <t>202607120025001</t>
  </si>
  <si>
    <t>https://ginza-cosme.example.jp/ads/202607120025/01</t>
  </si>
  <si>
    <t>202607120025002</t>
  </si>
  <si>
    <t>https://fitness-lab.example.jp/ads/202607120025/02</t>
  </si>
  <si>
    <t>202607120025003</t>
  </si>
  <si>
    <t>https://tokyo-foodlink.example.jp/ads/202607120025/03</t>
  </si>
  <si>
    <t>202607120025004</t>
  </si>
  <si>
    <t>https://business-school.example.jp/ads/202607120025/04</t>
  </si>
  <si>
    <t>202607120026001</t>
  </si>
  <si>
    <t>https://fitness-lab.example.jp/ads/202607120026/01</t>
  </si>
  <si>
    <t>202607120026002</t>
  </si>
  <si>
    <t>https://tokyo-foodlink.example.jp/ads/202607120026/02</t>
  </si>
  <si>
    <t>202607120026003</t>
  </si>
  <si>
    <t>https://business-school.example.jp/ads/202607120026/03</t>
  </si>
  <si>
    <t>202607120026004</t>
  </si>
  <si>
    <t>https://omotesando-apparel.example.jp/ads/202607120026/04</t>
  </si>
  <si>
    <t>202607130027001</t>
  </si>
  <si>
    <t>https://tokyo-foodlink.example.jp/ads/202607130027/01</t>
  </si>
  <si>
    <t>202607130027002</t>
  </si>
  <si>
    <t>https://business-school.example.jp/ads/202607130027/02</t>
  </si>
  <si>
    <t>202607130027003</t>
  </si>
  <si>
    <t>https://omotesando-apparel.example.jp/ads/202607130027/03</t>
  </si>
  <si>
    <t>202607130027004</t>
  </si>
  <si>
    <t>https://travel-service.example.jp/ads/202607130027/04</t>
  </si>
  <si>
    <t>202607130028001</t>
  </si>
  <si>
    <t>https://business-school.example.jp/ads/202607130028/01</t>
  </si>
  <si>
    <t>202607130028002</t>
  </si>
  <si>
    <t>https://omotesando-apparel.example.jp/ads/202607130028/02</t>
  </si>
  <si>
    <t>202607130028003</t>
  </si>
  <si>
    <t>https://travel-service.example.jp/ads/202607130028/03</t>
  </si>
  <si>
    <t>202607130028004</t>
  </si>
  <si>
    <t>https://cloud-solution.example.jp/ads/202607130028/04</t>
  </si>
  <si>
    <t>202607140029001</t>
  </si>
  <si>
    <t>https://omotesando-apparel.example.jp/ads/202607140029/01</t>
  </si>
  <si>
    <t>202607140029002</t>
  </si>
  <si>
    <t>https://travel-service.example.jp/ads/202607140029/02</t>
  </si>
  <si>
    <t>202607140029003</t>
  </si>
  <si>
    <t>https://cloud-solution.example.jp/ads/202607140029/03</t>
  </si>
  <si>
    <t>202607140029004</t>
  </si>
  <si>
    <t>https://home-design.example.jp/ads/202607140029/04</t>
  </si>
  <si>
    <t>202607140030001</t>
  </si>
  <si>
    <t>https://travel-service.example.jp/ads/202607140030/01</t>
  </si>
  <si>
    <t>202607140030002</t>
  </si>
  <si>
    <t>https://cloud-solution.example.jp/ads/202607140030/02</t>
  </si>
  <si>
    <t>202607140030003</t>
  </si>
  <si>
    <t>https://home-design.example.jp/ads/202607140030/03</t>
  </si>
  <si>
    <t>202607140030004</t>
  </si>
  <si>
    <t>https://healthcare-media.example.jp/ads/202607140030/04</t>
  </si>
  <si>
    <t>契約ヘッダー</t>
  </si>
  <si>
    <r>
      <rPr>
        <sz val="11"/>
        <color rgb="FF000000"/>
        <rFont val="Calibri"/>
        <family val="2"/>
      </rPr>
      <t>sales.contracts</t>
    </r>
    <phoneticPr fontId="0"/>
  </si>
  <si>
    <t>contract_id</t>
  </si>
  <si>
    <t>契約ID</t>
  </si>
  <si>
    <t>見積ID（契約確定元見積）</t>
  </si>
  <si>
    <t>サイト運営会社ID</t>
  </si>
  <si>
    <t>外貨建て合計金額</t>
  </si>
  <si>
    <t>円建て合計金額</t>
  </si>
  <si>
    <t>契約状態（1=有効,2=完了,9=解約）</t>
  </si>
  <si>
    <t>202607040001</t>
  </si>
  <si>
    <t>202607040002</t>
  </si>
  <si>
    <t>202607050003</t>
  </si>
  <si>
    <t>202607050004</t>
  </si>
  <si>
    <t>202607060005</t>
  </si>
  <si>
    <t>202607060006</t>
  </si>
  <si>
    <t>202607070007</t>
  </si>
  <si>
    <t>202607070008</t>
  </si>
  <si>
    <t>202607080009</t>
  </si>
  <si>
    <t>202607080010</t>
  </si>
  <si>
    <t>202607090011</t>
  </si>
  <si>
    <t>202607090012</t>
  </si>
  <si>
    <t>202607090013</t>
  </si>
  <si>
    <t>202607100014</t>
  </si>
  <si>
    <t>202607100015</t>
  </si>
  <si>
    <t>202607110016</t>
  </si>
  <si>
    <t>202607110017</t>
  </si>
  <si>
    <t>202607120018</t>
  </si>
  <si>
    <t>202607120019</t>
  </si>
  <si>
    <t>202607130020</t>
  </si>
  <si>
    <t>202607130021</t>
  </si>
  <si>
    <t>202607140022</t>
  </si>
  <si>
    <t>202607140023</t>
  </si>
  <si>
    <t>202607140024</t>
  </si>
  <si>
    <t>202607150025</t>
  </si>
  <si>
    <t>202607150026</t>
  </si>
  <si>
    <t>202607160027</t>
  </si>
  <si>
    <t>202607160028</t>
  </si>
  <si>
    <t>202607170029</t>
  </si>
  <si>
    <t>202607170030</t>
  </si>
  <si>
    <t>202607180031</t>
  </si>
  <si>
    <t>202607180032</t>
  </si>
  <si>
    <t>202607190033</t>
  </si>
  <si>
    <t>202607190034</t>
  </si>
  <si>
    <t>202607200035</t>
  </si>
  <si>
    <t>202607200036</t>
  </si>
  <si>
    <t>202607200037</t>
  </si>
  <si>
    <t>202607210038</t>
  </si>
  <si>
    <t>202607210039</t>
  </si>
  <si>
    <t>202607220040</t>
  </si>
  <si>
    <t>202607220041</t>
  </si>
  <si>
    <t>202607230042</t>
  </si>
  <si>
    <t>202607230043</t>
  </si>
  <si>
    <t>202607240044</t>
  </si>
  <si>
    <t>202607240045</t>
  </si>
  <si>
    <t>契約明細</t>
  </si>
  <si>
    <r>
      <rPr>
        <sz val="11"/>
        <color rgb="FF000000"/>
        <rFont val="Calibri"/>
        <family val="2"/>
      </rPr>
      <t>sales.contract_details</t>
    </r>
    <phoneticPr fontId="0"/>
  </si>
  <si>
    <t>quotation_detail_id</t>
  </si>
  <si>
    <t>対応見積明細ID</t>
  </si>
  <si>
    <t>表示週数</t>
  </si>
  <si>
    <t>表示月数</t>
  </si>
  <si>
    <t>外貨建て単価</t>
  </si>
  <si>
    <t>外貨建て金額</t>
  </si>
  <si>
    <t>円建て金額</t>
  </si>
  <si>
    <t>202607040001001</t>
  </si>
  <si>
    <t>202607040001002</t>
  </si>
  <si>
    <t>202607040001003</t>
  </si>
  <si>
    <t>202607040001004</t>
  </si>
  <si>
    <t>202607040002001</t>
  </si>
  <si>
    <t>202607040002002</t>
  </si>
  <si>
    <t>202607040002003</t>
  </si>
  <si>
    <t>202607040002004</t>
  </si>
  <si>
    <t>202607050003001</t>
  </si>
  <si>
    <t>202607050003002</t>
  </si>
  <si>
    <t>202607050003003</t>
  </si>
  <si>
    <t>202607050003004</t>
  </si>
  <si>
    <t>202607050004001</t>
  </si>
  <si>
    <t>202607050004002</t>
  </si>
  <si>
    <t>202607050004003</t>
  </si>
  <si>
    <t>202607050004004</t>
  </si>
  <si>
    <t>202607060005001</t>
  </si>
  <si>
    <t>202607060005002</t>
  </si>
  <si>
    <t>202607060005003</t>
  </si>
  <si>
    <t>202607060005004</t>
  </si>
  <si>
    <t>202607060006001</t>
  </si>
  <si>
    <t>202607060006002</t>
  </si>
  <si>
    <t>202607060006003</t>
  </si>
  <si>
    <t>202607060006004</t>
  </si>
  <si>
    <t>202607070007001</t>
  </si>
  <si>
    <t>202607070007002</t>
  </si>
  <si>
    <t>202607070007003</t>
  </si>
  <si>
    <t>202607070007004</t>
  </si>
  <si>
    <t>202607070008001</t>
  </si>
  <si>
    <t>202607070008002</t>
  </si>
  <si>
    <t>202607070008003</t>
  </si>
  <si>
    <t>202607070008004</t>
  </si>
  <si>
    <t>202607080009001</t>
  </si>
  <si>
    <t>202607080009002</t>
  </si>
  <si>
    <t>202607080009003</t>
  </si>
  <si>
    <t>202607080009004</t>
  </si>
  <si>
    <t>202607080010001</t>
  </si>
  <si>
    <t>202607080010002</t>
  </si>
  <si>
    <t>202607080010003</t>
  </si>
  <si>
    <t>202607080010004</t>
  </si>
  <si>
    <t>202607090011001</t>
  </si>
  <si>
    <t>202607090011002</t>
  </si>
  <si>
    <t>202607090011003</t>
  </si>
  <si>
    <t>202607090011004</t>
  </si>
  <si>
    <t>202607090012001</t>
  </si>
  <si>
    <t>202607090012002</t>
  </si>
  <si>
    <t>202607090012003</t>
  </si>
  <si>
    <t>202607090012004</t>
  </si>
  <si>
    <t>202607090013001</t>
  </si>
  <si>
    <t>202607090013002</t>
  </si>
  <si>
    <t>202607090013003</t>
  </si>
  <si>
    <t>202607090013004</t>
  </si>
  <si>
    <t>202607100014001</t>
  </si>
  <si>
    <t>202607100014002</t>
  </si>
  <si>
    <t>202607100014003</t>
  </si>
  <si>
    <t>202607100014004</t>
  </si>
  <si>
    <t>202607100015001</t>
  </si>
  <si>
    <t>202607100015002</t>
  </si>
  <si>
    <t>202607100015003</t>
  </si>
  <si>
    <t>202607100015004</t>
  </si>
  <si>
    <t>202607110016001</t>
  </si>
  <si>
    <t>202607110016002</t>
  </si>
  <si>
    <t>202607110016003</t>
  </si>
  <si>
    <t>202607110016004</t>
  </si>
  <si>
    <t>202607110017001</t>
  </si>
  <si>
    <t>202607110017002</t>
  </si>
  <si>
    <t>202607110017003</t>
  </si>
  <si>
    <t>202607110017004</t>
  </si>
  <si>
    <t>202607120018001</t>
  </si>
  <si>
    <t>202607120018002</t>
  </si>
  <si>
    <t>202607120018003</t>
  </si>
  <si>
    <t>202607120018004</t>
  </si>
  <si>
    <t>202607120019001</t>
  </si>
  <si>
    <t>202607120019002</t>
  </si>
  <si>
    <t>202607120019003</t>
  </si>
  <si>
    <t>202607120019004</t>
  </si>
  <si>
    <t>202607130020001</t>
  </si>
  <si>
    <t>202607130020002</t>
  </si>
  <si>
    <t>202607130020003</t>
  </si>
  <si>
    <t>202607130020004</t>
  </si>
  <si>
    <t>202607130021001</t>
  </si>
  <si>
    <t>202607130021002</t>
  </si>
  <si>
    <t>202607130021003</t>
  </si>
  <si>
    <t>202607130021004</t>
  </si>
  <si>
    <t>202607140022001</t>
  </si>
  <si>
    <t>202607140022002</t>
  </si>
  <si>
    <t>202607140022003</t>
  </si>
  <si>
    <t>202607140022004</t>
  </si>
  <si>
    <t>202607140023001</t>
  </si>
  <si>
    <t>202607140023002</t>
  </si>
  <si>
    <t>202607140023003</t>
  </si>
  <si>
    <t>202607140023004</t>
  </si>
  <si>
    <t>202607140024001</t>
  </si>
  <si>
    <t>202607140024002</t>
  </si>
  <si>
    <t>202607140024003</t>
  </si>
  <si>
    <t>202607140024004</t>
  </si>
  <si>
    <t>202607150025001</t>
  </si>
  <si>
    <t>202607150025002</t>
  </si>
  <si>
    <t>202607150025003</t>
  </si>
  <si>
    <t>202607150025004</t>
  </si>
  <si>
    <t>202607150026001</t>
  </si>
  <si>
    <t>202607150026002</t>
  </si>
  <si>
    <t>202607150026003</t>
  </si>
  <si>
    <t>202607150026004</t>
  </si>
  <si>
    <t>202607160027001</t>
  </si>
  <si>
    <t>202607160027002</t>
  </si>
  <si>
    <t>202607160027003</t>
  </si>
  <si>
    <t>202607160027004</t>
  </si>
  <si>
    <t>202607160028001</t>
  </si>
  <si>
    <t>202607160028002</t>
  </si>
  <si>
    <t>202607160028003</t>
  </si>
  <si>
    <t>202607160028004</t>
  </si>
  <si>
    <t>202607170029001</t>
  </si>
  <si>
    <t>202607170029002</t>
  </si>
  <si>
    <t>202607170029003</t>
  </si>
  <si>
    <t>202607170029004</t>
  </si>
  <si>
    <t>202607170030001</t>
  </si>
  <si>
    <t>202607170030002</t>
  </si>
  <si>
    <t>202607170030003</t>
  </si>
  <si>
    <t>202607170030004</t>
  </si>
  <si>
    <t>202607180031001</t>
  </si>
  <si>
    <t>202607180031002</t>
  </si>
  <si>
    <t>202607180031003</t>
  </si>
  <si>
    <t>202607180031004</t>
  </si>
  <si>
    <t>202607180032001</t>
  </si>
  <si>
    <t>202607180032002</t>
  </si>
  <si>
    <t>202607180032003</t>
  </si>
  <si>
    <t>202607180032004</t>
  </si>
  <si>
    <t>202607190033001</t>
  </si>
  <si>
    <t>202607190033002</t>
  </si>
  <si>
    <t>202607190033003</t>
  </si>
  <si>
    <t>202607190033004</t>
  </si>
  <si>
    <t>202607190034001</t>
  </si>
  <si>
    <t>202607190034002</t>
  </si>
  <si>
    <t>202607190034003</t>
  </si>
  <si>
    <t>202607190034004</t>
  </si>
  <si>
    <t>202607200035001</t>
  </si>
  <si>
    <t>202607200035002</t>
  </si>
  <si>
    <t>202607200035003</t>
  </si>
  <si>
    <t>202607200035004</t>
  </si>
  <si>
    <t>202607200036001</t>
  </si>
  <si>
    <t>202607200036002</t>
  </si>
  <si>
    <t>202607200036003</t>
  </si>
  <si>
    <t>202607200036004</t>
  </si>
  <si>
    <t>202607200037001</t>
  </si>
  <si>
    <t>202607200037002</t>
  </si>
  <si>
    <t>202607200037003</t>
  </si>
  <si>
    <t>202607200037004</t>
  </si>
  <si>
    <t>202607210038001</t>
  </si>
  <si>
    <t>202607210038002</t>
  </si>
  <si>
    <t>202607210038003</t>
  </si>
  <si>
    <t>202607210038004</t>
  </si>
  <si>
    <t>202607210039001</t>
  </si>
  <si>
    <t>202607210039002</t>
  </si>
  <si>
    <t>202607210039003</t>
  </si>
  <si>
    <t>202607210039004</t>
  </si>
  <si>
    <t>202607220040001</t>
  </si>
  <si>
    <t>202607220040002</t>
  </si>
  <si>
    <t>202607220040003</t>
  </si>
  <si>
    <t>202607220040004</t>
  </si>
  <si>
    <t>202607220041001</t>
  </si>
  <si>
    <t>202607220041002</t>
  </si>
  <si>
    <t>202607220041003</t>
  </si>
  <si>
    <t>202607220041004</t>
  </si>
  <si>
    <t>202607230042001</t>
  </si>
  <si>
    <t>202607230042002</t>
  </si>
  <si>
    <t>202607230042003</t>
  </si>
  <si>
    <t>202607230042004</t>
  </si>
  <si>
    <t>202607230043001</t>
  </si>
  <si>
    <t>202607230043002</t>
  </si>
  <si>
    <t>202607230043003</t>
  </si>
  <si>
    <t>202607230043004</t>
  </si>
  <si>
    <t>202607240044001</t>
  </si>
  <si>
    <t>202607240044002</t>
  </si>
  <si>
    <t>202607240044003</t>
  </si>
  <si>
    <t>202607240044004</t>
  </si>
  <si>
    <t>202607240045001</t>
  </si>
  <si>
    <t>202607240045002</t>
  </si>
  <si>
    <t>202607240045003</t>
  </si>
  <si>
    <t>202607240045004</t>
  </si>
  <si>
    <t>[INSERT] データ取り込み成功 処理件数：10件</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</si>
</sst>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hh:mm:ss"/>
    <numFmt numFmtId="177" formatCode="yyyy/mm/dd"/>
  </numFmts>
  <fonts count="12">
    <font>
      <sz val="11"/>
      <color rgb="FF000000"/>
      <name val="Calibri"/>
      <family val="2"/>
    </font>
    <font>
      <sz val="9"/>
      <color rgb="FF000000"/>
      <name val="Tahoma"/>
      <family val="2"/>
    </font>
    <font>
      <sz val="6"/>
      <name val="ＭＳ ゴシック"/>
      <family val="3"/>
      <charset val="128"/>
    </font>
    <font>
      <sz val="11"/>
      <color rgb="FF000000"/>
      <name val="Noto Sans JP"/>
      <family val="2"/>
      <charset val="128"/>
    </font>
    <font>
      <sz val="11"/>
      <color rgb="FF000000"/>
      <name val="Calibri"/>
      <family val="2"/>
      <charset val="128"/>
    </font>
    <font>
      <sz val="11"/>
      <name val="MS Gothic"/>
      <family val="3"/>
    </font>
    <font>
      <b/>
      <sz val="11"/>
      <color rgb="FF0000FF"/>
      <name val="Calibri"/>
      <family val="2"/>
    </font>
    <font>
      <sz val="11"/>
      <color rgb="FF000000"/>
      <name val="Noto Sans JP"/>
      <family val="2"/>
    </font>
    <font>
      <sz val="11"/>
      <color rgb="FF000000"/>
      <name val="ＭＳ ゴシック"/>
      <family val="2"/>
    </font>
    <font>
      <sz val="11"/>
      <color rgb="FF000000"/>
      <name val="ＭＳ ゴシック"/>
      <family val="3"/>
    </font>
    <font>
      <sz val="11"/>
      <color rgb="FF000000"/>
      <name val="游ゴシック"/>
      <family val="2"/>
    </font>
    <font>
      <b/>
      <sz val="11"/>
      <color rgb="FFFF0000"/>
      <name val="Calibri"/>
      <family val="2"/>
    </font>
  </fonts>
  <fills count="8">
    <fill>
      <patternFill patternType="none"/>
    </fill>
    <fill>
      <patternFill patternType="gray125"/>
    </fill>
    <fill>
      <patternFill patternType="solid">
        <fgColor rgb="FFD9D9D9"/>
      </patternFill>
    </fill>
    <fill>
      <patternFill patternType="solid">
        <fgColor rgb="FFF2F2F2"/>
      </patternFill>
    </fill>
    <fill>
      <patternFill patternType="solid">
        <fgColor rgb="FFBDD7EE"/>
      </patternFill>
    </fill>
    <fill>
      <patternFill patternType="solid">
        <fgColor rgb="FFC0C0C0"/>
      </patternFill>
    </fill>
    <fill>
      <patternFill patternType="solid">
        <fgColor rgb="FFD9E1F2"/>
      </patternFill>
    </fill>
    <fill>
      <patternFill patternType="solid">
        <fgColor rgb="FFFFA500"/>
      </patternFill>
    </fill>
  </fills>
  <borders count="2">
    <border>
      <left/>
      <right/>
      <top/>
      <bottom/>
      <diagonal/>
    </border>
    <border>
      <left/>
      <right style="thin">
        <color rgb="FFD9D9D9"/>
      </right>
      <top/>
      <bottom style="thin">
        <color rgb="FFD9D9D9"/>
      </bottom>
      <diagonal/>
    </border>
  </borders>
  <cellStyleXfs count="1">
    <xf numFmtId="0" fontId="0" fillId="0" borderId="0" applyBorder="0"/>
  </cellStyleXfs>
  <cellXfs count="49">
    <xf numFmtId="0" fontId="0" fillId="0" borderId="0" xfId="0"/>
    <xf numFmtId="0" fontId="0" fillId="0" borderId="0" xfId="0" applyAlignment="1" applyProtection="1">
      <alignment vertical="top"/>
      <protection locked="0"/>
    </xf>
    <xf numFmtId="49" fontId="0" fillId="0" borderId="0" xfId="0" applyNumberFormat="1" applyAlignment="1" applyProtection="1">
      <alignment vertical="top" wrapText="1"/>
      <protection locked="0"/>
    </xf>
    <xf numFmtId="176" fontId="0" fillId="0" borderId="0" xfId="0" applyNumberFormat="1" applyAlignment="1" applyProtection="1">
      <alignment vertical="top"/>
      <protection locked="0"/>
    </xf>
    <xf numFmtId="0" fontId="0" fillId="0" borderId="0" xfId="0" applyAlignment="1">
      <alignment vertical="top"/>
    </xf>
    <xf numFmtId="0" fontId="0" fillId="2" borderId="0" xfId="0" applyFill="1" applyAlignment="1">
      <alignment vertical="top"/>
    </xf>
    <xf numFmtId="49" fontId="0" fillId="3" borderId="0" xfId="0" applyNumberFormat="1" applyFill="1" applyAlignment="1">
      <alignment vertical="top"/>
    </xf>
    <xf numFmtId="49" fontId="0" fillId="2" borderId="0" xfId="0" applyNumberFormat="1" applyFill="1" applyAlignment="1">
      <alignment vertical="top"/>
    </xf>
    <xf numFmtId="176" fontId="0" fillId="0" borderId="0" xfId="0" applyNumberFormat="1" applyAlignment="1">
      <alignment vertical="top"/>
    </xf>
    <xf numFmtId="49" fontId="0" fillId="0" borderId="0" xfId="0" applyNumberFormat="1" applyAlignment="1">
      <alignment vertical="top"/>
    </xf>
    <xf numFmtId="49" fontId="0" fillId="2" borderId="0" xfId="0" applyNumberFormat="1" applyFill="1" applyAlignment="1">
      <alignment vertical="top" wrapText="1"/>
    </xf>
    <xf numFmtId="49" fontId="0" fillId="4" borderId="0" xfId="0" applyNumberFormat="1" applyFill="1" applyAlignment="1">
      <alignment vertical="top"/>
    </xf>
    <xf numFmtId="49" fontId="0" fillId="5" borderId="0" xfId="0" applyNumberFormat="1" applyFill="1" applyAlignment="1">
      <alignment vertical="top"/>
    </xf>
    <xf numFmtId="176" fontId="0" fillId="5" borderId="0" xfId="0" applyNumberFormat="1" applyFill="1" applyAlignment="1">
      <alignment vertical="top" wrapText="1"/>
    </xf>
    <xf numFmtId="49" fontId="0" fillId="5" borderId="0" xfId="0" applyNumberFormat="1" applyFill="1" applyAlignment="1">
      <alignment vertical="top" wrapText="1"/>
    </xf>
    <xf numFmtId="176" fontId="0" fillId="5" borderId="0" xfId="0" applyNumberFormat="1" applyFill="1" applyAlignment="1">
      <alignment vertical="top"/>
    </xf>
    <xf numFmtId="0" fontId="0" fillId="5" borderId="0" xfId="0" applyFill="1" applyAlignment="1">
      <alignment vertical="top"/>
    </xf>
    <xf numFmtId="0" fontId="0" fillId="2" borderId="0" xfId="0" applyFill="1" applyAlignment="1" applyProtection="1">
      <alignment vertical="top"/>
      <protection locked="0"/>
    </xf>
    <xf numFmtId="49" fontId="0" fillId="4" borderId="0" xfId="0" applyNumberFormat="1" applyFill="1" applyAlignment="1" applyProtection="1">
      <alignment vertical="top"/>
      <protection locked="0"/>
    </xf>
    <xf numFmtId="49" fontId="0" fillId="5" borderId="0" xfId="0" applyNumberFormat="1" applyFill="1" applyAlignment="1" applyProtection="1">
      <alignment vertical="top"/>
      <protection locked="0"/>
    </xf>
    <xf numFmtId="176" fontId="0" fillId="5" borderId="0" xfId="0" applyNumberFormat="1" applyFill="1" applyAlignment="1" applyProtection="1">
      <alignment vertical="top"/>
      <protection locked="0"/>
    </xf>
    <xf numFmtId="0" fontId="0" fillId="6" borderId="0" xfId="0" applyFill="1" applyAlignment="1" applyProtection="1">
      <alignment vertical="top"/>
      <protection locked="0"/>
    </xf>
    <xf numFmtId="0" fontId="0" fillId="5" borderId="0" xfId="0" applyFill="1" applyAlignment="1">
      <alignment vertical="top" wrapText="1"/>
    </xf>
    <xf numFmtId="0" fontId="0" fillId="5" borderId="0" xfId="0" applyFill="1" applyAlignment="1" applyProtection="1">
      <alignment vertical="top"/>
      <protection locked="0"/>
    </xf>
    <xf numFmtId="49" fontId="4" fillId="0" borderId="0" xfId="0" applyNumberFormat="1" applyFont="1" applyAlignment="1" applyProtection="1">
      <alignment vertical="top" wrapText="1"/>
      <protection locked="0"/>
    </xf>
    <xf numFmtId="0" fontId="5" fillId="0" borderId="1" xfId="0" applyFont="1" applyBorder="1" applyAlignment="1" applyProtection="1">
      <alignment vertical="top"/>
      <protection locked="0"/>
    </xf>
    <xf numFmtId="2" fontId="0" fillId="0" borderId="0" xfId="0" applyNumberFormat="1" applyAlignment="1">
      <alignment vertical="top"/>
    </xf>
    <xf numFmtId="2" fontId="0" fillId="5" borderId="0" xfId="0" applyNumberFormat="1" applyFill="1" applyAlignment="1">
      <alignment vertical="top" wrapText="1"/>
    </xf>
    <xf numFmtId="2" fontId="0" fillId="5" borderId="0" xfId="0" applyNumberFormat="1" applyFill="1" applyAlignment="1">
      <alignment vertical="top"/>
    </xf>
    <xf numFmtId="2" fontId="0" fillId="5" borderId="0" xfId="0" applyNumberFormat="1" applyFill="1" applyAlignment="1" applyProtection="1">
      <alignment vertical="top"/>
      <protection locked="0"/>
    </xf>
    <xf numFmtId="2" fontId="0" fillId="0" borderId="0" xfId="0" applyNumberFormat="1" applyAlignment="1" applyProtection="1">
      <alignment vertical="top"/>
      <protection locked="0"/>
    </xf>
    <xf numFmtId="1" fontId="0" fillId="0" borderId="0" xfId="0" applyNumberFormat="1" applyAlignment="1" applyProtection="1">
      <alignment vertical="top"/>
      <protection locked="0"/>
    </xf>
    <xf numFmtId="49" fontId="3" fillId="0" borderId="0" xfId="0" applyNumberFormat="1" applyFont="1" applyAlignment="1" applyProtection="1">
      <alignment vertical="top" wrapText="1"/>
      <protection locked="0"/>
    </xf>
    <xf numFmtId="49" fontId="6" fillId="0" borderId="0" xfId="0" applyNumberFormat="1" applyFont="1" applyAlignment="1" applyProtection="1">
      <alignment vertical="top"/>
      <protection locked="0"/>
    </xf>
    <xf numFmtId="0" fontId="6" fillId="0" borderId="0" xfId="0" applyFont="1" applyAlignment="1" applyProtection="1">
      <alignment vertical="top"/>
      <protection locked="0"/>
    </xf>
    <xf numFmtId="49" fontId="6" fillId="0" borderId="0" xfId="0" applyNumberFormat="1" applyFont="1" applyAlignment="1" applyProtection="1">
      <alignment vertical="top" wrapText="1"/>
      <protection locked="0"/>
    </xf>
    <xf numFmtId="0" fontId="0" fillId="0" borderId="1" xfId="0" applyBorder="1" applyAlignment="1" applyProtection="1">
      <alignment vertical="top"/>
      <protection locked="0"/>
    </xf>
    <xf numFmtId="177" fontId="0" fillId="0" borderId="0" xfId="0" applyNumberFormat="1" applyAlignment="1">
      <alignment vertical="top"/>
    </xf>
    <xf numFmtId="177" fontId="0" fillId="5" borderId="0" xfId="0" applyNumberFormat="1" applyFill="1" applyAlignment="1">
      <alignment vertical="top" wrapText="1"/>
    </xf>
    <xf numFmtId="177" fontId="0" fillId="5" borderId="0" xfId="0" applyNumberFormat="1" applyFill="1" applyAlignment="1">
      <alignment vertical="top"/>
    </xf>
    <xf numFmtId="177" fontId="0" fillId="5" borderId="0" xfId="0" applyNumberFormat="1" applyFill="1" applyAlignment="1" applyProtection="1">
      <alignment vertical="top"/>
      <protection locked="0"/>
    </xf>
    <xf numFmtId="177" fontId="0" fillId="0" borderId="0" xfId="0" quotePrefix="1" applyNumberFormat="1" applyAlignment="1" applyProtection="1">
      <alignment vertical="top"/>
      <protection locked="0"/>
    </xf>
    <xf numFmtId="177" fontId="0" fillId="0" borderId="0" xfId="0" applyNumberFormat="1" applyAlignment="1" applyProtection="1">
      <alignment vertical="top"/>
      <protection locked="0"/>
    </xf>
    <xf numFmtId="2" fontId="0" fillId="0" borderId="0" xfId="0" quotePrefix="1" applyNumberFormat="1" applyAlignment="1" applyProtection="1">
      <alignment vertical="top"/>
      <protection locked="0"/>
    </xf>
    <xf numFmtId="0" fontId="0" fillId="3" borderId="0" xfId="0" applyFill="1" applyAlignment="1">
      <alignment vertical="top"/>
    </xf>
    <xf numFmtId="0" fontId="0" fillId="0" borderId="0" xfId="0" quotePrefix="1" applyAlignment="1" applyProtection="1">
      <alignment vertical="top"/>
      <protection locked="0"/>
    </xf>
    <xf numFmtId="0" fontId="11" fillId="0" borderId="0" xfId="0" applyFont="1" applyAlignment="1" applyProtection="1">
      <alignment vertical="top"/>
      <protection locked="0"/>
    </xf>
    <xf numFmtId="0" fontId="0" fillId="7" borderId="0" xfId="0" applyFill="1" applyAlignment="1" applyProtection="1">
      <alignment vertical="top" wrapText="1"/>
      <protection locked="0"/>
    </xf>
    <xf numFmtId="49" fontId="11" fillId="0" borderId="0" xfId="0" applyNumberFormat="1" applyFont="1" applyAlignment="1" applyProtection="1">
      <alignment vertical="top" wrapText="1"/>
      <protection locked="0"/>
    </xf>
  </cellXfs>
  <cellStyles count="1">
    <cellStyle name="標準" xfId="0" builtinId="0"/>
  </cellStyles>
  <dxfs count="36">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sample-data/input-sheets/ja/SqlServer-SampleDB_&#12488;&#12521;&#12531;&#39006;(ja)&#22823;.xlsx" TargetMode="External"/><Relationship Id="rId2" Type="http://schemas.openxmlformats.org/officeDocument/2006/relationships/externalLinkPath" Target="file:///C:\Repos_MS\East\SQL2Excel\v100\SQL2Excel\SQL2Excel.Help\sample-data\input-sheets\ja\SqlServer-SampleDB_&#12488;&#12521;&#12531;&#39006;(ja)&#22823;.xlsx" TargetMode="External"/><Relationship Id="rId1" Type="http://schemas.openxmlformats.org/officeDocument/2006/relationships/externalLinkPath" Target="/Repos_MS/East/SQL2Excel/v100/SQL2Excel/SQL2Excel.Help/sample-data/input-sheets/ja/SqlServer-SampleDB_&#12488;&#12521;&#12531;&#39006;(ja)&#228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quotations"/>
      <sheetName val="quotation_details"/>
      <sheetName val="contracts"/>
      <sheetName val="contract_details"/>
    </sheetNames>
    <sheetDataSet>
      <sheetData sheetId="0"/>
      <sheetData sheetId="1">
        <row r="1">
          <cell r="C1" t="str">
            <v>論理名</v>
          </cell>
        </row>
        <row r="3">
          <cell r="C3" t="str">
            <v>quotation_id</v>
          </cell>
          <cell r="K3" t="str">
            <v>amount_jpy</v>
          </cell>
        </row>
        <row r="4">
          <cell r="C4" t="str">
            <v>見積ID</v>
          </cell>
          <cell r="K4" t="str">
            <v>円建て金額（円建て契約の場合）</v>
          </cell>
        </row>
        <row r="5">
          <cell r="C5" t="str">
            <v>Char(12)</v>
          </cell>
          <cell r="K5" t="str">
            <v>Decimal(18,2)</v>
          </cell>
        </row>
        <row r="6">
          <cell r="C6" t="str">
            <v/>
          </cell>
          <cell r="K6" t="str">
            <v>N</v>
          </cell>
        </row>
        <row r="7">
          <cell r="C7" t="str">
            <v>*</v>
          </cell>
          <cell r="K7" t="str">
            <v>*</v>
          </cell>
        </row>
        <row r="8">
          <cell r="C8" t="str">
            <v>202604140001</v>
          </cell>
          <cell r="K8">
            <v>70000</v>
          </cell>
        </row>
        <row r="9">
          <cell r="C9" t="str">
            <v>202604140001</v>
          </cell>
          <cell r="K9">
            <v>75000</v>
          </cell>
        </row>
        <row r="10">
          <cell r="C10" t="str">
            <v>202604140001</v>
          </cell>
          <cell r="K10">
            <v>50000</v>
          </cell>
        </row>
        <row r="11">
          <cell r="C11" t="str">
            <v>202604140001</v>
          </cell>
          <cell r="K11">
            <v>67500</v>
          </cell>
        </row>
        <row r="12">
          <cell r="C12" t="str">
            <v>202604140002</v>
          </cell>
          <cell r="K12">
            <v>40000</v>
          </cell>
        </row>
        <row r="13">
          <cell r="C13" t="str">
            <v>202604140002</v>
          </cell>
          <cell r="K13">
            <v>40000</v>
          </cell>
        </row>
        <row r="14">
          <cell r="C14" t="str">
            <v>202604140002</v>
          </cell>
          <cell r="K14">
            <v>100000</v>
          </cell>
        </row>
        <row r="15">
          <cell r="C15" t="str">
            <v>202604140002</v>
          </cell>
          <cell r="K15">
            <v>127500</v>
          </cell>
        </row>
        <row r="16">
          <cell r="C16" t="str">
            <v>202604150003</v>
          </cell>
          <cell r="K16">
            <v>50000</v>
          </cell>
        </row>
        <row r="17">
          <cell r="C17" t="str">
            <v>202604150003</v>
          </cell>
          <cell r="K17">
            <v>70000</v>
          </cell>
        </row>
        <row r="18">
          <cell r="C18" t="str">
            <v>202604150003</v>
          </cell>
          <cell r="K18">
            <v>120000</v>
          </cell>
        </row>
        <row r="19">
          <cell r="C19" t="str">
            <v>202604150003</v>
          </cell>
          <cell r="K19">
            <v>165000</v>
          </cell>
        </row>
        <row r="20">
          <cell r="C20" t="str">
            <v>202604150004</v>
          </cell>
          <cell r="K20">
            <v>18000</v>
          </cell>
        </row>
        <row r="21">
          <cell r="C21" t="str">
            <v>202604150004</v>
          </cell>
          <cell r="K21">
            <v>60000</v>
          </cell>
        </row>
        <row r="22">
          <cell r="C22" t="str">
            <v>202604150004</v>
          </cell>
          <cell r="K22">
            <v>70000</v>
          </cell>
        </row>
        <row r="23">
          <cell r="C23" t="str">
            <v>202604150004</v>
          </cell>
          <cell r="K23">
            <v>40000</v>
          </cell>
        </row>
        <row r="24">
          <cell r="C24" t="str">
            <v>202604160005</v>
          </cell>
          <cell r="K24">
            <v>90000</v>
          </cell>
        </row>
        <row r="25">
          <cell r="C25" t="str">
            <v>202604160005</v>
          </cell>
          <cell r="K25">
            <v>108000</v>
          </cell>
        </row>
        <row r="26">
          <cell r="C26" t="str">
            <v>202604160005</v>
          </cell>
          <cell r="K26">
            <v>80000</v>
          </cell>
        </row>
        <row r="27">
          <cell r="C27" t="str">
            <v>202604160005</v>
          </cell>
          <cell r="K27">
            <v>15000</v>
          </cell>
        </row>
        <row r="28">
          <cell r="C28" t="str">
            <v>202604160006</v>
          </cell>
          <cell r="K28">
            <v>140000</v>
          </cell>
        </row>
        <row r="29">
          <cell r="C29" t="str">
            <v>202604160006</v>
          </cell>
          <cell r="K29">
            <v>70000</v>
          </cell>
        </row>
        <row r="30">
          <cell r="C30" t="str">
            <v>202604160006</v>
          </cell>
          <cell r="K30">
            <v>180000</v>
          </cell>
        </row>
        <row r="31">
          <cell r="C31" t="str">
            <v>202604160006</v>
          </cell>
          <cell r="K31">
            <v>50000</v>
          </cell>
        </row>
        <row r="32">
          <cell r="C32" t="str">
            <v>202604170007</v>
          </cell>
          <cell r="K32">
            <v>50000</v>
          </cell>
        </row>
        <row r="33">
          <cell r="C33" t="str">
            <v>202604170007</v>
          </cell>
          <cell r="K33">
            <v>110000</v>
          </cell>
        </row>
        <row r="34">
          <cell r="C34" t="str">
            <v>202604170007</v>
          </cell>
          <cell r="K34">
            <v>40000</v>
          </cell>
        </row>
        <row r="35">
          <cell r="C35" t="str">
            <v>202604170007</v>
          </cell>
          <cell r="K35">
            <v>37500</v>
          </cell>
        </row>
        <row r="36">
          <cell r="C36" t="str">
            <v>202604170008</v>
          </cell>
          <cell r="K36">
            <v>150000</v>
          </cell>
        </row>
        <row r="37">
          <cell r="C37" t="str">
            <v>202604170008</v>
          </cell>
          <cell r="K37">
            <v>50000</v>
          </cell>
        </row>
        <row r="38">
          <cell r="C38" t="str">
            <v>202604170008</v>
          </cell>
          <cell r="K38">
            <v>20000</v>
          </cell>
        </row>
        <row r="39">
          <cell r="C39" t="str">
            <v>202604170008</v>
          </cell>
          <cell r="K39">
            <v>120000</v>
          </cell>
        </row>
        <row r="40">
          <cell r="C40" t="str">
            <v>202604180009</v>
          </cell>
          <cell r="K40">
            <v>50000</v>
          </cell>
        </row>
        <row r="41">
          <cell r="C41" t="str">
            <v>202604180009</v>
          </cell>
          <cell r="K41">
            <v>3000</v>
          </cell>
        </row>
        <row r="42">
          <cell r="C42" t="str">
            <v>202604180009</v>
          </cell>
          <cell r="K42">
            <v>60000</v>
          </cell>
        </row>
        <row r="43">
          <cell r="C43" t="str">
            <v>202604180009</v>
          </cell>
          <cell r="K43">
            <v>35000</v>
          </cell>
        </row>
        <row r="44">
          <cell r="C44" t="str">
            <v>202604180010</v>
          </cell>
          <cell r="K44">
            <v>72000</v>
          </cell>
        </row>
        <row r="45">
          <cell r="C45" t="str">
            <v>202604180010</v>
          </cell>
          <cell r="K45">
            <v>90000</v>
          </cell>
        </row>
        <row r="46">
          <cell r="C46" t="str">
            <v>202604180010</v>
          </cell>
          <cell r="K46">
            <v>48000</v>
          </cell>
        </row>
        <row r="47">
          <cell r="C47" t="str">
            <v>202604180010</v>
          </cell>
          <cell r="K47">
            <v>80000</v>
          </cell>
        </row>
        <row r="48">
          <cell r="C48" t="str">
            <v>202604180011</v>
          </cell>
          <cell r="K48">
            <v>150000</v>
          </cell>
        </row>
        <row r="49">
          <cell r="C49" t="str">
            <v>202604180011</v>
          </cell>
          <cell r="K49">
            <v>52500</v>
          </cell>
        </row>
        <row r="50">
          <cell r="C50" t="str">
            <v>202604180011</v>
          </cell>
          <cell r="K50">
            <v>70000</v>
          </cell>
        </row>
        <row r="51">
          <cell r="C51" t="str">
            <v>202604180011</v>
          </cell>
          <cell r="K51">
            <v>105000</v>
          </cell>
        </row>
        <row r="52">
          <cell r="C52" t="str">
            <v>202604190012</v>
          </cell>
          <cell r="K52">
            <v>35000</v>
          </cell>
        </row>
        <row r="53">
          <cell r="C53" t="str">
            <v>202604190012</v>
          </cell>
          <cell r="K53">
            <v>50000</v>
          </cell>
        </row>
        <row r="54">
          <cell r="C54" t="str">
            <v>202604190012</v>
          </cell>
          <cell r="K54">
            <v>60000</v>
          </cell>
        </row>
        <row r="55">
          <cell r="C55" t="str">
            <v>202604190012</v>
          </cell>
          <cell r="K55">
            <v>40000</v>
          </cell>
        </row>
        <row r="56">
          <cell r="C56" t="str">
            <v>202604190013</v>
          </cell>
          <cell r="K56">
            <v>70000</v>
          </cell>
        </row>
        <row r="57">
          <cell r="C57" t="str">
            <v>202604190013</v>
          </cell>
          <cell r="K57">
            <v>75000</v>
          </cell>
        </row>
        <row r="58">
          <cell r="C58" t="str">
            <v>202604190013</v>
          </cell>
          <cell r="K58">
            <v>50000</v>
          </cell>
        </row>
        <row r="59">
          <cell r="C59" t="str">
            <v>202604190013</v>
          </cell>
          <cell r="K59">
            <v>90000</v>
          </cell>
        </row>
        <row r="60">
          <cell r="C60" t="str">
            <v>202604200014</v>
          </cell>
          <cell r="K60">
            <v>50000</v>
          </cell>
        </row>
        <row r="61">
          <cell r="C61" t="str">
            <v>202604200014</v>
          </cell>
          <cell r="K61">
            <v>50000</v>
          </cell>
        </row>
        <row r="62">
          <cell r="C62" t="str">
            <v>202604200014</v>
          </cell>
          <cell r="K62">
            <v>24000</v>
          </cell>
        </row>
        <row r="63">
          <cell r="C63" t="str">
            <v>202604200014</v>
          </cell>
          <cell r="K63">
            <v>60000</v>
          </cell>
        </row>
        <row r="64">
          <cell r="C64" t="str">
            <v>202604200015</v>
          </cell>
          <cell r="K64">
            <v>25000</v>
          </cell>
        </row>
        <row r="65">
          <cell r="C65" t="str">
            <v>202604200015</v>
          </cell>
          <cell r="K65">
            <v>42000</v>
          </cell>
        </row>
        <row r="66">
          <cell r="C66" t="str">
            <v>202604200015</v>
          </cell>
          <cell r="K66">
            <v>90000</v>
          </cell>
        </row>
        <row r="67">
          <cell r="C67" t="str">
            <v>202604200015</v>
          </cell>
          <cell r="K67">
            <v>132000</v>
          </cell>
        </row>
        <row r="68">
          <cell r="C68" t="str">
            <v>202604210016</v>
          </cell>
          <cell r="K68">
            <v>75000</v>
          </cell>
        </row>
        <row r="69">
          <cell r="C69" t="str">
            <v>202604210016</v>
          </cell>
          <cell r="K69">
            <v>150000</v>
          </cell>
        </row>
        <row r="70">
          <cell r="C70" t="str">
            <v>202604210016</v>
          </cell>
          <cell r="K70">
            <v>175000</v>
          </cell>
        </row>
        <row r="71">
          <cell r="C71" t="str">
            <v>202604210016</v>
          </cell>
          <cell r="K71">
            <v>70000</v>
          </cell>
        </row>
        <row r="72">
          <cell r="C72" t="str">
            <v>202604210017</v>
          </cell>
          <cell r="K72">
            <v>127500</v>
          </cell>
        </row>
        <row r="73">
          <cell r="C73" t="str">
            <v>202604210017</v>
          </cell>
          <cell r="K73">
            <v>157500</v>
          </cell>
        </row>
        <row r="74">
          <cell r="C74" t="str">
            <v>202604210017</v>
          </cell>
          <cell r="K74">
            <v>50000</v>
          </cell>
        </row>
        <row r="75">
          <cell r="C75" t="str">
            <v>202604210017</v>
          </cell>
          <cell r="K75">
            <v>10000</v>
          </cell>
        </row>
        <row r="76">
          <cell r="C76" t="str">
            <v>202604220018</v>
          </cell>
          <cell r="K76">
            <v>100000</v>
          </cell>
        </row>
        <row r="77">
          <cell r="C77" t="str">
            <v>202604220018</v>
          </cell>
          <cell r="K77">
            <v>70000</v>
          </cell>
        </row>
        <row r="78">
          <cell r="C78" t="str">
            <v>202604220018</v>
          </cell>
          <cell r="K78">
            <v>180000</v>
          </cell>
        </row>
        <row r="79">
          <cell r="C79" t="str">
            <v>202604220018</v>
          </cell>
          <cell r="K79">
            <v>50000</v>
          </cell>
        </row>
        <row r="80">
          <cell r="C80" t="str">
            <v>202604220019</v>
          </cell>
          <cell r="K80">
            <v>60000</v>
          </cell>
        </row>
        <row r="81">
          <cell r="C81" t="str">
            <v>202604220019</v>
          </cell>
          <cell r="K81">
            <v>137500</v>
          </cell>
        </row>
        <row r="82">
          <cell r="C82" t="str">
            <v>202604220019</v>
          </cell>
          <cell r="K82">
            <v>50000</v>
          </cell>
        </row>
        <row r="83">
          <cell r="C83" t="str">
            <v>202604220019</v>
          </cell>
          <cell r="K83">
            <v>9000</v>
          </cell>
        </row>
        <row r="84">
          <cell r="C84" t="str">
            <v>202604230020</v>
          </cell>
          <cell r="K84">
            <v>50000</v>
          </cell>
        </row>
        <row r="85">
          <cell r="C85" t="str">
            <v>202604230020</v>
          </cell>
          <cell r="K85">
            <v>25000</v>
          </cell>
        </row>
        <row r="86">
          <cell r="C86" t="str">
            <v>202604230020</v>
          </cell>
          <cell r="K86">
            <v>12000</v>
          </cell>
        </row>
        <row r="87">
          <cell r="C87" t="str">
            <v>202604230020</v>
          </cell>
          <cell r="K87">
            <v>90000</v>
          </cell>
        </row>
        <row r="88">
          <cell r="C88" t="str">
            <v>202604230021</v>
          </cell>
          <cell r="K88">
            <v>40000</v>
          </cell>
        </row>
        <row r="89">
          <cell r="C89" t="str">
            <v>202604230021</v>
          </cell>
          <cell r="K89">
            <v>12500</v>
          </cell>
        </row>
        <row r="90">
          <cell r="C90" t="str">
            <v>202604230021</v>
          </cell>
          <cell r="K90">
            <v>150000</v>
          </cell>
        </row>
        <row r="91">
          <cell r="C91" t="str">
            <v>202604230021</v>
          </cell>
          <cell r="K91">
            <v>87500</v>
          </cell>
        </row>
        <row r="92">
          <cell r="C92" t="str">
            <v>202604240022</v>
          </cell>
          <cell r="K92">
            <v>150000</v>
          </cell>
        </row>
        <row r="93">
          <cell r="C93" t="str">
            <v>202604240022</v>
          </cell>
          <cell r="K93">
            <v>127500</v>
          </cell>
        </row>
        <row r="94">
          <cell r="C94" t="str">
            <v>202604240022</v>
          </cell>
          <cell r="K94">
            <v>70000</v>
          </cell>
        </row>
        <row r="95">
          <cell r="C95" t="str">
            <v>202604240022</v>
          </cell>
          <cell r="K95">
            <v>50000</v>
          </cell>
        </row>
        <row r="96">
          <cell r="C96" t="str">
            <v>202604240023</v>
          </cell>
          <cell r="K96">
            <v>96000</v>
          </cell>
        </row>
        <row r="97">
          <cell r="C97" t="str">
            <v>202604240023</v>
          </cell>
          <cell r="K97">
            <v>37500</v>
          </cell>
        </row>
        <row r="98">
          <cell r="C98" t="str">
            <v>202604240023</v>
          </cell>
          <cell r="K98">
            <v>70000</v>
          </cell>
        </row>
        <row r="99">
          <cell r="C99" t="str">
            <v>202604240023</v>
          </cell>
          <cell r="K99">
            <v>105000</v>
          </cell>
        </row>
        <row r="100">
          <cell r="C100" t="str">
            <v>202604240024</v>
          </cell>
          <cell r="K100">
            <v>35000</v>
          </cell>
        </row>
        <row r="101">
          <cell r="C101" t="str">
            <v>202604240024</v>
          </cell>
          <cell r="K101">
            <v>60000</v>
          </cell>
        </row>
        <row r="102">
          <cell r="C102" t="str">
            <v>202604240024</v>
          </cell>
          <cell r="K102">
            <v>75000</v>
          </cell>
        </row>
        <row r="103">
          <cell r="C103" t="str">
            <v>202604240024</v>
          </cell>
          <cell r="K103">
            <v>50000</v>
          </cell>
        </row>
        <row r="104">
          <cell r="C104" t="str">
            <v>202604250025</v>
          </cell>
          <cell r="K104">
            <v>30000</v>
          </cell>
        </row>
        <row r="105">
          <cell r="C105" t="str">
            <v>202604250025</v>
          </cell>
          <cell r="K105">
            <v>25000</v>
          </cell>
        </row>
        <row r="106">
          <cell r="C106" t="str">
            <v>202604250025</v>
          </cell>
          <cell r="K106">
            <v>25000</v>
          </cell>
        </row>
        <row r="107">
          <cell r="C107" t="str">
            <v>202604250025</v>
          </cell>
          <cell r="K107">
            <v>54000</v>
          </cell>
        </row>
        <row r="108">
          <cell r="C108" t="str">
            <v>202604250026</v>
          </cell>
          <cell r="K108">
            <v>32000</v>
          </cell>
        </row>
        <row r="109">
          <cell r="C109" t="str">
            <v>202604250026</v>
          </cell>
          <cell r="K109">
            <v>40000</v>
          </cell>
        </row>
        <row r="110">
          <cell r="C110" t="str">
            <v>202604250026</v>
          </cell>
          <cell r="K110">
            <v>100000</v>
          </cell>
        </row>
        <row r="111">
          <cell r="C111" t="str">
            <v>202604250026</v>
          </cell>
          <cell r="K111">
            <v>150000</v>
          </cell>
        </row>
        <row r="112">
          <cell r="C112" t="str">
            <v>202604260027</v>
          </cell>
          <cell r="K112">
            <v>60000</v>
          </cell>
        </row>
        <row r="113">
          <cell r="C113" t="str">
            <v>202604260027</v>
          </cell>
          <cell r="K113">
            <v>87500</v>
          </cell>
        </row>
        <row r="114">
          <cell r="C114" t="str">
            <v>202604260027</v>
          </cell>
          <cell r="K114">
            <v>127500</v>
          </cell>
        </row>
        <row r="115">
          <cell r="C115" t="str">
            <v>202604260027</v>
          </cell>
          <cell r="K115">
            <v>192500</v>
          </cell>
        </row>
        <row r="116">
          <cell r="C116" t="str">
            <v>202604260028</v>
          </cell>
          <cell r="K116">
            <v>45000</v>
          </cell>
        </row>
        <row r="117">
          <cell r="C117" t="str">
            <v>202604260028</v>
          </cell>
          <cell r="K117">
            <v>96000</v>
          </cell>
        </row>
        <row r="118">
          <cell r="C118" t="str">
            <v>202604260028</v>
          </cell>
          <cell r="K118">
            <v>125000</v>
          </cell>
        </row>
        <row r="119">
          <cell r="C119" t="str">
            <v>202604260028</v>
          </cell>
          <cell r="K119">
            <v>70000</v>
          </cell>
        </row>
        <row r="120">
          <cell r="C120" t="str">
            <v>202604270029</v>
          </cell>
          <cell r="K120">
            <v>127500</v>
          </cell>
        </row>
        <row r="121">
          <cell r="C121" t="str">
            <v>202604270029</v>
          </cell>
          <cell r="K121">
            <v>157500</v>
          </cell>
        </row>
        <row r="122">
          <cell r="C122" t="str">
            <v>202604270029</v>
          </cell>
          <cell r="K122">
            <v>60000</v>
          </cell>
        </row>
        <row r="123">
          <cell r="C123" t="str">
            <v>202604270029</v>
          </cell>
          <cell r="K123">
            <v>12500</v>
          </cell>
        </row>
        <row r="124">
          <cell r="C124" t="str">
            <v>202604270030</v>
          </cell>
          <cell r="K124">
            <v>120000</v>
          </cell>
        </row>
        <row r="125">
          <cell r="C125" t="str">
            <v>202604270030</v>
          </cell>
          <cell r="K125">
            <v>30000</v>
          </cell>
        </row>
        <row r="126">
          <cell r="C126" t="str">
            <v>202604270030</v>
          </cell>
          <cell r="K126">
            <v>60000</v>
          </cell>
        </row>
        <row r="127">
          <cell r="C127" t="str">
            <v>202604270030</v>
          </cell>
          <cell r="K127">
            <v>25000</v>
          </cell>
        </row>
        <row r="128">
          <cell r="C128" t="str">
            <v>202604280031</v>
          </cell>
          <cell r="K128">
            <v>40000</v>
          </cell>
        </row>
        <row r="129">
          <cell r="C129" t="str">
            <v>202604280031</v>
          </cell>
          <cell r="K129">
            <v>88000</v>
          </cell>
        </row>
        <row r="130">
          <cell r="C130" t="str">
            <v>202604280031</v>
          </cell>
          <cell r="K130">
            <v>40000</v>
          </cell>
        </row>
        <row r="131">
          <cell r="C131" t="str">
            <v>202604280031</v>
          </cell>
          <cell r="K131">
            <v>37500</v>
          </cell>
        </row>
        <row r="132">
          <cell r="C132" t="str">
            <v>202604280032</v>
          </cell>
          <cell r="K132">
            <v>150000</v>
          </cell>
        </row>
        <row r="133">
          <cell r="C133" t="str">
            <v>202604280032</v>
          </cell>
          <cell r="K133">
            <v>60000</v>
          </cell>
        </row>
        <row r="134">
          <cell r="C134" t="str">
            <v>202604280032</v>
          </cell>
          <cell r="K134">
            <v>25000</v>
          </cell>
        </row>
        <row r="135">
          <cell r="C135" t="str">
            <v>202604280032</v>
          </cell>
          <cell r="K135">
            <v>127500</v>
          </cell>
        </row>
        <row r="136">
          <cell r="C136" t="str">
            <v>202604290033</v>
          </cell>
          <cell r="K136">
            <v>50000</v>
          </cell>
        </row>
        <row r="137">
          <cell r="C137" t="str">
            <v>202604290033</v>
          </cell>
          <cell r="K137">
            <v>7500</v>
          </cell>
        </row>
        <row r="138">
          <cell r="C138" t="str">
            <v>202604290033</v>
          </cell>
          <cell r="K138">
            <v>96000</v>
          </cell>
        </row>
        <row r="139">
          <cell r="C139" t="str">
            <v>202604290033</v>
          </cell>
          <cell r="K139">
            <v>62500</v>
          </cell>
        </row>
        <row r="140">
          <cell r="C140" t="str">
            <v>202604290034</v>
          </cell>
          <cell r="K140">
            <v>150000</v>
          </cell>
        </row>
        <row r="141">
          <cell r="C141" t="str">
            <v>202604290034</v>
          </cell>
          <cell r="K141">
            <v>127500</v>
          </cell>
        </row>
        <row r="142">
          <cell r="C142" t="str">
            <v>202604290034</v>
          </cell>
          <cell r="K142">
            <v>70000</v>
          </cell>
        </row>
        <row r="143">
          <cell r="C143" t="str">
            <v>202604290034</v>
          </cell>
          <cell r="K143">
            <v>60000</v>
          </cell>
        </row>
        <row r="144">
          <cell r="C144" t="str">
            <v>202604290035</v>
          </cell>
          <cell r="K144">
            <v>120000</v>
          </cell>
        </row>
        <row r="145">
          <cell r="C145" t="str">
            <v>202604290035</v>
          </cell>
          <cell r="K145">
            <v>45000</v>
          </cell>
        </row>
        <row r="146">
          <cell r="C146" t="str">
            <v>202604290035</v>
          </cell>
          <cell r="K146">
            <v>30000</v>
          </cell>
        </row>
        <row r="147">
          <cell r="C147" t="str">
            <v>202604290035</v>
          </cell>
          <cell r="K147">
            <v>35000</v>
          </cell>
        </row>
        <row r="148">
          <cell r="C148" t="str">
            <v>202604300036</v>
          </cell>
          <cell r="K148">
            <v>14000</v>
          </cell>
        </row>
        <row r="149">
          <cell r="C149" t="str">
            <v>202604300036</v>
          </cell>
          <cell r="K149">
            <v>40000</v>
          </cell>
        </row>
        <row r="150">
          <cell r="C150" t="str">
            <v>202604300036</v>
          </cell>
          <cell r="K150">
            <v>48000</v>
          </cell>
        </row>
        <row r="151">
          <cell r="C151" t="str">
            <v>202604300036</v>
          </cell>
          <cell r="K151">
            <v>40000</v>
          </cell>
        </row>
        <row r="152">
          <cell r="C152" t="str">
            <v>202604300037</v>
          </cell>
          <cell r="K152">
            <v>80000</v>
          </cell>
        </row>
        <row r="153">
          <cell r="C153" t="str">
            <v>202604300037</v>
          </cell>
          <cell r="K153">
            <v>75000</v>
          </cell>
        </row>
        <row r="154">
          <cell r="C154" t="str">
            <v>202604300037</v>
          </cell>
          <cell r="K154">
            <v>60000</v>
          </cell>
        </row>
        <row r="155">
          <cell r="C155" t="str">
            <v>202604300037</v>
          </cell>
          <cell r="K155">
            <v>112500</v>
          </cell>
        </row>
        <row r="156">
          <cell r="C156" t="str">
            <v>202605010001</v>
          </cell>
          <cell r="K156">
            <v>60000</v>
          </cell>
        </row>
        <row r="157">
          <cell r="C157" t="str">
            <v>202605010001</v>
          </cell>
          <cell r="K157">
            <v>50000</v>
          </cell>
        </row>
        <row r="158">
          <cell r="C158" t="str">
            <v>202605010001</v>
          </cell>
          <cell r="K158">
            <v>60000</v>
          </cell>
        </row>
        <row r="159">
          <cell r="C159" t="str">
            <v>202605010001</v>
          </cell>
          <cell r="K159">
            <v>96000</v>
          </cell>
        </row>
        <row r="160">
          <cell r="C160" t="str">
            <v>202605010002</v>
          </cell>
          <cell r="K160">
            <v>40000</v>
          </cell>
        </row>
        <row r="161">
          <cell r="C161" t="str">
            <v>202605010002</v>
          </cell>
          <cell r="K161">
            <v>87500</v>
          </cell>
        </row>
        <row r="162">
          <cell r="C162" t="str">
            <v>202605010002</v>
          </cell>
          <cell r="K162">
            <v>127500</v>
          </cell>
        </row>
        <row r="163">
          <cell r="C163" t="str">
            <v>202605010002</v>
          </cell>
          <cell r="K163">
            <v>192500</v>
          </cell>
        </row>
        <row r="164">
          <cell r="C164" t="str">
            <v>202605020003</v>
          </cell>
          <cell r="K164">
            <v>60000</v>
          </cell>
        </row>
        <row r="165">
          <cell r="C165" t="str">
            <v>202605020003</v>
          </cell>
          <cell r="K165">
            <v>120000</v>
          </cell>
        </row>
        <row r="166">
          <cell r="C166" t="str">
            <v>202605020003</v>
          </cell>
          <cell r="K166">
            <v>150000</v>
          </cell>
        </row>
        <row r="167">
          <cell r="C167" t="str">
            <v>202605020003</v>
          </cell>
          <cell r="K167">
            <v>30000</v>
          </cell>
        </row>
        <row r="168">
          <cell r="C168" t="str">
            <v>202605020004</v>
          </cell>
          <cell r="K168">
            <v>60000</v>
          </cell>
        </row>
        <row r="169">
          <cell r="C169" t="str">
            <v>202605020004</v>
          </cell>
          <cell r="K169">
            <v>63000</v>
          </cell>
        </row>
        <row r="170">
          <cell r="C170" t="str">
            <v>202605020004</v>
          </cell>
          <cell r="K170">
            <v>40000</v>
          </cell>
        </row>
        <row r="171">
          <cell r="C171" t="str">
            <v>202605020004</v>
          </cell>
          <cell r="K171">
            <v>8000</v>
          </cell>
        </row>
        <row r="172">
          <cell r="C172" t="str">
            <v>202605030005</v>
          </cell>
          <cell r="K172">
            <v>96000</v>
          </cell>
        </row>
        <row r="173">
          <cell r="C173" t="str">
            <v>202605030005</v>
          </cell>
          <cell r="K173">
            <v>80000</v>
          </cell>
        </row>
        <row r="174">
          <cell r="C174" t="str">
            <v>202605030005</v>
          </cell>
          <cell r="K174">
            <v>180000</v>
          </cell>
        </row>
        <row r="175">
          <cell r="C175" t="str">
            <v>202605030005</v>
          </cell>
          <cell r="K175">
            <v>60000</v>
          </cell>
        </row>
        <row r="176">
          <cell r="C176" t="str">
            <v>202605030006</v>
          </cell>
          <cell r="K176">
            <v>70000</v>
          </cell>
        </row>
        <row r="177">
          <cell r="C177" t="str">
            <v>202605030006</v>
          </cell>
          <cell r="K177">
            <v>165000</v>
          </cell>
        </row>
        <row r="178">
          <cell r="C178" t="str">
            <v>202605030006</v>
          </cell>
          <cell r="K178">
            <v>50000</v>
          </cell>
        </row>
        <row r="179">
          <cell r="C179" t="str">
            <v>202605030006</v>
          </cell>
          <cell r="K179">
            <v>22500</v>
          </cell>
        </row>
        <row r="180">
          <cell r="C180" t="str">
            <v>202605040007</v>
          </cell>
          <cell r="K180">
            <v>100000</v>
          </cell>
        </row>
        <row r="181">
          <cell r="C181" t="str">
            <v>202605040007</v>
          </cell>
          <cell r="K181">
            <v>40000</v>
          </cell>
        </row>
        <row r="182">
          <cell r="C182" t="str">
            <v>202605040007</v>
          </cell>
          <cell r="K182">
            <v>25000</v>
          </cell>
        </row>
        <row r="183">
          <cell r="C183" t="str">
            <v>202605040007</v>
          </cell>
          <cell r="K183">
            <v>127500</v>
          </cell>
        </row>
        <row r="184">
          <cell r="C184" t="str">
            <v>202605040008</v>
          </cell>
          <cell r="K184">
            <v>50000</v>
          </cell>
        </row>
        <row r="185">
          <cell r="C185" t="str">
            <v>202605040008</v>
          </cell>
          <cell r="K185">
            <v>10000</v>
          </cell>
        </row>
        <row r="186">
          <cell r="C186" t="str">
            <v>202605040008</v>
          </cell>
          <cell r="K186">
            <v>120000</v>
          </cell>
        </row>
        <row r="187">
          <cell r="C187" t="str">
            <v>202605040008</v>
          </cell>
          <cell r="K187">
            <v>75000</v>
          </cell>
        </row>
        <row r="188">
          <cell r="C188" t="str">
            <v>202605050009</v>
          </cell>
          <cell r="K188">
            <v>36000</v>
          </cell>
        </row>
        <row r="189">
          <cell r="C189" t="str">
            <v>202605050009</v>
          </cell>
          <cell r="K189">
            <v>60000</v>
          </cell>
        </row>
        <row r="190">
          <cell r="C190" t="str">
            <v>202605050009</v>
          </cell>
          <cell r="K190">
            <v>28000</v>
          </cell>
        </row>
        <row r="191">
          <cell r="C191" t="str">
            <v>202605050009</v>
          </cell>
          <cell r="K191">
            <v>40000</v>
          </cell>
        </row>
        <row r="192">
          <cell r="C192" t="str">
            <v>202605050010</v>
          </cell>
          <cell r="K192">
            <v>90000</v>
          </cell>
        </row>
        <row r="193">
          <cell r="C193" t="str">
            <v>202605050010</v>
          </cell>
          <cell r="K193">
            <v>36000</v>
          </cell>
        </row>
        <row r="194">
          <cell r="C194" t="str">
            <v>202605050010</v>
          </cell>
          <cell r="K194">
            <v>80000</v>
          </cell>
        </row>
        <row r="195">
          <cell r="C195" t="str">
            <v>202605050010</v>
          </cell>
          <cell r="K195">
            <v>105000</v>
          </cell>
        </row>
        <row r="196">
          <cell r="C196" t="str">
            <v>202605050011</v>
          </cell>
          <cell r="K196">
            <v>35000</v>
          </cell>
        </row>
        <row r="197">
          <cell r="C197" t="str">
            <v>202605050011</v>
          </cell>
          <cell r="K197">
            <v>70000</v>
          </cell>
        </row>
        <row r="198">
          <cell r="C198" t="str">
            <v>202605050011</v>
          </cell>
          <cell r="K198">
            <v>90000</v>
          </cell>
        </row>
        <row r="199">
          <cell r="C199" t="str">
            <v>202605050011</v>
          </cell>
          <cell r="K199">
            <v>50000</v>
          </cell>
        </row>
        <row r="200">
          <cell r="C200" t="str">
            <v>202605060012</v>
          </cell>
          <cell r="K200">
            <v>50000</v>
          </cell>
        </row>
        <row r="201">
          <cell r="C201" t="str">
            <v>202605060012</v>
          </cell>
          <cell r="K201">
            <v>50000</v>
          </cell>
        </row>
        <row r="202">
          <cell r="C202" t="str">
            <v>202605060012</v>
          </cell>
          <cell r="K202">
            <v>40000</v>
          </cell>
        </row>
        <row r="203">
          <cell r="C203" t="str">
            <v>202605060012</v>
          </cell>
          <cell r="K203">
            <v>112500</v>
          </cell>
        </row>
        <row r="204">
          <cell r="C204" t="str">
            <v>202605060013</v>
          </cell>
          <cell r="K204">
            <v>60000</v>
          </cell>
        </row>
        <row r="205">
          <cell r="C205" t="str">
            <v>202605060013</v>
          </cell>
          <cell r="K205">
            <v>50000</v>
          </cell>
        </row>
        <row r="206">
          <cell r="C206" t="str">
            <v>202605060013</v>
          </cell>
          <cell r="K206">
            <v>80000</v>
          </cell>
        </row>
        <row r="207">
          <cell r="C207" t="str">
            <v>202605060013</v>
          </cell>
          <cell r="K207">
            <v>120000</v>
          </cell>
        </row>
        <row r="208">
          <cell r="C208" t="str">
            <v>202605070014</v>
          </cell>
          <cell r="K208">
            <v>50000</v>
          </cell>
        </row>
        <row r="209">
          <cell r="C209" t="str">
            <v>202605070014</v>
          </cell>
          <cell r="K209">
            <v>21000</v>
          </cell>
        </row>
        <row r="210">
          <cell r="C210" t="str">
            <v>202605070014</v>
          </cell>
          <cell r="K210">
            <v>60000</v>
          </cell>
        </row>
        <row r="211">
          <cell r="C211" t="str">
            <v>202605070014</v>
          </cell>
          <cell r="K211">
            <v>77000</v>
          </cell>
        </row>
        <row r="212">
          <cell r="C212" t="str">
            <v>202605070015</v>
          </cell>
          <cell r="K212">
            <v>36000</v>
          </cell>
        </row>
        <row r="213">
          <cell r="C213" t="str">
            <v>202605070015</v>
          </cell>
          <cell r="K213">
            <v>90000</v>
          </cell>
        </row>
        <row r="214">
          <cell r="C214" t="str">
            <v>202605070015</v>
          </cell>
          <cell r="K214">
            <v>120000</v>
          </cell>
        </row>
        <row r="215">
          <cell r="C215" t="str">
            <v>202605070015</v>
          </cell>
          <cell r="K215">
            <v>80000</v>
          </cell>
        </row>
        <row r="216">
          <cell r="C216" t="str">
            <v>202605080016</v>
          </cell>
          <cell r="K216">
            <v>150000</v>
          </cell>
        </row>
        <row r="217">
          <cell r="C217" t="str">
            <v>202605080016</v>
          </cell>
          <cell r="K217">
            <v>157500</v>
          </cell>
        </row>
        <row r="218">
          <cell r="C218" t="str">
            <v>202605080016</v>
          </cell>
          <cell r="K218">
            <v>70000</v>
          </cell>
        </row>
        <row r="219">
          <cell r="C219" t="str">
            <v>202605080016</v>
          </cell>
          <cell r="K219">
            <v>15000</v>
          </cell>
        </row>
        <row r="220">
          <cell r="C220" t="str">
            <v>202605080017</v>
          </cell>
          <cell r="K220">
            <v>140000</v>
          </cell>
        </row>
        <row r="221">
          <cell r="C221" t="str">
            <v>202605080017</v>
          </cell>
          <cell r="K221">
            <v>50000</v>
          </cell>
        </row>
        <row r="222">
          <cell r="C222" t="str">
            <v>202605080017</v>
          </cell>
          <cell r="K222">
            <v>120000</v>
          </cell>
        </row>
        <row r="223">
          <cell r="C223" t="str">
            <v>202605080017</v>
          </cell>
          <cell r="K223">
            <v>40000</v>
          </cell>
        </row>
        <row r="224">
          <cell r="C224" t="str">
            <v>202605090018</v>
          </cell>
          <cell r="K224">
            <v>70000</v>
          </cell>
        </row>
        <row r="225">
          <cell r="C225" t="str">
            <v>202605090018</v>
          </cell>
          <cell r="K225">
            <v>165000</v>
          </cell>
        </row>
        <row r="226">
          <cell r="C226" t="str">
            <v>202605090018</v>
          </cell>
          <cell r="K226">
            <v>50000</v>
          </cell>
        </row>
        <row r="227">
          <cell r="C227" t="str">
            <v>202605090018</v>
          </cell>
          <cell r="K227">
            <v>30000</v>
          </cell>
        </row>
        <row r="228">
          <cell r="C228" t="str">
            <v>202605090019</v>
          </cell>
          <cell r="K228">
            <v>125000</v>
          </cell>
        </row>
        <row r="229">
          <cell r="C229" t="str">
            <v>202605090019</v>
          </cell>
          <cell r="K229">
            <v>50000</v>
          </cell>
        </row>
        <row r="230">
          <cell r="C230" t="str">
            <v>202605090019</v>
          </cell>
          <cell r="K230">
            <v>6000</v>
          </cell>
        </row>
        <row r="231">
          <cell r="C231" t="str">
            <v>202605090019</v>
          </cell>
          <cell r="K231">
            <v>60000</v>
          </cell>
        </row>
        <row r="232">
          <cell r="C232" t="str">
            <v>202605100020</v>
          </cell>
          <cell r="K232">
            <v>25000</v>
          </cell>
        </row>
        <row r="233">
          <cell r="C233" t="str">
            <v>202605100020</v>
          </cell>
          <cell r="K233">
            <v>6000</v>
          </cell>
        </row>
        <row r="234">
          <cell r="C234" t="str">
            <v>202605100020</v>
          </cell>
          <cell r="K234">
            <v>90000</v>
          </cell>
        </row>
        <row r="235">
          <cell r="C235" t="str">
            <v>202605100020</v>
          </cell>
          <cell r="K235">
            <v>60000</v>
          </cell>
        </row>
        <row r="236">
          <cell r="C236" t="str">
            <v>202605100021</v>
          </cell>
          <cell r="K236">
            <v>150000</v>
          </cell>
        </row>
        <row r="237">
          <cell r="C237" t="str">
            <v>202605100021</v>
          </cell>
          <cell r="K237">
            <v>150000</v>
          </cell>
        </row>
        <row r="238">
          <cell r="C238" t="str">
            <v>202605100021</v>
          </cell>
          <cell r="K238">
            <v>70000</v>
          </cell>
        </row>
        <row r="239">
          <cell r="C239" t="str">
            <v>202605100021</v>
          </cell>
          <cell r="K239">
            <v>70000</v>
          </cell>
        </row>
        <row r="240">
          <cell r="C240" t="str">
            <v>202605100022</v>
          </cell>
          <cell r="K240">
            <v>127500</v>
          </cell>
        </row>
        <row r="241">
          <cell r="C241" t="str">
            <v>202605100022</v>
          </cell>
          <cell r="K241">
            <v>52500</v>
          </cell>
        </row>
        <row r="242">
          <cell r="C242" t="str">
            <v>202605100022</v>
          </cell>
          <cell r="K242">
            <v>50000</v>
          </cell>
        </row>
        <row r="243">
          <cell r="C243" t="str">
            <v>202605100022</v>
          </cell>
          <cell r="K243">
            <v>70000</v>
          </cell>
        </row>
        <row r="244">
          <cell r="C244" t="str">
            <v>202605110023</v>
          </cell>
          <cell r="K244">
            <v>25000</v>
          </cell>
        </row>
        <row r="245">
          <cell r="C245" t="str">
            <v>202605110023</v>
          </cell>
          <cell r="K245">
            <v>70000</v>
          </cell>
        </row>
        <row r="246">
          <cell r="C246" t="str">
            <v>202605110023</v>
          </cell>
          <cell r="K246">
            <v>90000</v>
          </cell>
        </row>
        <row r="247">
          <cell r="C247" t="str">
            <v>202605110023</v>
          </cell>
          <cell r="K247">
            <v>50000</v>
          </cell>
        </row>
        <row r="248">
          <cell r="C248" t="str">
            <v>202605110024</v>
          </cell>
          <cell r="K248">
            <v>60000</v>
          </cell>
        </row>
        <row r="249">
          <cell r="C249" t="str">
            <v>202605110024</v>
          </cell>
          <cell r="K249">
            <v>62500</v>
          </cell>
        </row>
        <row r="250">
          <cell r="C250" t="str">
            <v>202605110024</v>
          </cell>
          <cell r="K250">
            <v>50000</v>
          </cell>
        </row>
        <row r="251">
          <cell r="C251" t="str">
            <v>202605110024</v>
          </cell>
          <cell r="K251">
            <v>27000</v>
          </cell>
        </row>
        <row r="252">
          <cell r="C252" t="str">
            <v>202605120025</v>
          </cell>
          <cell r="K252">
            <v>20000</v>
          </cell>
        </row>
        <row r="253">
          <cell r="C253" t="str">
            <v>202605120025</v>
          </cell>
          <cell r="K253">
            <v>25000</v>
          </cell>
        </row>
        <row r="254">
          <cell r="C254" t="str">
            <v>202605120025</v>
          </cell>
          <cell r="K254">
            <v>48000</v>
          </cell>
        </row>
        <row r="255">
          <cell r="C255" t="str">
            <v>202605120025</v>
          </cell>
          <cell r="K255">
            <v>90000</v>
          </cell>
        </row>
        <row r="256">
          <cell r="C256" t="str">
            <v>202605120026</v>
          </cell>
          <cell r="K256">
            <v>40000</v>
          </cell>
        </row>
        <row r="257">
          <cell r="C257" t="str">
            <v>202605120026</v>
          </cell>
          <cell r="K257">
            <v>87500</v>
          </cell>
        </row>
        <row r="258">
          <cell r="C258" t="str">
            <v>202605120026</v>
          </cell>
          <cell r="K258">
            <v>150000</v>
          </cell>
        </row>
        <row r="259">
          <cell r="C259" t="str">
            <v>202605120026</v>
          </cell>
          <cell r="K259">
            <v>192500</v>
          </cell>
        </row>
        <row r="260">
          <cell r="C260" t="str">
            <v>202605130027</v>
          </cell>
          <cell r="K260">
            <v>75000</v>
          </cell>
        </row>
        <row r="261">
          <cell r="C261" t="str">
            <v>202605130027</v>
          </cell>
          <cell r="K261">
            <v>127500</v>
          </cell>
        </row>
        <row r="262">
          <cell r="C262" t="str">
            <v>202605130027</v>
          </cell>
          <cell r="K262">
            <v>175000</v>
          </cell>
        </row>
        <row r="263">
          <cell r="C263" t="str">
            <v>202605130027</v>
          </cell>
          <cell r="K263">
            <v>50000</v>
          </cell>
        </row>
        <row r="264">
          <cell r="C264" t="str">
            <v>202605130028</v>
          </cell>
          <cell r="K264">
            <v>96000</v>
          </cell>
        </row>
        <row r="265">
          <cell r="C265" t="str">
            <v>202605130028</v>
          </cell>
          <cell r="K265">
            <v>112500</v>
          </cell>
        </row>
        <row r="266">
          <cell r="C266" t="str">
            <v>202605130028</v>
          </cell>
          <cell r="K266">
            <v>70000</v>
          </cell>
        </row>
        <row r="267">
          <cell r="C267" t="str">
            <v>202605130028</v>
          </cell>
          <cell r="K267">
            <v>15000</v>
          </cell>
        </row>
        <row r="268">
          <cell r="C268" t="str">
            <v>202605140029</v>
          </cell>
          <cell r="K268">
            <v>140000</v>
          </cell>
        </row>
        <row r="269">
          <cell r="C269" t="str">
            <v>202605140029</v>
          </cell>
          <cell r="K269">
            <v>60000</v>
          </cell>
        </row>
        <row r="270">
          <cell r="C270" t="str">
            <v>202605140029</v>
          </cell>
          <cell r="K270">
            <v>150000</v>
          </cell>
        </row>
        <row r="271">
          <cell r="C271" t="str">
            <v>202605140029</v>
          </cell>
          <cell r="K271">
            <v>50000</v>
          </cell>
        </row>
        <row r="272">
          <cell r="C272" t="str">
            <v>202605140030</v>
          </cell>
          <cell r="K272">
            <v>30000</v>
          </cell>
        </row>
        <row r="273">
          <cell r="C273" t="str">
            <v>202605140030</v>
          </cell>
          <cell r="K273">
            <v>55000</v>
          </cell>
        </row>
        <row r="274">
          <cell r="C274" t="str">
            <v>202605140030</v>
          </cell>
          <cell r="K274">
            <v>25000</v>
          </cell>
        </row>
        <row r="275">
          <cell r="C275" t="str">
            <v>202605140030</v>
          </cell>
          <cell r="K275">
            <v>18000</v>
          </cell>
        </row>
        <row r="276">
          <cell r="C276" t="str">
            <v>202605150031</v>
          </cell>
          <cell r="K276">
            <v>80000</v>
          </cell>
        </row>
        <row r="277">
          <cell r="C277" t="str">
            <v>202605150031</v>
          </cell>
          <cell r="K277">
            <v>40000</v>
          </cell>
        </row>
        <row r="278">
          <cell r="C278" t="str">
            <v>202605150031</v>
          </cell>
          <cell r="K278">
            <v>25000</v>
          </cell>
        </row>
        <row r="279">
          <cell r="C279" t="str">
            <v>202605150031</v>
          </cell>
          <cell r="K279">
            <v>150000</v>
          </cell>
        </row>
        <row r="280">
          <cell r="C280" t="str">
            <v>202605150032</v>
          </cell>
          <cell r="K280">
            <v>60000</v>
          </cell>
        </row>
        <row r="281">
          <cell r="C281" t="str">
            <v>202605150032</v>
          </cell>
          <cell r="K281">
            <v>12500</v>
          </cell>
        </row>
        <row r="282">
          <cell r="C282" t="str">
            <v>202605150032</v>
          </cell>
          <cell r="K282">
            <v>127500</v>
          </cell>
        </row>
        <row r="283">
          <cell r="C283" t="str">
            <v>202605150032</v>
          </cell>
          <cell r="K283">
            <v>87500</v>
          </cell>
        </row>
        <row r="284">
          <cell r="C284" t="str">
            <v>202605160033</v>
          </cell>
          <cell r="K284">
            <v>90000</v>
          </cell>
        </row>
        <row r="285">
          <cell r="C285" t="str">
            <v>202605160033</v>
          </cell>
          <cell r="K285">
            <v>96000</v>
          </cell>
        </row>
        <row r="286">
          <cell r="C286" t="str">
            <v>202605160033</v>
          </cell>
          <cell r="K286">
            <v>50000</v>
          </cell>
        </row>
        <row r="287">
          <cell r="C287" t="str">
            <v>202605160033</v>
          </cell>
          <cell r="K287">
            <v>70000</v>
          </cell>
        </row>
        <row r="288">
          <cell r="C288" t="str">
            <v>202605160034</v>
          </cell>
          <cell r="K288">
            <v>127500</v>
          </cell>
        </row>
        <row r="289">
          <cell r="C289" t="str">
            <v>202605160034</v>
          </cell>
          <cell r="K289">
            <v>52500</v>
          </cell>
        </row>
        <row r="290">
          <cell r="C290" t="str">
            <v>202605160034</v>
          </cell>
          <cell r="K290">
            <v>60000</v>
          </cell>
        </row>
        <row r="291">
          <cell r="C291" t="str">
            <v>202605160034</v>
          </cell>
          <cell r="K291">
            <v>87500</v>
          </cell>
        </row>
        <row r="292">
          <cell r="C292" t="str">
            <v>202605160035</v>
          </cell>
          <cell r="K292">
            <v>30000</v>
          </cell>
        </row>
        <row r="293">
          <cell r="C293" t="str">
            <v>202605160035</v>
          </cell>
          <cell r="K293">
            <v>30000</v>
          </cell>
        </row>
        <row r="294">
          <cell r="C294" t="str">
            <v>202605160035</v>
          </cell>
          <cell r="K294">
            <v>30000</v>
          </cell>
        </row>
        <row r="295">
          <cell r="C295" t="str">
            <v>202605160035</v>
          </cell>
          <cell r="K295">
            <v>25000</v>
          </cell>
        </row>
        <row r="296">
          <cell r="C296" t="str">
            <v>202605170036</v>
          </cell>
          <cell r="K296">
            <v>40000</v>
          </cell>
        </row>
        <row r="297">
          <cell r="C297" t="str">
            <v>202605170036</v>
          </cell>
          <cell r="K297">
            <v>40000</v>
          </cell>
        </row>
        <row r="298">
          <cell r="C298" t="str">
            <v>202605170036</v>
          </cell>
          <cell r="K298">
            <v>40000</v>
          </cell>
        </row>
        <row r="299">
          <cell r="C299" t="str">
            <v>202605170036</v>
          </cell>
          <cell r="K299">
            <v>112500</v>
          </cell>
        </row>
        <row r="300">
          <cell r="C300" t="str">
            <v>202605170037</v>
          </cell>
          <cell r="K300">
            <v>60000</v>
          </cell>
        </row>
        <row r="301">
          <cell r="C301" t="str">
            <v>202605170037</v>
          </cell>
          <cell r="K301">
            <v>60000</v>
          </cell>
        </row>
        <row r="302">
          <cell r="C302" t="str">
            <v>202605170037</v>
          </cell>
          <cell r="K302">
            <v>100000</v>
          </cell>
        </row>
        <row r="303">
          <cell r="C303" t="str">
            <v>202605170037</v>
          </cell>
          <cell r="K303">
            <v>127500</v>
          </cell>
        </row>
        <row r="304">
          <cell r="C304" t="str">
            <v>202605180038</v>
          </cell>
          <cell r="K304">
            <v>50000</v>
          </cell>
        </row>
        <row r="305">
          <cell r="C305" t="str">
            <v>202605180038</v>
          </cell>
          <cell r="K305">
            <v>52500</v>
          </cell>
        </row>
        <row r="306">
          <cell r="C306" t="str">
            <v>202605180038</v>
          </cell>
          <cell r="K306">
            <v>96000</v>
          </cell>
        </row>
        <row r="307">
          <cell r="C307" t="str">
            <v>202605180038</v>
          </cell>
          <cell r="K307">
            <v>137500</v>
          </cell>
        </row>
        <row r="308">
          <cell r="C308" t="str">
            <v>202605180039</v>
          </cell>
          <cell r="K308">
            <v>75000</v>
          </cell>
        </row>
        <row r="309">
          <cell r="C309" t="str">
            <v>202605180039</v>
          </cell>
          <cell r="K309">
            <v>127500</v>
          </cell>
        </row>
        <row r="310">
          <cell r="C310" t="str">
            <v>202605180039</v>
          </cell>
          <cell r="K310">
            <v>175000</v>
          </cell>
        </row>
        <row r="311">
          <cell r="C311" t="str">
            <v>202605180039</v>
          </cell>
          <cell r="K311">
            <v>60000</v>
          </cell>
        </row>
        <row r="312">
          <cell r="C312" t="str">
            <v>202605190040</v>
          </cell>
          <cell r="K312">
            <v>120000</v>
          </cell>
        </row>
        <row r="313">
          <cell r="C313" t="str">
            <v>202605190040</v>
          </cell>
          <cell r="K313">
            <v>135000</v>
          </cell>
        </row>
        <row r="314">
          <cell r="C314" t="str">
            <v>202605190040</v>
          </cell>
          <cell r="K314">
            <v>30000</v>
          </cell>
        </row>
        <row r="315">
          <cell r="C315" t="str">
            <v>202605190040</v>
          </cell>
          <cell r="K315">
            <v>5000</v>
          </cell>
        </row>
        <row r="316">
          <cell r="C316" t="str">
            <v>202605190041</v>
          </cell>
          <cell r="K316">
            <v>56000</v>
          </cell>
        </row>
        <row r="317">
          <cell r="C317" t="str">
            <v>202605190041</v>
          </cell>
          <cell r="K317">
            <v>40000</v>
          </cell>
        </row>
        <row r="318">
          <cell r="C318" t="str">
            <v>202605190041</v>
          </cell>
          <cell r="K318">
            <v>96000</v>
          </cell>
        </row>
        <row r="319">
          <cell r="C319" t="str">
            <v>202605190041</v>
          </cell>
          <cell r="K319">
            <v>40000</v>
          </cell>
        </row>
        <row r="320">
          <cell r="C320" t="str">
            <v>202605200042</v>
          </cell>
          <cell r="K320">
            <v>80000</v>
          </cell>
        </row>
        <row r="321">
          <cell r="C321" t="str">
            <v>202605200042</v>
          </cell>
          <cell r="K321">
            <v>165000</v>
          </cell>
        </row>
        <row r="322">
          <cell r="C322" t="str">
            <v>202605200042</v>
          </cell>
          <cell r="K322">
            <v>60000</v>
          </cell>
        </row>
        <row r="323">
          <cell r="C323" t="str">
            <v>202605200042</v>
          </cell>
          <cell r="K323">
            <v>37500</v>
          </cell>
        </row>
        <row r="324">
          <cell r="C324" t="str">
            <v>202605200043</v>
          </cell>
          <cell r="K324">
            <v>150000</v>
          </cell>
        </row>
        <row r="325">
          <cell r="C325" t="str">
            <v>202605200043</v>
          </cell>
          <cell r="K325">
            <v>50000</v>
          </cell>
        </row>
        <row r="326">
          <cell r="C326" t="str">
            <v>202605200043</v>
          </cell>
          <cell r="K326">
            <v>15000</v>
          </cell>
        </row>
        <row r="327">
          <cell r="C327" t="str">
            <v>202605200043</v>
          </cell>
          <cell r="K327">
            <v>96000</v>
          </cell>
        </row>
        <row r="328">
          <cell r="C328" t="str">
            <v>202605210044</v>
          </cell>
          <cell r="K328">
            <v>40000</v>
          </cell>
        </row>
        <row r="329">
          <cell r="C329" t="str">
            <v>202605210044</v>
          </cell>
          <cell r="K329">
            <v>12500</v>
          </cell>
        </row>
        <row r="330">
          <cell r="C330" t="str">
            <v>202605210044</v>
          </cell>
          <cell r="K330">
            <v>127500</v>
          </cell>
        </row>
        <row r="331">
          <cell r="C331" t="str">
            <v>202605210044</v>
          </cell>
          <cell r="K331">
            <v>87500</v>
          </cell>
        </row>
        <row r="332">
          <cell r="C332" t="str">
            <v>202605210045</v>
          </cell>
          <cell r="K332">
            <v>120000</v>
          </cell>
        </row>
        <row r="333">
          <cell r="C333" t="str">
            <v>202605210045</v>
          </cell>
          <cell r="K333">
            <v>120000</v>
          </cell>
        </row>
        <row r="334">
          <cell r="C334" t="str">
            <v>202605210045</v>
          </cell>
          <cell r="K334">
            <v>60000</v>
          </cell>
        </row>
        <row r="335">
          <cell r="C335" t="str">
            <v>202605210045</v>
          </cell>
          <cell r="K335">
            <v>30000</v>
          </cell>
        </row>
        <row r="336">
          <cell r="C336" t="str">
            <v>202605210046</v>
          </cell>
          <cell r="K336">
            <v>60000</v>
          </cell>
        </row>
        <row r="337">
          <cell r="C337" t="str">
            <v>202605210046</v>
          </cell>
          <cell r="K337">
            <v>21000</v>
          </cell>
        </row>
        <row r="338">
          <cell r="C338" t="str">
            <v>202605210046</v>
          </cell>
          <cell r="K338">
            <v>40000</v>
          </cell>
        </row>
        <row r="339">
          <cell r="C339" t="str">
            <v>202605210046</v>
          </cell>
          <cell r="K339">
            <v>56000</v>
          </cell>
        </row>
        <row r="340">
          <cell r="C340" t="str">
            <v>202605220047</v>
          </cell>
          <cell r="K340">
            <v>24000</v>
          </cell>
        </row>
        <row r="341">
          <cell r="C341" t="str">
            <v>202605220047</v>
          </cell>
          <cell r="K341">
            <v>80000</v>
          </cell>
        </row>
        <row r="342">
          <cell r="C342" t="str">
            <v>202605220047</v>
          </cell>
          <cell r="K342">
            <v>90000</v>
          </cell>
        </row>
        <row r="343">
          <cell r="C343" t="str">
            <v>202605220047</v>
          </cell>
          <cell r="K343">
            <v>60000</v>
          </cell>
        </row>
        <row r="344">
          <cell r="C344" t="str">
            <v>202605220048</v>
          </cell>
          <cell r="K344">
            <v>70000</v>
          </cell>
        </row>
        <row r="345">
          <cell r="C345" t="str">
            <v>202605220048</v>
          </cell>
          <cell r="K345">
            <v>75000</v>
          </cell>
        </row>
        <row r="346">
          <cell r="C346" t="str">
            <v>202605220048</v>
          </cell>
          <cell r="K346">
            <v>50000</v>
          </cell>
        </row>
        <row r="347">
          <cell r="C347" t="str">
            <v>202605220048</v>
          </cell>
          <cell r="K347">
            <v>67500</v>
          </cell>
        </row>
        <row r="348">
          <cell r="C348" t="str">
            <v>202605230049</v>
          </cell>
          <cell r="K348">
            <v>40000</v>
          </cell>
        </row>
        <row r="349">
          <cell r="C349" t="str">
            <v>202605230049</v>
          </cell>
          <cell r="K349">
            <v>40000</v>
          </cell>
        </row>
        <row r="350">
          <cell r="C350" t="str">
            <v>202605230049</v>
          </cell>
          <cell r="K350">
            <v>100000</v>
          </cell>
        </row>
        <row r="351">
          <cell r="C351" t="str">
            <v>202605230049</v>
          </cell>
          <cell r="K351">
            <v>127500</v>
          </cell>
        </row>
        <row r="352">
          <cell r="C352" t="str">
            <v>202605230050</v>
          </cell>
          <cell r="K352">
            <v>50000</v>
          </cell>
        </row>
        <row r="353">
          <cell r="C353" t="str">
            <v>202605230050</v>
          </cell>
          <cell r="K353">
            <v>70000</v>
          </cell>
        </row>
        <row r="354">
          <cell r="C354" t="str">
            <v>202605230050</v>
          </cell>
          <cell r="K354">
            <v>120000</v>
          </cell>
        </row>
        <row r="355">
          <cell r="C355" t="str">
            <v>202605230050</v>
          </cell>
          <cell r="K355">
            <v>165000</v>
          </cell>
        </row>
        <row r="356">
          <cell r="C356" t="str">
            <v>202605240051</v>
          </cell>
          <cell r="K356">
            <v>18000</v>
          </cell>
        </row>
        <row r="357">
          <cell r="C357" t="str">
            <v>202605240051</v>
          </cell>
          <cell r="K357">
            <v>60000</v>
          </cell>
        </row>
        <row r="358">
          <cell r="C358" t="str">
            <v>202605240051</v>
          </cell>
          <cell r="K358">
            <v>70000</v>
          </cell>
        </row>
        <row r="359">
          <cell r="C359" t="str">
            <v>202605240051</v>
          </cell>
          <cell r="K359">
            <v>40000</v>
          </cell>
        </row>
        <row r="360">
          <cell r="C360" t="str">
            <v>202605240052</v>
          </cell>
          <cell r="K360">
            <v>90000</v>
          </cell>
        </row>
        <row r="361">
          <cell r="C361" t="str">
            <v>202605240052</v>
          </cell>
          <cell r="K361">
            <v>108000</v>
          </cell>
        </row>
        <row r="362">
          <cell r="C362" t="str">
            <v>202605240052</v>
          </cell>
          <cell r="K362">
            <v>80000</v>
          </cell>
        </row>
        <row r="363">
          <cell r="C363" t="str">
            <v>202605240052</v>
          </cell>
          <cell r="K363">
            <v>15000</v>
          </cell>
        </row>
        <row r="364">
          <cell r="C364" t="str">
            <v>202605250053</v>
          </cell>
          <cell r="K364">
            <v>140000</v>
          </cell>
        </row>
        <row r="365">
          <cell r="C365" t="str">
            <v>202605250053</v>
          </cell>
          <cell r="K365">
            <v>70000</v>
          </cell>
        </row>
        <row r="366">
          <cell r="C366" t="str">
            <v>202605250053</v>
          </cell>
          <cell r="K366">
            <v>180000</v>
          </cell>
        </row>
        <row r="367">
          <cell r="C367" t="str">
            <v>202605250053</v>
          </cell>
          <cell r="K367">
            <v>50000</v>
          </cell>
        </row>
        <row r="368">
          <cell r="C368" t="str">
            <v>202605250054</v>
          </cell>
          <cell r="K368">
            <v>50000</v>
          </cell>
        </row>
        <row r="369">
          <cell r="C369" t="str">
            <v>202605250054</v>
          </cell>
          <cell r="K369">
            <v>110000</v>
          </cell>
        </row>
        <row r="370">
          <cell r="C370" t="str">
            <v>202605250054</v>
          </cell>
          <cell r="K370">
            <v>40000</v>
          </cell>
        </row>
        <row r="371">
          <cell r="C371" t="str">
            <v>202605250054</v>
          </cell>
          <cell r="K371">
            <v>37500</v>
          </cell>
        </row>
        <row r="372">
          <cell r="C372" t="str">
            <v>202605260055</v>
          </cell>
          <cell r="K372">
            <v>150000</v>
          </cell>
        </row>
        <row r="373">
          <cell r="C373" t="str">
            <v>202605260055</v>
          </cell>
          <cell r="K373">
            <v>50000</v>
          </cell>
        </row>
        <row r="374">
          <cell r="C374" t="str">
            <v>202605260055</v>
          </cell>
          <cell r="K374">
            <v>20000</v>
          </cell>
        </row>
        <row r="375">
          <cell r="C375" t="str">
            <v>202605260055</v>
          </cell>
          <cell r="K375">
            <v>120000</v>
          </cell>
        </row>
        <row r="376">
          <cell r="C376" t="str">
            <v>202605260056</v>
          </cell>
          <cell r="K376">
            <v>50000</v>
          </cell>
        </row>
        <row r="377">
          <cell r="C377" t="str">
            <v>202605260056</v>
          </cell>
          <cell r="K377">
            <v>3000</v>
          </cell>
        </row>
        <row r="378">
          <cell r="C378" t="str">
            <v>202605260056</v>
          </cell>
          <cell r="K378">
            <v>60000</v>
          </cell>
        </row>
        <row r="379">
          <cell r="C379" t="str">
            <v>202605260056</v>
          </cell>
          <cell r="K379">
            <v>35000</v>
          </cell>
        </row>
        <row r="380">
          <cell r="C380" t="str">
            <v>202605270057</v>
          </cell>
          <cell r="K380">
            <v>72000</v>
          </cell>
        </row>
        <row r="381">
          <cell r="C381" t="str">
            <v>202605270057</v>
          </cell>
          <cell r="K381">
            <v>90000</v>
          </cell>
        </row>
        <row r="382">
          <cell r="C382" t="str">
            <v>202605270057</v>
          </cell>
          <cell r="K382">
            <v>48000</v>
          </cell>
        </row>
        <row r="383">
          <cell r="C383" t="str">
            <v>202605270057</v>
          </cell>
          <cell r="K383">
            <v>80000</v>
          </cell>
        </row>
        <row r="384">
          <cell r="C384" t="str">
            <v>202605270058</v>
          </cell>
          <cell r="K384">
            <v>150000</v>
          </cell>
        </row>
        <row r="385">
          <cell r="C385" t="str">
            <v>202605270058</v>
          </cell>
          <cell r="K385">
            <v>52500</v>
          </cell>
        </row>
        <row r="386">
          <cell r="C386" t="str">
            <v>202605270058</v>
          </cell>
          <cell r="K386">
            <v>70000</v>
          </cell>
        </row>
        <row r="387">
          <cell r="C387" t="str">
            <v>202605270058</v>
          </cell>
          <cell r="K387">
            <v>105000</v>
          </cell>
        </row>
        <row r="388">
          <cell r="C388" t="str">
            <v>202605270059</v>
          </cell>
          <cell r="K388">
            <v>35000</v>
          </cell>
        </row>
        <row r="389">
          <cell r="C389" t="str">
            <v>202605270059</v>
          </cell>
          <cell r="K389">
            <v>50000</v>
          </cell>
        </row>
        <row r="390">
          <cell r="C390" t="str">
            <v>202605270059</v>
          </cell>
          <cell r="K390">
            <v>60000</v>
          </cell>
        </row>
        <row r="391">
          <cell r="C391" t="str">
            <v>202605270059</v>
          </cell>
          <cell r="K391">
            <v>40000</v>
          </cell>
        </row>
        <row r="392">
          <cell r="C392" t="str">
            <v>202605280060</v>
          </cell>
          <cell r="K392">
            <v>70000</v>
          </cell>
        </row>
        <row r="393">
          <cell r="C393" t="str">
            <v>202605280060</v>
          </cell>
          <cell r="K393">
            <v>75000</v>
          </cell>
        </row>
        <row r="394">
          <cell r="C394" t="str">
            <v>202605280060</v>
          </cell>
          <cell r="K394">
            <v>50000</v>
          </cell>
        </row>
        <row r="395">
          <cell r="C395" t="str">
            <v>202605280060</v>
          </cell>
          <cell r="K395">
            <v>90000</v>
          </cell>
        </row>
        <row r="396">
          <cell r="C396" t="str">
            <v>202605280061</v>
          </cell>
          <cell r="K396">
            <v>50000</v>
          </cell>
        </row>
        <row r="397">
          <cell r="C397" t="str">
            <v>202605280061</v>
          </cell>
          <cell r="K397">
            <v>50000</v>
          </cell>
        </row>
        <row r="398">
          <cell r="C398" t="str">
            <v>202605280061</v>
          </cell>
          <cell r="K398">
            <v>24000</v>
          </cell>
        </row>
        <row r="399">
          <cell r="C399" t="str">
            <v>202605280061</v>
          </cell>
          <cell r="K399">
            <v>60000</v>
          </cell>
        </row>
        <row r="400">
          <cell r="C400" t="str">
            <v>202605290062</v>
          </cell>
          <cell r="K400">
            <v>25000</v>
          </cell>
        </row>
        <row r="401">
          <cell r="C401" t="str">
            <v>202605290062</v>
          </cell>
          <cell r="K401">
            <v>42000</v>
          </cell>
        </row>
        <row r="402">
          <cell r="C402" t="str">
            <v>202605290062</v>
          </cell>
          <cell r="K402">
            <v>90000</v>
          </cell>
        </row>
        <row r="403">
          <cell r="C403" t="str">
            <v>202605290062</v>
          </cell>
          <cell r="K403">
            <v>132000</v>
          </cell>
        </row>
        <row r="404">
          <cell r="C404" t="str">
            <v>202605290063</v>
          </cell>
          <cell r="K404">
            <v>75000</v>
          </cell>
        </row>
        <row r="405">
          <cell r="C405" t="str">
            <v>202605290063</v>
          </cell>
          <cell r="K405">
            <v>150000</v>
          </cell>
        </row>
        <row r="406">
          <cell r="C406" t="str">
            <v>202605290063</v>
          </cell>
          <cell r="K406">
            <v>175000</v>
          </cell>
        </row>
        <row r="407">
          <cell r="C407" t="str">
            <v>202605290063</v>
          </cell>
          <cell r="K407">
            <v>70000</v>
          </cell>
        </row>
        <row r="408">
          <cell r="C408" t="str">
            <v>202605300064</v>
          </cell>
          <cell r="K408">
            <v>127500</v>
          </cell>
        </row>
        <row r="409">
          <cell r="C409" t="str">
            <v>202605300064</v>
          </cell>
          <cell r="K409">
            <v>157500</v>
          </cell>
        </row>
        <row r="410">
          <cell r="C410" t="str">
            <v>202605300064</v>
          </cell>
          <cell r="K410">
            <v>50000</v>
          </cell>
        </row>
        <row r="411">
          <cell r="C411" t="str">
            <v>202605300064</v>
          </cell>
          <cell r="K411">
            <v>10000</v>
          </cell>
        </row>
        <row r="412">
          <cell r="C412" t="str">
            <v>202605300065</v>
          </cell>
          <cell r="K412">
            <v>100000</v>
          </cell>
        </row>
        <row r="413">
          <cell r="C413" t="str">
            <v>202605300065</v>
          </cell>
          <cell r="K413">
            <v>70000</v>
          </cell>
        </row>
        <row r="414">
          <cell r="C414" t="str">
            <v>202605300065</v>
          </cell>
          <cell r="K414">
            <v>180000</v>
          </cell>
        </row>
        <row r="415">
          <cell r="C415" t="str">
            <v>202605300065</v>
          </cell>
          <cell r="K415">
            <v>50000</v>
          </cell>
        </row>
        <row r="416">
          <cell r="C416" t="str">
            <v>202605310066</v>
          </cell>
          <cell r="K416">
            <v>60000</v>
          </cell>
        </row>
        <row r="417">
          <cell r="C417" t="str">
            <v>202605310066</v>
          </cell>
          <cell r="K417">
            <v>137500</v>
          </cell>
        </row>
        <row r="418">
          <cell r="C418" t="str">
            <v>202605310066</v>
          </cell>
          <cell r="K418">
            <v>50000</v>
          </cell>
        </row>
        <row r="419">
          <cell r="C419" t="str">
            <v>202605310066</v>
          </cell>
          <cell r="K419">
            <v>9000</v>
          </cell>
        </row>
        <row r="420">
          <cell r="C420" t="str">
            <v>202605310067</v>
          </cell>
          <cell r="K420">
            <v>50000</v>
          </cell>
        </row>
        <row r="421">
          <cell r="C421" t="str">
            <v>202605310067</v>
          </cell>
          <cell r="K421">
            <v>25000</v>
          </cell>
        </row>
        <row r="422">
          <cell r="C422" t="str">
            <v>202605310067</v>
          </cell>
          <cell r="K422">
            <v>12000</v>
          </cell>
        </row>
        <row r="423">
          <cell r="C423" t="str">
            <v>202605310067</v>
          </cell>
          <cell r="K423">
            <v>90000</v>
          </cell>
        </row>
        <row r="424">
          <cell r="C424" t="str">
            <v>202606010001</v>
          </cell>
          <cell r="K424">
            <v>40000</v>
          </cell>
        </row>
        <row r="425">
          <cell r="C425" t="str">
            <v>202606010001</v>
          </cell>
          <cell r="K425">
            <v>12500</v>
          </cell>
        </row>
        <row r="426">
          <cell r="C426" t="str">
            <v>202606010001</v>
          </cell>
          <cell r="K426">
            <v>150000</v>
          </cell>
        </row>
        <row r="427">
          <cell r="C427" t="str">
            <v>202606010001</v>
          </cell>
          <cell r="K427">
            <v>87500</v>
          </cell>
        </row>
        <row r="428">
          <cell r="C428" t="str">
            <v>202606010002</v>
          </cell>
          <cell r="K428">
            <v>150000</v>
          </cell>
        </row>
        <row r="429">
          <cell r="C429" t="str">
            <v>202606010002</v>
          </cell>
          <cell r="K429">
            <v>127500</v>
          </cell>
        </row>
        <row r="430">
          <cell r="C430" t="str">
            <v>202606010002</v>
          </cell>
          <cell r="K430">
            <v>70000</v>
          </cell>
        </row>
        <row r="431">
          <cell r="C431" t="str">
            <v>202606010002</v>
          </cell>
          <cell r="K431">
            <v>50000</v>
          </cell>
        </row>
        <row r="432">
          <cell r="C432" t="str">
            <v>202606010003</v>
          </cell>
          <cell r="K432">
            <v>96000</v>
          </cell>
        </row>
        <row r="433">
          <cell r="C433" t="str">
            <v>202606010003</v>
          </cell>
          <cell r="K433">
            <v>37500</v>
          </cell>
        </row>
        <row r="434">
          <cell r="C434" t="str">
            <v>202606010003</v>
          </cell>
          <cell r="K434">
            <v>70000</v>
          </cell>
        </row>
        <row r="435">
          <cell r="C435" t="str">
            <v>202606010003</v>
          </cell>
          <cell r="K435">
            <v>105000</v>
          </cell>
        </row>
        <row r="436">
          <cell r="C436" t="str">
            <v>202606020004</v>
          </cell>
          <cell r="K436">
            <v>35000</v>
          </cell>
        </row>
        <row r="437">
          <cell r="C437" t="str">
            <v>202606020004</v>
          </cell>
          <cell r="K437">
            <v>60000</v>
          </cell>
        </row>
        <row r="438">
          <cell r="C438" t="str">
            <v>202606020004</v>
          </cell>
          <cell r="K438">
            <v>75000</v>
          </cell>
        </row>
        <row r="439">
          <cell r="C439" t="str">
            <v>202606020004</v>
          </cell>
          <cell r="K439">
            <v>50000</v>
          </cell>
        </row>
        <row r="440">
          <cell r="C440" t="str">
            <v>202606020005</v>
          </cell>
          <cell r="K440">
            <v>30000</v>
          </cell>
        </row>
        <row r="441">
          <cell r="C441" t="str">
            <v>202606020005</v>
          </cell>
          <cell r="K441">
            <v>25000</v>
          </cell>
        </row>
        <row r="442">
          <cell r="C442" t="str">
            <v>202606020005</v>
          </cell>
          <cell r="K442">
            <v>25000</v>
          </cell>
        </row>
        <row r="443">
          <cell r="C443" t="str">
            <v>202606020005</v>
          </cell>
          <cell r="K443">
            <v>54000</v>
          </cell>
        </row>
        <row r="444">
          <cell r="C444" t="str">
            <v>202606030006</v>
          </cell>
          <cell r="K444">
            <v>32000</v>
          </cell>
        </row>
        <row r="445">
          <cell r="C445" t="str">
            <v>202606030006</v>
          </cell>
          <cell r="K445">
            <v>40000</v>
          </cell>
        </row>
        <row r="446">
          <cell r="C446" t="str">
            <v>202606030006</v>
          </cell>
          <cell r="K446">
            <v>100000</v>
          </cell>
        </row>
        <row r="447">
          <cell r="C447" t="str">
            <v>202606030006</v>
          </cell>
          <cell r="K447">
            <v>150000</v>
          </cell>
        </row>
        <row r="448">
          <cell r="C448" t="str">
            <v>202606030007</v>
          </cell>
          <cell r="K448">
            <v>60000</v>
          </cell>
        </row>
        <row r="449">
          <cell r="C449" t="str">
            <v>202606030007</v>
          </cell>
          <cell r="K449">
            <v>87500</v>
          </cell>
        </row>
        <row r="450">
          <cell r="C450" t="str">
            <v>202606030007</v>
          </cell>
          <cell r="K450">
            <v>127500</v>
          </cell>
        </row>
        <row r="451">
          <cell r="C451" t="str">
            <v>202606030007</v>
          </cell>
          <cell r="K451">
            <v>192500</v>
          </cell>
        </row>
        <row r="452">
          <cell r="C452" t="str">
            <v>202606040008</v>
          </cell>
          <cell r="K452">
            <v>45000</v>
          </cell>
        </row>
        <row r="453">
          <cell r="C453" t="str">
            <v>202606040008</v>
          </cell>
          <cell r="K453">
            <v>96000</v>
          </cell>
        </row>
        <row r="454">
          <cell r="C454" t="str">
            <v>202606040008</v>
          </cell>
          <cell r="K454">
            <v>125000</v>
          </cell>
        </row>
        <row r="455">
          <cell r="C455" t="str">
            <v>202606040008</v>
          </cell>
          <cell r="K455">
            <v>70000</v>
          </cell>
        </row>
        <row r="456">
          <cell r="C456" t="str">
            <v>202606040009</v>
          </cell>
          <cell r="K456">
            <v>127500</v>
          </cell>
        </row>
        <row r="457">
          <cell r="C457" t="str">
            <v>202606040009</v>
          </cell>
          <cell r="K457">
            <v>157500</v>
          </cell>
        </row>
        <row r="458">
          <cell r="C458" t="str">
            <v>202606040009</v>
          </cell>
          <cell r="K458">
            <v>60000</v>
          </cell>
        </row>
        <row r="459">
          <cell r="C459" t="str">
            <v>202606040009</v>
          </cell>
          <cell r="K459">
            <v>12500</v>
          </cell>
        </row>
        <row r="460">
          <cell r="C460" t="str">
            <v>202606050010</v>
          </cell>
          <cell r="K460">
            <v>120000</v>
          </cell>
        </row>
        <row r="461">
          <cell r="C461" t="str">
            <v>202606050010</v>
          </cell>
          <cell r="K461">
            <v>30000</v>
          </cell>
        </row>
        <row r="462">
          <cell r="C462" t="str">
            <v>202606050010</v>
          </cell>
          <cell r="K462">
            <v>60000</v>
          </cell>
        </row>
        <row r="463">
          <cell r="C463" t="str">
            <v>202606050010</v>
          </cell>
          <cell r="K463">
            <v>25000</v>
          </cell>
        </row>
        <row r="464">
          <cell r="C464" t="str">
            <v>202606050011</v>
          </cell>
          <cell r="K464">
            <v>40000</v>
          </cell>
        </row>
        <row r="465">
          <cell r="C465" t="str">
            <v>202606050011</v>
          </cell>
          <cell r="K465">
            <v>88000</v>
          </cell>
        </row>
        <row r="466">
          <cell r="C466" t="str">
            <v>202606050011</v>
          </cell>
          <cell r="K466">
            <v>40000</v>
          </cell>
        </row>
        <row r="467">
          <cell r="C467" t="str">
            <v>202606050011</v>
          </cell>
          <cell r="K467">
            <v>37500</v>
          </cell>
        </row>
        <row r="468">
          <cell r="C468" t="str">
            <v>202606060012</v>
          </cell>
          <cell r="K468">
            <v>150000</v>
          </cell>
        </row>
        <row r="469">
          <cell r="C469" t="str">
            <v>202606060012</v>
          </cell>
          <cell r="K469">
            <v>60000</v>
          </cell>
        </row>
        <row r="470">
          <cell r="C470" t="str">
            <v>202606060012</v>
          </cell>
          <cell r="K470">
            <v>25000</v>
          </cell>
        </row>
        <row r="471">
          <cell r="C471" t="str">
            <v>202606060012</v>
          </cell>
          <cell r="K471">
            <v>127500</v>
          </cell>
        </row>
        <row r="472">
          <cell r="C472" t="str">
            <v>202606060013</v>
          </cell>
          <cell r="K472">
            <v>50000</v>
          </cell>
        </row>
        <row r="473">
          <cell r="C473" t="str">
            <v>202606060013</v>
          </cell>
          <cell r="K473">
            <v>7500</v>
          </cell>
        </row>
        <row r="474">
          <cell r="C474" t="str">
            <v>202606060013</v>
          </cell>
          <cell r="K474">
            <v>96000</v>
          </cell>
        </row>
        <row r="475">
          <cell r="C475" t="str">
            <v>202606060013</v>
          </cell>
          <cell r="K475">
            <v>62500</v>
          </cell>
        </row>
        <row r="476">
          <cell r="C476" t="str">
            <v>202606070014</v>
          </cell>
          <cell r="K476">
            <v>150000</v>
          </cell>
        </row>
        <row r="477">
          <cell r="C477" t="str">
            <v>202606070014</v>
          </cell>
          <cell r="K477">
            <v>127500</v>
          </cell>
        </row>
        <row r="478">
          <cell r="C478" t="str">
            <v>202606070014</v>
          </cell>
          <cell r="K478">
            <v>70000</v>
          </cell>
        </row>
        <row r="479">
          <cell r="C479" t="str">
            <v>202606070014</v>
          </cell>
          <cell r="K479">
            <v>60000</v>
          </cell>
        </row>
        <row r="480">
          <cell r="C480" t="str">
            <v>202606070015</v>
          </cell>
          <cell r="K480">
            <v>120000</v>
          </cell>
        </row>
        <row r="481">
          <cell r="C481" t="str">
            <v>202606070015</v>
          </cell>
          <cell r="K481">
            <v>45000</v>
          </cell>
        </row>
        <row r="482">
          <cell r="C482" t="str">
            <v>202606070015</v>
          </cell>
          <cell r="K482">
            <v>30000</v>
          </cell>
        </row>
        <row r="483">
          <cell r="C483" t="str">
            <v>202606070015</v>
          </cell>
          <cell r="K483">
            <v>35000</v>
          </cell>
        </row>
        <row r="484">
          <cell r="C484" t="str">
            <v>202606070016</v>
          </cell>
          <cell r="K484">
            <v>14000</v>
          </cell>
        </row>
        <row r="485">
          <cell r="C485" t="str">
            <v>202606070016</v>
          </cell>
          <cell r="K485">
            <v>40000</v>
          </cell>
        </row>
        <row r="486">
          <cell r="C486" t="str">
            <v>202606070016</v>
          </cell>
          <cell r="K486">
            <v>48000</v>
          </cell>
        </row>
        <row r="487">
          <cell r="C487" t="str">
            <v>202606070016</v>
          </cell>
          <cell r="K487">
            <v>40000</v>
          </cell>
        </row>
        <row r="488">
          <cell r="C488" t="str">
            <v>202606080017</v>
          </cell>
          <cell r="K488">
            <v>80000</v>
          </cell>
        </row>
        <row r="489">
          <cell r="C489" t="str">
            <v>202606080017</v>
          </cell>
          <cell r="K489">
            <v>75000</v>
          </cell>
        </row>
        <row r="490">
          <cell r="C490" t="str">
            <v>202606080017</v>
          </cell>
          <cell r="K490">
            <v>60000</v>
          </cell>
        </row>
        <row r="491">
          <cell r="C491" t="str">
            <v>202606080017</v>
          </cell>
          <cell r="K491">
            <v>112500</v>
          </cell>
        </row>
        <row r="492">
          <cell r="C492" t="str">
            <v>202606080018</v>
          </cell>
          <cell r="K492">
            <v>60000</v>
          </cell>
        </row>
        <row r="493">
          <cell r="C493" t="str">
            <v>202606080018</v>
          </cell>
          <cell r="K493">
            <v>50000</v>
          </cell>
        </row>
        <row r="494">
          <cell r="C494" t="str">
            <v>202606080018</v>
          </cell>
          <cell r="K494">
            <v>60000</v>
          </cell>
        </row>
        <row r="495">
          <cell r="C495" t="str">
            <v>202606080018</v>
          </cell>
          <cell r="K495">
            <v>96000</v>
          </cell>
        </row>
        <row r="496">
          <cell r="C496" t="str">
            <v>202606090019</v>
          </cell>
          <cell r="K496">
            <v>40000</v>
          </cell>
        </row>
        <row r="497">
          <cell r="C497" t="str">
            <v>202606090019</v>
          </cell>
          <cell r="K497">
            <v>87500</v>
          </cell>
        </row>
        <row r="498">
          <cell r="C498" t="str">
            <v>202606090019</v>
          </cell>
          <cell r="K498">
            <v>127500</v>
          </cell>
        </row>
        <row r="499">
          <cell r="C499" t="str">
            <v>202606090019</v>
          </cell>
          <cell r="K499">
            <v>192500</v>
          </cell>
        </row>
        <row r="500">
          <cell r="C500" t="str">
            <v>202606090020</v>
          </cell>
          <cell r="K500">
            <v>60000</v>
          </cell>
        </row>
        <row r="501">
          <cell r="C501" t="str">
            <v>202606090020</v>
          </cell>
          <cell r="K501">
            <v>120000</v>
          </cell>
        </row>
        <row r="502">
          <cell r="C502" t="str">
            <v>202606090020</v>
          </cell>
          <cell r="K502">
            <v>150000</v>
          </cell>
        </row>
        <row r="503">
          <cell r="C503" t="str">
            <v>202606090020</v>
          </cell>
          <cell r="K503">
            <v>30000</v>
          </cell>
        </row>
        <row r="504">
          <cell r="C504" t="str">
            <v>202606100021</v>
          </cell>
          <cell r="K504">
            <v>60000</v>
          </cell>
        </row>
        <row r="505">
          <cell r="C505" t="str">
            <v>202606100021</v>
          </cell>
          <cell r="K505">
            <v>63000</v>
          </cell>
        </row>
        <row r="506">
          <cell r="C506" t="str">
            <v>202606100021</v>
          </cell>
          <cell r="K506">
            <v>40000</v>
          </cell>
        </row>
        <row r="507">
          <cell r="C507" t="str">
            <v>202606100021</v>
          </cell>
          <cell r="K507">
            <v>8000</v>
          </cell>
        </row>
        <row r="508">
          <cell r="C508" t="str">
            <v>202606100022</v>
          </cell>
          <cell r="K508">
            <v>96000</v>
          </cell>
        </row>
        <row r="509">
          <cell r="C509" t="str">
            <v>202606100022</v>
          </cell>
          <cell r="K509">
            <v>80000</v>
          </cell>
        </row>
        <row r="510">
          <cell r="C510" t="str">
            <v>202606100022</v>
          </cell>
          <cell r="K510">
            <v>180000</v>
          </cell>
        </row>
        <row r="511">
          <cell r="C511" t="str">
            <v>202606100022</v>
          </cell>
          <cell r="K511">
            <v>60000</v>
          </cell>
        </row>
        <row r="512">
          <cell r="C512" t="str">
            <v>202606110023</v>
          </cell>
          <cell r="K512">
            <v>70000</v>
          </cell>
        </row>
        <row r="513">
          <cell r="C513" t="str">
            <v>202606110023</v>
          </cell>
          <cell r="K513">
            <v>165000</v>
          </cell>
        </row>
        <row r="514">
          <cell r="C514" t="str">
            <v>202606110023</v>
          </cell>
          <cell r="K514">
            <v>50000</v>
          </cell>
        </row>
        <row r="515">
          <cell r="C515" t="str">
            <v>202606110023</v>
          </cell>
          <cell r="K515">
            <v>22500</v>
          </cell>
        </row>
        <row r="516">
          <cell r="C516" t="str">
            <v>202606110024</v>
          </cell>
          <cell r="K516">
            <v>100000</v>
          </cell>
        </row>
        <row r="517">
          <cell r="C517" t="str">
            <v>202606110024</v>
          </cell>
          <cell r="K517">
            <v>40000</v>
          </cell>
        </row>
        <row r="518">
          <cell r="C518" t="str">
            <v>202606110024</v>
          </cell>
          <cell r="K518">
            <v>25000</v>
          </cell>
        </row>
        <row r="519">
          <cell r="C519" t="str">
            <v>202606110024</v>
          </cell>
          <cell r="K519">
            <v>127500</v>
          </cell>
        </row>
        <row r="520">
          <cell r="C520" t="str">
            <v>202606120025</v>
          </cell>
          <cell r="K520">
            <v>50000</v>
          </cell>
        </row>
        <row r="521">
          <cell r="C521" t="str">
            <v>202606120025</v>
          </cell>
          <cell r="K521">
            <v>10000</v>
          </cell>
        </row>
        <row r="522">
          <cell r="C522" t="str">
            <v>202606120025</v>
          </cell>
          <cell r="K522">
            <v>120000</v>
          </cell>
        </row>
        <row r="523">
          <cell r="C523" t="str">
            <v>202606120025</v>
          </cell>
          <cell r="K523">
            <v>75000</v>
          </cell>
        </row>
        <row r="524">
          <cell r="C524" t="str">
            <v>202606120026</v>
          </cell>
          <cell r="K524">
            <v>36000</v>
          </cell>
        </row>
        <row r="525">
          <cell r="C525" t="str">
            <v>202606120026</v>
          </cell>
          <cell r="K525">
            <v>60000</v>
          </cell>
        </row>
        <row r="526">
          <cell r="C526" t="str">
            <v>202606120026</v>
          </cell>
          <cell r="K526">
            <v>28000</v>
          </cell>
        </row>
        <row r="527">
          <cell r="C527" t="str">
            <v>202606120026</v>
          </cell>
          <cell r="K527">
            <v>40000</v>
          </cell>
        </row>
        <row r="528">
          <cell r="C528" t="str">
            <v>202606120027</v>
          </cell>
          <cell r="K528">
            <v>90000</v>
          </cell>
        </row>
        <row r="529">
          <cell r="C529" t="str">
            <v>202606120027</v>
          </cell>
          <cell r="K529">
            <v>36000</v>
          </cell>
        </row>
        <row r="530">
          <cell r="C530" t="str">
            <v>202606120027</v>
          </cell>
          <cell r="K530">
            <v>80000</v>
          </cell>
        </row>
        <row r="531">
          <cell r="C531" t="str">
            <v>202606120027</v>
          </cell>
          <cell r="K531">
            <v>105000</v>
          </cell>
        </row>
        <row r="532">
          <cell r="C532" t="str">
            <v>202606130028</v>
          </cell>
          <cell r="K532">
            <v>35000</v>
          </cell>
        </row>
        <row r="533">
          <cell r="C533" t="str">
            <v>202606130028</v>
          </cell>
          <cell r="K533">
            <v>70000</v>
          </cell>
        </row>
        <row r="534">
          <cell r="C534" t="str">
            <v>202606130028</v>
          </cell>
          <cell r="K534">
            <v>90000</v>
          </cell>
        </row>
        <row r="535">
          <cell r="C535" t="str">
            <v>202606130028</v>
          </cell>
          <cell r="K535">
            <v>50000</v>
          </cell>
        </row>
        <row r="536">
          <cell r="C536" t="str">
            <v>202606130029</v>
          </cell>
          <cell r="K536">
            <v>50000</v>
          </cell>
        </row>
        <row r="537">
          <cell r="C537" t="str">
            <v>202606130029</v>
          </cell>
          <cell r="K537">
            <v>50000</v>
          </cell>
        </row>
        <row r="538">
          <cell r="C538" t="str">
            <v>202606130029</v>
          </cell>
          <cell r="K538">
            <v>40000</v>
          </cell>
        </row>
        <row r="539">
          <cell r="C539" t="str">
            <v>202606130029</v>
          </cell>
          <cell r="K539">
            <v>112500</v>
          </cell>
        </row>
        <row r="540">
          <cell r="C540" t="str">
            <v>202606140030</v>
          </cell>
          <cell r="K540">
            <v>60000</v>
          </cell>
        </row>
        <row r="541">
          <cell r="C541" t="str">
            <v>202606140030</v>
          </cell>
          <cell r="K541">
            <v>50000</v>
          </cell>
        </row>
        <row r="542">
          <cell r="C542" t="str">
            <v>202606140030</v>
          </cell>
          <cell r="K542">
            <v>80000</v>
          </cell>
        </row>
        <row r="543">
          <cell r="C543" t="str">
            <v>202606140030</v>
          </cell>
          <cell r="K543">
            <v>120000</v>
          </cell>
        </row>
        <row r="544">
          <cell r="C544" t="str">
            <v>202606140031</v>
          </cell>
          <cell r="K544">
            <v>50000</v>
          </cell>
        </row>
        <row r="545">
          <cell r="C545" t="str">
            <v>202606140031</v>
          </cell>
          <cell r="K545">
            <v>21000</v>
          </cell>
        </row>
        <row r="546">
          <cell r="C546" t="str">
            <v>202606140031</v>
          </cell>
          <cell r="K546">
            <v>60000</v>
          </cell>
        </row>
        <row r="547">
          <cell r="C547" t="str">
            <v>202606140031</v>
          </cell>
          <cell r="K547">
            <v>77000</v>
          </cell>
        </row>
        <row r="548">
          <cell r="C548" t="str">
            <v>202606150032</v>
          </cell>
          <cell r="K548">
            <v>36000</v>
          </cell>
        </row>
        <row r="549">
          <cell r="C549" t="str">
            <v>202606150032</v>
          </cell>
          <cell r="K549">
            <v>90000</v>
          </cell>
        </row>
        <row r="550">
          <cell r="C550" t="str">
            <v>202606150032</v>
          </cell>
          <cell r="K550">
            <v>120000</v>
          </cell>
        </row>
        <row r="551">
          <cell r="C551" t="str">
            <v>202606150032</v>
          </cell>
          <cell r="K551">
            <v>80000</v>
          </cell>
        </row>
        <row r="552">
          <cell r="C552" t="str">
            <v>202606150033</v>
          </cell>
          <cell r="K552">
            <v>150000</v>
          </cell>
        </row>
        <row r="553">
          <cell r="C553" t="str">
            <v>202606150033</v>
          </cell>
          <cell r="K553">
            <v>157500</v>
          </cell>
        </row>
        <row r="554">
          <cell r="C554" t="str">
            <v>202606150033</v>
          </cell>
          <cell r="K554">
            <v>70000</v>
          </cell>
        </row>
        <row r="555">
          <cell r="C555" t="str">
            <v>202606150033</v>
          </cell>
          <cell r="K555">
            <v>15000</v>
          </cell>
        </row>
        <row r="556">
          <cell r="C556" t="str">
            <v>202606160034</v>
          </cell>
          <cell r="K556">
            <v>140000</v>
          </cell>
        </row>
        <row r="557">
          <cell r="C557" t="str">
            <v>202606160034</v>
          </cell>
          <cell r="K557">
            <v>50000</v>
          </cell>
        </row>
        <row r="558">
          <cell r="C558" t="str">
            <v>202606160034</v>
          </cell>
          <cell r="K558">
            <v>120000</v>
          </cell>
        </row>
        <row r="559">
          <cell r="C559" t="str">
            <v>202606160034</v>
          </cell>
          <cell r="K559">
            <v>40000</v>
          </cell>
        </row>
        <row r="560">
          <cell r="C560" t="str">
            <v>202606160035</v>
          </cell>
          <cell r="K560">
            <v>70000</v>
          </cell>
        </row>
        <row r="561">
          <cell r="C561" t="str">
            <v>202606160035</v>
          </cell>
          <cell r="K561">
            <v>165000</v>
          </cell>
        </row>
        <row r="562">
          <cell r="C562" t="str">
            <v>202606160035</v>
          </cell>
          <cell r="K562">
            <v>50000</v>
          </cell>
        </row>
        <row r="563">
          <cell r="C563" t="str">
            <v>202606160035</v>
          </cell>
          <cell r="K563">
            <v>30000</v>
          </cell>
        </row>
        <row r="564">
          <cell r="C564" t="str">
            <v>202606170036</v>
          </cell>
          <cell r="K564">
            <v>125000</v>
          </cell>
        </row>
        <row r="565">
          <cell r="C565" t="str">
            <v>202606170036</v>
          </cell>
          <cell r="K565">
            <v>50000</v>
          </cell>
        </row>
        <row r="566">
          <cell r="C566" t="str">
            <v>202606170036</v>
          </cell>
          <cell r="K566">
            <v>6000</v>
          </cell>
        </row>
        <row r="567">
          <cell r="C567" t="str">
            <v>202606170036</v>
          </cell>
          <cell r="K567">
            <v>60000</v>
          </cell>
        </row>
        <row r="568">
          <cell r="C568" t="str">
            <v>202606170037</v>
          </cell>
          <cell r="K568">
            <v>25000</v>
          </cell>
        </row>
        <row r="569">
          <cell r="C569" t="str">
            <v>202606170037</v>
          </cell>
          <cell r="K569">
            <v>6000</v>
          </cell>
        </row>
        <row r="570">
          <cell r="C570" t="str">
            <v>202606170037</v>
          </cell>
          <cell r="K570">
            <v>90000</v>
          </cell>
        </row>
        <row r="571">
          <cell r="C571" t="str">
            <v>202606170037</v>
          </cell>
          <cell r="K571">
            <v>60000</v>
          </cell>
        </row>
        <row r="572">
          <cell r="C572" t="str">
            <v>202606180038</v>
          </cell>
          <cell r="K572">
            <v>150000</v>
          </cell>
        </row>
        <row r="573">
          <cell r="C573" t="str">
            <v>202606180038</v>
          </cell>
          <cell r="K573">
            <v>150000</v>
          </cell>
        </row>
        <row r="574">
          <cell r="C574" t="str">
            <v>202606180038</v>
          </cell>
          <cell r="K574">
            <v>70000</v>
          </cell>
        </row>
        <row r="575">
          <cell r="C575" t="str">
            <v>202606180038</v>
          </cell>
          <cell r="K575">
            <v>70000</v>
          </cell>
        </row>
        <row r="576">
          <cell r="C576" t="str">
            <v>202606180039</v>
          </cell>
          <cell r="K576">
            <v>127500</v>
          </cell>
        </row>
        <row r="577">
          <cell r="C577" t="str">
            <v>202606180039</v>
          </cell>
          <cell r="K577">
            <v>52500</v>
          </cell>
        </row>
        <row r="578">
          <cell r="C578" t="str">
            <v>202606180039</v>
          </cell>
          <cell r="K578">
            <v>50000</v>
          </cell>
        </row>
        <row r="579">
          <cell r="C579" t="str">
            <v>202606180039</v>
          </cell>
          <cell r="K579">
            <v>70000</v>
          </cell>
        </row>
        <row r="580">
          <cell r="C580" t="str">
            <v>202606180040</v>
          </cell>
          <cell r="K580">
            <v>25000</v>
          </cell>
        </row>
        <row r="581">
          <cell r="C581" t="str">
            <v>202606180040</v>
          </cell>
          <cell r="K581">
            <v>70000</v>
          </cell>
        </row>
        <row r="582">
          <cell r="C582" t="str">
            <v>202606180040</v>
          </cell>
          <cell r="K582">
            <v>90000</v>
          </cell>
        </row>
        <row r="583">
          <cell r="C583" t="str">
            <v>202606180040</v>
          </cell>
          <cell r="K583">
            <v>50000</v>
          </cell>
        </row>
        <row r="584">
          <cell r="C584" t="str">
            <v>202606190041</v>
          </cell>
          <cell r="K584">
            <v>60000</v>
          </cell>
        </row>
        <row r="585">
          <cell r="C585" t="str">
            <v>202606190041</v>
          </cell>
          <cell r="K585">
            <v>62500</v>
          </cell>
        </row>
        <row r="586">
          <cell r="C586" t="str">
            <v>202606190041</v>
          </cell>
          <cell r="K586">
            <v>50000</v>
          </cell>
        </row>
        <row r="587">
          <cell r="C587" t="str">
            <v>202606190041</v>
          </cell>
          <cell r="K587">
            <v>27000</v>
          </cell>
        </row>
        <row r="588">
          <cell r="C588" t="str">
            <v>202606190042</v>
          </cell>
          <cell r="K588">
            <v>20000</v>
          </cell>
        </row>
        <row r="589">
          <cell r="C589" t="str">
            <v>202606190042</v>
          </cell>
          <cell r="K589">
            <v>25000</v>
          </cell>
        </row>
        <row r="590">
          <cell r="C590" t="str">
            <v>202606190042</v>
          </cell>
          <cell r="K590">
            <v>48000</v>
          </cell>
        </row>
        <row r="591">
          <cell r="C591" t="str">
            <v>202606190042</v>
          </cell>
          <cell r="K591">
            <v>90000</v>
          </cell>
        </row>
        <row r="592">
          <cell r="C592" t="str">
            <v>202606200043</v>
          </cell>
          <cell r="K592">
            <v>40000</v>
          </cell>
        </row>
        <row r="593">
          <cell r="C593" t="str">
            <v>202606200043</v>
          </cell>
          <cell r="K593">
            <v>87500</v>
          </cell>
        </row>
        <row r="594">
          <cell r="C594" t="str">
            <v>202606200043</v>
          </cell>
          <cell r="K594">
            <v>150000</v>
          </cell>
        </row>
        <row r="595">
          <cell r="C595" t="str">
            <v>202606200043</v>
          </cell>
          <cell r="K595">
            <v>192500</v>
          </cell>
        </row>
        <row r="596">
          <cell r="C596" t="str">
            <v>202606200044</v>
          </cell>
          <cell r="K596">
            <v>75000</v>
          </cell>
        </row>
        <row r="597">
          <cell r="C597" t="str">
            <v>202606200044</v>
          </cell>
          <cell r="K597">
            <v>127500</v>
          </cell>
        </row>
        <row r="598">
          <cell r="C598" t="str">
            <v>202606200044</v>
          </cell>
          <cell r="K598">
            <v>175000</v>
          </cell>
        </row>
        <row r="599">
          <cell r="C599" t="str">
            <v>202606200044</v>
          </cell>
          <cell r="K599">
            <v>50000</v>
          </cell>
        </row>
        <row r="600">
          <cell r="C600" t="str">
            <v>202606210045</v>
          </cell>
          <cell r="K600">
            <v>96000</v>
          </cell>
        </row>
        <row r="601">
          <cell r="C601" t="str">
            <v>202606210045</v>
          </cell>
          <cell r="K601">
            <v>112500</v>
          </cell>
        </row>
        <row r="602">
          <cell r="C602" t="str">
            <v>202606210045</v>
          </cell>
          <cell r="K602">
            <v>70000</v>
          </cell>
        </row>
        <row r="603">
          <cell r="C603" t="str">
            <v>202606210045</v>
          </cell>
          <cell r="K603">
            <v>15000</v>
          </cell>
        </row>
        <row r="604">
          <cell r="C604" t="str">
            <v>202606210046</v>
          </cell>
          <cell r="K604">
            <v>140000</v>
          </cell>
        </row>
        <row r="605">
          <cell r="C605" t="str">
            <v>202606210046</v>
          </cell>
          <cell r="K605">
            <v>60000</v>
          </cell>
        </row>
        <row r="606">
          <cell r="C606" t="str">
            <v>202606210046</v>
          </cell>
          <cell r="K606">
            <v>150000</v>
          </cell>
        </row>
        <row r="607">
          <cell r="C607" t="str">
            <v>202606210046</v>
          </cell>
          <cell r="K607">
            <v>50000</v>
          </cell>
        </row>
        <row r="608">
          <cell r="C608" t="str">
            <v>202606220047</v>
          </cell>
          <cell r="K608">
            <v>30000</v>
          </cell>
        </row>
        <row r="609">
          <cell r="C609" t="str">
            <v>202606220047</v>
          </cell>
          <cell r="K609">
            <v>55000</v>
          </cell>
        </row>
        <row r="610">
          <cell r="C610" t="str">
            <v>202606220047</v>
          </cell>
          <cell r="K610">
            <v>25000</v>
          </cell>
        </row>
        <row r="611">
          <cell r="C611" t="str">
            <v>202606220047</v>
          </cell>
          <cell r="K611">
            <v>18000</v>
          </cell>
        </row>
        <row r="612">
          <cell r="C612" t="str">
            <v>202606220048</v>
          </cell>
          <cell r="K612">
            <v>80000</v>
          </cell>
        </row>
        <row r="613">
          <cell r="C613" t="str">
            <v>202606220048</v>
          </cell>
          <cell r="K613">
            <v>40000</v>
          </cell>
        </row>
        <row r="614">
          <cell r="C614" t="str">
            <v>202606220048</v>
          </cell>
          <cell r="K614">
            <v>25000</v>
          </cell>
        </row>
        <row r="615">
          <cell r="C615" t="str">
            <v>202606220048</v>
          </cell>
          <cell r="K615">
            <v>150000</v>
          </cell>
        </row>
        <row r="616">
          <cell r="C616" t="str">
            <v>202606230049</v>
          </cell>
          <cell r="K616">
            <v>60000</v>
          </cell>
        </row>
        <row r="617">
          <cell r="C617" t="str">
            <v>202606230049</v>
          </cell>
          <cell r="K617">
            <v>12500</v>
          </cell>
        </row>
        <row r="618">
          <cell r="C618" t="str">
            <v>202606230049</v>
          </cell>
          <cell r="K618">
            <v>127500</v>
          </cell>
        </row>
        <row r="619">
          <cell r="C619" t="str">
            <v>202606230049</v>
          </cell>
          <cell r="K619">
            <v>87500</v>
          </cell>
        </row>
        <row r="620">
          <cell r="C620" t="str">
            <v>202606230050</v>
          </cell>
          <cell r="K620">
            <v>90000</v>
          </cell>
        </row>
        <row r="621">
          <cell r="C621" t="str">
            <v>202606230050</v>
          </cell>
          <cell r="K621">
            <v>96000</v>
          </cell>
        </row>
        <row r="622">
          <cell r="C622" t="str">
            <v>202606230050</v>
          </cell>
          <cell r="K622">
            <v>50000</v>
          </cell>
        </row>
        <row r="623">
          <cell r="C623" t="str">
            <v>202606230050</v>
          </cell>
          <cell r="K623">
            <v>70000</v>
          </cell>
        </row>
        <row r="624">
          <cell r="C624" t="str">
            <v>202606230051</v>
          </cell>
          <cell r="K624">
            <v>127500</v>
          </cell>
        </row>
        <row r="625">
          <cell r="C625" t="str">
            <v>202606230051</v>
          </cell>
          <cell r="K625">
            <v>52500</v>
          </cell>
        </row>
        <row r="626">
          <cell r="C626" t="str">
            <v>202606230051</v>
          </cell>
          <cell r="K626">
            <v>60000</v>
          </cell>
        </row>
        <row r="627">
          <cell r="C627" t="str">
            <v>202606230051</v>
          </cell>
          <cell r="K627">
            <v>87500</v>
          </cell>
        </row>
        <row r="628">
          <cell r="C628" t="str">
            <v>202606240052</v>
          </cell>
          <cell r="K628">
            <v>30000</v>
          </cell>
        </row>
        <row r="629">
          <cell r="C629" t="str">
            <v>202606240052</v>
          </cell>
          <cell r="K629">
            <v>30000</v>
          </cell>
        </row>
        <row r="630">
          <cell r="C630" t="str">
            <v>202606240052</v>
          </cell>
          <cell r="K630">
            <v>30000</v>
          </cell>
        </row>
        <row r="631">
          <cell r="C631" t="str">
            <v>202606240052</v>
          </cell>
          <cell r="K631">
            <v>25000</v>
          </cell>
        </row>
        <row r="632">
          <cell r="C632" t="str">
            <v>202606240053</v>
          </cell>
          <cell r="K632">
            <v>40000</v>
          </cell>
        </row>
        <row r="633">
          <cell r="C633" t="str">
            <v>202606240053</v>
          </cell>
          <cell r="K633">
            <v>40000</v>
          </cell>
        </row>
        <row r="634">
          <cell r="C634" t="str">
            <v>202606240053</v>
          </cell>
          <cell r="K634">
            <v>40000</v>
          </cell>
        </row>
        <row r="635">
          <cell r="C635" t="str">
            <v>202606240053</v>
          </cell>
          <cell r="K635">
            <v>112500</v>
          </cell>
        </row>
        <row r="636">
          <cell r="C636" t="str">
            <v>202606250054</v>
          </cell>
          <cell r="K636">
            <v>60000</v>
          </cell>
        </row>
        <row r="637">
          <cell r="C637" t="str">
            <v>202606250054</v>
          </cell>
          <cell r="K637">
            <v>60000</v>
          </cell>
        </row>
        <row r="638">
          <cell r="C638" t="str">
            <v>202606250054</v>
          </cell>
          <cell r="K638">
            <v>100000</v>
          </cell>
        </row>
        <row r="639">
          <cell r="C639" t="str">
            <v>202606250054</v>
          </cell>
          <cell r="K639">
            <v>127500</v>
          </cell>
        </row>
        <row r="640">
          <cell r="C640" t="str">
            <v>202606250055</v>
          </cell>
          <cell r="K640">
            <v>50000</v>
          </cell>
        </row>
        <row r="641">
          <cell r="C641" t="str">
            <v>202606250055</v>
          </cell>
          <cell r="K641">
            <v>52500</v>
          </cell>
        </row>
        <row r="642">
          <cell r="C642" t="str">
            <v>202606250055</v>
          </cell>
          <cell r="K642">
            <v>96000</v>
          </cell>
        </row>
        <row r="643">
          <cell r="C643" t="str">
            <v>202606250055</v>
          </cell>
          <cell r="K643">
            <v>137500</v>
          </cell>
        </row>
        <row r="644">
          <cell r="C644" t="str">
            <v>202606260056</v>
          </cell>
          <cell r="K644">
            <v>75000</v>
          </cell>
        </row>
        <row r="645">
          <cell r="C645" t="str">
            <v>202606260056</v>
          </cell>
          <cell r="K645">
            <v>127500</v>
          </cell>
        </row>
        <row r="646">
          <cell r="C646" t="str">
            <v>202606260056</v>
          </cell>
          <cell r="K646">
            <v>175000</v>
          </cell>
        </row>
        <row r="647">
          <cell r="C647" t="str">
            <v>202606260056</v>
          </cell>
          <cell r="K647">
            <v>60000</v>
          </cell>
        </row>
        <row r="648">
          <cell r="C648" t="str">
            <v>202606260057</v>
          </cell>
          <cell r="K648">
            <v>120000</v>
          </cell>
        </row>
        <row r="649">
          <cell r="C649" t="str">
            <v>202606260057</v>
          </cell>
          <cell r="K649">
            <v>135000</v>
          </cell>
        </row>
        <row r="650">
          <cell r="C650" t="str">
            <v>202606260057</v>
          </cell>
          <cell r="K650">
            <v>30000</v>
          </cell>
        </row>
        <row r="651">
          <cell r="C651" t="str">
            <v>202606260057</v>
          </cell>
          <cell r="K651">
            <v>5000</v>
          </cell>
        </row>
        <row r="652">
          <cell r="C652" t="str">
            <v>202606270058</v>
          </cell>
          <cell r="K652">
            <v>56000</v>
          </cell>
        </row>
        <row r="653">
          <cell r="C653" t="str">
            <v>202606270058</v>
          </cell>
          <cell r="K653">
            <v>40000</v>
          </cell>
        </row>
        <row r="654">
          <cell r="C654" t="str">
            <v>202606270058</v>
          </cell>
          <cell r="K654">
            <v>96000</v>
          </cell>
        </row>
        <row r="655">
          <cell r="C655" t="str">
            <v>202606270058</v>
          </cell>
          <cell r="K655">
            <v>40000</v>
          </cell>
        </row>
        <row r="656">
          <cell r="C656" t="str">
            <v>202606270059</v>
          </cell>
          <cell r="K656">
            <v>80000</v>
          </cell>
        </row>
        <row r="657">
          <cell r="C657" t="str">
            <v>202606270059</v>
          </cell>
          <cell r="K657">
            <v>165000</v>
          </cell>
        </row>
        <row r="658">
          <cell r="C658" t="str">
            <v>202606270059</v>
          </cell>
          <cell r="K658">
            <v>60000</v>
          </cell>
        </row>
        <row r="659">
          <cell r="C659" t="str">
            <v>202606270059</v>
          </cell>
          <cell r="K659">
            <v>37500</v>
          </cell>
        </row>
        <row r="660">
          <cell r="C660" t="str">
            <v>202606280060</v>
          </cell>
          <cell r="K660">
            <v>150000</v>
          </cell>
        </row>
        <row r="661">
          <cell r="C661" t="str">
            <v>202606280060</v>
          </cell>
          <cell r="K661">
            <v>50000</v>
          </cell>
        </row>
        <row r="662">
          <cell r="C662" t="str">
            <v>202606280060</v>
          </cell>
          <cell r="K662">
            <v>15000</v>
          </cell>
        </row>
        <row r="663">
          <cell r="C663" t="str">
            <v>202606280060</v>
          </cell>
          <cell r="K663">
            <v>96000</v>
          </cell>
        </row>
        <row r="664">
          <cell r="C664" t="str">
            <v>202606280061</v>
          </cell>
          <cell r="K664">
            <v>40000</v>
          </cell>
        </row>
        <row r="665">
          <cell r="C665" t="str">
            <v>202606280061</v>
          </cell>
          <cell r="K665">
            <v>12500</v>
          </cell>
        </row>
        <row r="666">
          <cell r="C666" t="str">
            <v>202606280061</v>
          </cell>
          <cell r="K666">
            <v>127500</v>
          </cell>
        </row>
        <row r="667">
          <cell r="C667" t="str">
            <v>202606280061</v>
          </cell>
          <cell r="K667">
            <v>87500</v>
          </cell>
        </row>
        <row r="668">
          <cell r="C668" t="str">
            <v>202606290062</v>
          </cell>
          <cell r="K668">
            <v>120000</v>
          </cell>
        </row>
        <row r="669">
          <cell r="C669" t="str">
            <v>202606290062</v>
          </cell>
          <cell r="K669">
            <v>120000</v>
          </cell>
        </row>
        <row r="670">
          <cell r="C670" t="str">
            <v>202606290062</v>
          </cell>
          <cell r="K670">
            <v>60000</v>
          </cell>
        </row>
        <row r="671">
          <cell r="C671" t="str">
            <v>202606290062</v>
          </cell>
          <cell r="K671">
            <v>30000</v>
          </cell>
        </row>
        <row r="672">
          <cell r="C672" t="str">
            <v>202606290063</v>
          </cell>
          <cell r="K672">
            <v>60000</v>
          </cell>
        </row>
        <row r="673">
          <cell r="C673" t="str">
            <v>202606290063</v>
          </cell>
          <cell r="K673">
            <v>21000</v>
          </cell>
        </row>
        <row r="674">
          <cell r="C674" t="str">
            <v>202606290063</v>
          </cell>
          <cell r="K674">
            <v>40000</v>
          </cell>
        </row>
        <row r="675">
          <cell r="C675" t="str">
            <v>202606290063</v>
          </cell>
          <cell r="K675">
            <v>56000</v>
          </cell>
        </row>
        <row r="676">
          <cell r="C676" t="str">
            <v>202606290064</v>
          </cell>
          <cell r="K676">
            <v>24000</v>
          </cell>
        </row>
        <row r="677">
          <cell r="C677" t="str">
            <v>202606290064</v>
          </cell>
          <cell r="K677">
            <v>80000</v>
          </cell>
        </row>
        <row r="678">
          <cell r="C678" t="str">
            <v>202606290064</v>
          </cell>
          <cell r="K678">
            <v>90000</v>
          </cell>
        </row>
        <row r="679">
          <cell r="C679" t="str">
            <v>202606290064</v>
          </cell>
          <cell r="K679">
            <v>60000</v>
          </cell>
        </row>
        <row r="680">
          <cell r="C680" t="str">
            <v>202606300065</v>
          </cell>
          <cell r="K680">
            <v>70000</v>
          </cell>
        </row>
        <row r="681">
          <cell r="C681" t="str">
            <v>202606300065</v>
          </cell>
          <cell r="K681">
            <v>75000</v>
          </cell>
        </row>
        <row r="682">
          <cell r="C682" t="str">
            <v>202606300065</v>
          </cell>
          <cell r="K682">
            <v>50000</v>
          </cell>
        </row>
        <row r="683">
          <cell r="C683" t="str">
            <v>202606300065</v>
          </cell>
          <cell r="K683">
            <v>67500</v>
          </cell>
        </row>
        <row r="684">
          <cell r="C684" t="str">
            <v>202606300066</v>
          </cell>
          <cell r="K684">
            <v>40000</v>
          </cell>
        </row>
        <row r="685">
          <cell r="C685" t="str">
            <v>202606300066</v>
          </cell>
          <cell r="K685">
            <v>40000</v>
          </cell>
        </row>
        <row r="686">
          <cell r="C686" t="str">
            <v>202606300066</v>
          </cell>
          <cell r="K686">
            <v>100000</v>
          </cell>
        </row>
        <row r="687">
          <cell r="C687" t="str">
            <v>202606300066</v>
          </cell>
          <cell r="K687">
            <v>127500</v>
          </cell>
        </row>
        <row r="688">
          <cell r="C688" t="str">
            <v>202607010001</v>
          </cell>
          <cell r="K688">
            <v>50000</v>
          </cell>
        </row>
        <row r="689">
          <cell r="C689" t="str">
            <v>202607010001</v>
          </cell>
          <cell r="K689">
            <v>70000</v>
          </cell>
        </row>
        <row r="690">
          <cell r="C690" t="str">
            <v>202607010001</v>
          </cell>
          <cell r="K690">
            <v>120000</v>
          </cell>
        </row>
        <row r="691">
          <cell r="C691" t="str">
            <v>202607010001</v>
          </cell>
          <cell r="K691">
            <v>165000</v>
          </cell>
        </row>
        <row r="692">
          <cell r="C692" t="str">
            <v>202607010002</v>
          </cell>
          <cell r="K692">
            <v>18000</v>
          </cell>
        </row>
        <row r="693">
          <cell r="C693" t="str">
            <v>202607010002</v>
          </cell>
          <cell r="K693">
            <v>60000</v>
          </cell>
        </row>
        <row r="694">
          <cell r="C694" t="str">
            <v>202607010002</v>
          </cell>
          <cell r="K694">
            <v>70000</v>
          </cell>
        </row>
        <row r="695">
          <cell r="C695" t="str">
            <v>202607010002</v>
          </cell>
          <cell r="K695">
            <v>40000</v>
          </cell>
        </row>
        <row r="696">
          <cell r="C696" t="str">
            <v>202607020003</v>
          </cell>
          <cell r="K696">
            <v>90000</v>
          </cell>
        </row>
        <row r="697">
          <cell r="C697" t="str">
            <v>202607020003</v>
          </cell>
          <cell r="K697">
            <v>108000</v>
          </cell>
        </row>
        <row r="698">
          <cell r="C698" t="str">
            <v>202607020003</v>
          </cell>
          <cell r="K698">
            <v>80000</v>
          </cell>
        </row>
        <row r="699">
          <cell r="C699" t="str">
            <v>202607020003</v>
          </cell>
          <cell r="K699">
            <v>15000</v>
          </cell>
        </row>
        <row r="700">
          <cell r="C700" t="str">
            <v>202607020004</v>
          </cell>
          <cell r="K700">
            <v>140000</v>
          </cell>
        </row>
        <row r="701">
          <cell r="C701" t="str">
            <v>202607020004</v>
          </cell>
          <cell r="K701">
            <v>70000</v>
          </cell>
        </row>
        <row r="702">
          <cell r="C702" t="str">
            <v>202607020004</v>
          </cell>
          <cell r="K702">
            <v>180000</v>
          </cell>
        </row>
        <row r="703">
          <cell r="C703" t="str">
            <v>202607020004</v>
          </cell>
          <cell r="K703">
            <v>50000</v>
          </cell>
        </row>
        <row r="704">
          <cell r="C704" t="str">
            <v>202607030005</v>
          </cell>
          <cell r="K704">
            <v>50000</v>
          </cell>
        </row>
        <row r="705">
          <cell r="C705" t="str">
            <v>202607030005</v>
          </cell>
          <cell r="K705">
            <v>110000</v>
          </cell>
        </row>
        <row r="706">
          <cell r="C706" t="str">
            <v>202607030005</v>
          </cell>
          <cell r="K706">
            <v>40000</v>
          </cell>
        </row>
        <row r="707">
          <cell r="C707" t="str">
            <v>202607030005</v>
          </cell>
          <cell r="K707">
            <v>37500</v>
          </cell>
        </row>
        <row r="708">
          <cell r="C708" t="str">
            <v>202607030006</v>
          </cell>
          <cell r="K708">
            <v>150000</v>
          </cell>
        </row>
        <row r="709">
          <cell r="C709" t="str">
            <v>202607030006</v>
          </cell>
          <cell r="K709">
            <v>50000</v>
          </cell>
        </row>
        <row r="710">
          <cell r="C710" t="str">
            <v>202607030006</v>
          </cell>
          <cell r="K710">
            <v>20000</v>
          </cell>
        </row>
        <row r="711">
          <cell r="C711" t="str">
            <v>202607030006</v>
          </cell>
          <cell r="K711">
            <v>120000</v>
          </cell>
        </row>
        <row r="712">
          <cell r="C712" t="str">
            <v>202607040007</v>
          </cell>
          <cell r="K712">
            <v>50000</v>
          </cell>
        </row>
        <row r="713">
          <cell r="C713" t="str">
            <v>202607040007</v>
          </cell>
          <cell r="K713">
            <v>3000</v>
          </cell>
        </row>
        <row r="714">
          <cell r="C714" t="str">
            <v>202607040007</v>
          </cell>
          <cell r="K714">
            <v>60000</v>
          </cell>
        </row>
        <row r="715">
          <cell r="C715" t="str">
            <v>202607040007</v>
          </cell>
          <cell r="K715">
            <v>35000</v>
          </cell>
        </row>
        <row r="716">
          <cell r="C716" t="str">
            <v>202607040008</v>
          </cell>
          <cell r="K716">
            <v>72000</v>
          </cell>
        </row>
        <row r="717">
          <cell r="C717" t="str">
            <v>202607040008</v>
          </cell>
          <cell r="K717">
            <v>90000</v>
          </cell>
        </row>
        <row r="718">
          <cell r="C718" t="str">
            <v>202607040008</v>
          </cell>
          <cell r="K718">
            <v>48000</v>
          </cell>
        </row>
        <row r="719">
          <cell r="C719" t="str">
            <v>202607040008</v>
          </cell>
          <cell r="K719">
            <v>80000</v>
          </cell>
        </row>
        <row r="720">
          <cell r="C720" t="str">
            <v>202607040009</v>
          </cell>
          <cell r="K720">
            <v>150000</v>
          </cell>
        </row>
        <row r="721">
          <cell r="C721" t="str">
            <v>202607040009</v>
          </cell>
          <cell r="K721">
            <v>52500</v>
          </cell>
        </row>
        <row r="722">
          <cell r="C722" t="str">
            <v>202607040009</v>
          </cell>
          <cell r="K722">
            <v>70000</v>
          </cell>
        </row>
        <row r="723">
          <cell r="C723" t="str">
            <v>202607040009</v>
          </cell>
          <cell r="K723">
            <v>105000</v>
          </cell>
        </row>
        <row r="724">
          <cell r="C724" t="str">
            <v>202607050010</v>
          </cell>
          <cell r="K724">
            <v>35000</v>
          </cell>
        </row>
        <row r="725">
          <cell r="C725" t="str">
            <v>202607050010</v>
          </cell>
          <cell r="K725">
            <v>50000</v>
          </cell>
        </row>
        <row r="726">
          <cell r="C726" t="str">
            <v>202607050010</v>
          </cell>
          <cell r="K726">
            <v>60000</v>
          </cell>
        </row>
        <row r="727">
          <cell r="C727" t="str">
            <v>202607050010</v>
          </cell>
          <cell r="K727">
            <v>40000</v>
          </cell>
        </row>
        <row r="728">
          <cell r="C728" t="str">
            <v>202607050011</v>
          </cell>
          <cell r="K728">
            <v>70000</v>
          </cell>
        </row>
        <row r="729">
          <cell r="C729" t="str">
            <v>202607050011</v>
          </cell>
          <cell r="K729">
            <v>75000</v>
          </cell>
        </row>
        <row r="730">
          <cell r="C730" t="str">
            <v>202607050011</v>
          </cell>
          <cell r="K730">
            <v>50000</v>
          </cell>
        </row>
        <row r="731">
          <cell r="C731" t="str">
            <v>202607050011</v>
          </cell>
          <cell r="K731">
            <v>90000</v>
          </cell>
        </row>
        <row r="732">
          <cell r="C732" t="str">
            <v>202607060012</v>
          </cell>
          <cell r="K732">
            <v>50000</v>
          </cell>
        </row>
        <row r="733">
          <cell r="C733" t="str">
            <v>202607060012</v>
          </cell>
          <cell r="K733">
            <v>50000</v>
          </cell>
        </row>
        <row r="734">
          <cell r="C734" t="str">
            <v>202607060012</v>
          </cell>
          <cell r="K734">
            <v>24000</v>
          </cell>
        </row>
        <row r="735">
          <cell r="C735" t="str">
            <v>202607060012</v>
          </cell>
          <cell r="K735">
            <v>60000</v>
          </cell>
        </row>
        <row r="736">
          <cell r="C736" t="str">
            <v>202607060013</v>
          </cell>
          <cell r="K736">
            <v>25000</v>
          </cell>
        </row>
        <row r="737">
          <cell r="C737" t="str">
            <v>202607060013</v>
          </cell>
          <cell r="K737">
            <v>42000</v>
          </cell>
        </row>
        <row r="738">
          <cell r="C738" t="str">
            <v>202607060013</v>
          </cell>
          <cell r="K738">
            <v>90000</v>
          </cell>
        </row>
        <row r="739">
          <cell r="C739" t="str">
            <v>202607060013</v>
          </cell>
          <cell r="K739">
            <v>132000</v>
          </cell>
        </row>
        <row r="740">
          <cell r="C740" t="str">
            <v>202607070014</v>
          </cell>
          <cell r="K740">
            <v>75000</v>
          </cell>
        </row>
        <row r="741">
          <cell r="C741" t="str">
            <v>202607070014</v>
          </cell>
          <cell r="K741">
            <v>150000</v>
          </cell>
        </row>
        <row r="742">
          <cell r="C742" t="str">
            <v>202607070014</v>
          </cell>
          <cell r="K742">
            <v>175000</v>
          </cell>
        </row>
        <row r="743">
          <cell r="C743" t="str">
            <v>202607070014</v>
          </cell>
          <cell r="K743">
            <v>70000</v>
          </cell>
        </row>
        <row r="744">
          <cell r="C744" t="str">
            <v>202607070015</v>
          </cell>
          <cell r="K744">
            <v>127500</v>
          </cell>
        </row>
        <row r="745">
          <cell r="C745" t="str">
            <v>202607070015</v>
          </cell>
          <cell r="K745">
            <v>157500</v>
          </cell>
        </row>
        <row r="746">
          <cell r="C746" t="str">
            <v>202607070015</v>
          </cell>
          <cell r="K746">
            <v>50000</v>
          </cell>
        </row>
        <row r="747">
          <cell r="C747" t="str">
            <v>202607070015</v>
          </cell>
          <cell r="K747">
            <v>10000</v>
          </cell>
        </row>
        <row r="748">
          <cell r="C748" t="str">
            <v>202607080016</v>
          </cell>
          <cell r="K748">
            <v>100000</v>
          </cell>
        </row>
        <row r="749">
          <cell r="C749" t="str">
            <v>202607080016</v>
          </cell>
          <cell r="K749">
            <v>70000</v>
          </cell>
        </row>
        <row r="750">
          <cell r="C750" t="str">
            <v>202607080016</v>
          </cell>
          <cell r="K750">
            <v>180000</v>
          </cell>
        </row>
        <row r="751">
          <cell r="C751" t="str">
            <v>202607080016</v>
          </cell>
          <cell r="K751">
            <v>50000</v>
          </cell>
        </row>
        <row r="752">
          <cell r="C752" t="str">
            <v>202607080017</v>
          </cell>
          <cell r="K752">
            <v>60000</v>
          </cell>
        </row>
        <row r="753">
          <cell r="C753" t="str">
            <v>202607080017</v>
          </cell>
          <cell r="K753">
            <v>137500</v>
          </cell>
        </row>
        <row r="754">
          <cell r="C754" t="str">
            <v>202607080017</v>
          </cell>
          <cell r="K754">
            <v>50000</v>
          </cell>
        </row>
        <row r="755">
          <cell r="C755" t="str">
            <v>202607080017</v>
          </cell>
          <cell r="K755">
            <v>9000</v>
          </cell>
        </row>
        <row r="756">
          <cell r="C756" t="str">
            <v>202607090018</v>
          </cell>
          <cell r="K756">
            <v>50000</v>
          </cell>
        </row>
        <row r="757">
          <cell r="C757" t="str">
            <v>202607090018</v>
          </cell>
          <cell r="K757">
            <v>25000</v>
          </cell>
        </row>
        <row r="758">
          <cell r="C758" t="str">
            <v>202607090018</v>
          </cell>
          <cell r="K758">
            <v>12000</v>
          </cell>
        </row>
        <row r="759">
          <cell r="C759" t="str">
            <v>202607090018</v>
          </cell>
          <cell r="K759">
            <v>90000</v>
          </cell>
        </row>
        <row r="760">
          <cell r="C760" t="str">
            <v>202607090019</v>
          </cell>
          <cell r="K760">
            <v>40000</v>
          </cell>
        </row>
        <row r="761">
          <cell r="C761" t="str">
            <v>202607090019</v>
          </cell>
          <cell r="K761">
            <v>12500</v>
          </cell>
        </row>
        <row r="762">
          <cell r="C762" t="str">
            <v>202607090019</v>
          </cell>
          <cell r="K762">
            <v>150000</v>
          </cell>
        </row>
        <row r="763">
          <cell r="C763" t="str">
            <v>202607090019</v>
          </cell>
          <cell r="K763">
            <v>87500</v>
          </cell>
        </row>
        <row r="764">
          <cell r="C764" t="str">
            <v>202607100020</v>
          </cell>
          <cell r="K764">
            <v>150000</v>
          </cell>
        </row>
        <row r="765">
          <cell r="C765" t="str">
            <v>202607100020</v>
          </cell>
          <cell r="K765">
            <v>127500</v>
          </cell>
        </row>
        <row r="766">
          <cell r="C766" t="str">
            <v>202607100020</v>
          </cell>
          <cell r="K766">
            <v>70000</v>
          </cell>
        </row>
        <row r="767">
          <cell r="C767" t="str">
            <v>202607100020</v>
          </cell>
          <cell r="K767">
            <v>50000</v>
          </cell>
        </row>
        <row r="768">
          <cell r="C768" t="str">
            <v>202607100021</v>
          </cell>
          <cell r="K768">
            <v>96000</v>
          </cell>
        </row>
        <row r="769">
          <cell r="C769" t="str">
            <v>202607100021</v>
          </cell>
          <cell r="K769">
            <v>37500</v>
          </cell>
        </row>
        <row r="770">
          <cell r="C770" t="str">
            <v>202607100021</v>
          </cell>
          <cell r="K770">
            <v>70000</v>
          </cell>
        </row>
        <row r="771">
          <cell r="C771" t="str">
            <v>202607100021</v>
          </cell>
          <cell r="K771">
            <v>105000</v>
          </cell>
        </row>
        <row r="772">
          <cell r="C772" t="str">
            <v>202607100022</v>
          </cell>
          <cell r="K772">
            <v>35000</v>
          </cell>
        </row>
        <row r="773">
          <cell r="C773" t="str">
            <v>202607100022</v>
          </cell>
          <cell r="K773">
            <v>60000</v>
          </cell>
        </row>
        <row r="774">
          <cell r="C774" t="str">
            <v>202607100022</v>
          </cell>
          <cell r="K774">
            <v>75000</v>
          </cell>
        </row>
        <row r="775">
          <cell r="C775" t="str">
            <v>202607100022</v>
          </cell>
          <cell r="K775">
            <v>50000</v>
          </cell>
        </row>
        <row r="776">
          <cell r="C776" t="str">
            <v>202607110023</v>
          </cell>
          <cell r="K776">
            <v>30000</v>
          </cell>
        </row>
        <row r="777">
          <cell r="C777" t="str">
            <v>202607110023</v>
          </cell>
          <cell r="K777">
            <v>25000</v>
          </cell>
        </row>
        <row r="778">
          <cell r="C778" t="str">
            <v>202607110023</v>
          </cell>
          <cell r="K778">
            <v>25000</v>
          </cell>
        </row>
        <row r="779">
          <cell r="C779" t="str">
            <v>202607110023</v>
          </cell>
          <cell r="K779">
            <v>54000</v>
          </cell>
        </row>
        <row r="780">
          <cell r="C780" t="str">
            <v>202607110024</v>
          </cell>
          <cell r="K780">
            <v>32000</v>
          </cell>
        </row>
        <row r="781">
          <cell r="C781" t="str">
            <v>202607110024</v>
          </cell>
          <cell r="K781">
            <v>40000</v>
          </cell>
        </row>
        <row r="782">
          <cell r="C782" t="str">
            <v>202607110024</v>
          </cell>
          <cell r="K782">
            <v>100000</v>
          </cell>
        </row>
        <row r="783">
          <cell r="C783" t="str">
            <v>202607110024</v>
          </cell>
          <cell r="K783">
            <v>150000</v>
          </cell>
        </row>
        <row r="784">
          <cell r="C784" t="str">
            <v>202607120025</v>
          </cell>
          <cell r="K784">
            <v>60000</v>
          </cell>
        </row>
        <row r="785">
          <cell r="C785" t="str">
            <v>202607120025</v>
          </cell>
          <cell r="K785">
            <v>87500</v>
          </cell>
        </row>
        <row r="786">
          <cell r="C786" t="str">
            <v>202607120025</v>
          </cell>
          <cell r="K786">
            <v>127500</v>
          </cell>
        </row>
        <row r="787">
          <cell r="C787" t="str">
            <v>202607120025</v>
          </cell>
          <cell r="K787">
            <v>192500</v>
          </cell>
        </row>
        <row r="788">
          <cell r="C788" t="str">
            <v>202607120026</v>
          </cell>
          <cell r="K788">
            <v>45000</v>
          </cell>
        </row>
        <row r="789">
          <cell r="C789" t="str">
            <v>202607120026</v>
          </cell>
          <cell r="K789">
            <v>96000</v>
          </cell>
        </row>
        <row r="790">
          <cell r="C790" t="str">
            <v>202607120026</v>
          </cell>
          <cell r="K790">
            <v>125000</v>
          </cell>
        </row>
        <row r="791">
          <cell r="C791" t="str">
            <v>202607120026</v>
          </cell>
          <cell r="K791">
            <v>70000</v>
          </cell>
        </row>
        <row r="792">
          <cell r="C792" t="str">
            <v>202607130027</v>
          </cell>
          <cell r="K792">
            <v>127500</v>
          </cell>
        </row>
        <row r="793">
          <cell r="C793" t="str">
            <v>202607130027</v>
          </cell>
          <cell r="K793">
            <v>157500</v>
          </cell>
        </row>
        <row r="794">
          <cell r="C794" t="str">
            <v>202607130027</v>
          </cell>
          <cell r="K794">
            <v>60000</v>
          </cell>
        </row>
        <row r="795">
          <cell r="C795" t="str">
            <v>202607130027</v>
          </cell>
          <cell r="K795">
            <v>12500</v>
          </cell>
        </row>
        <row r="796">
          <cell r="C796" t="str">
            <v>202607130028</v>
          </cell>
          <cell r="K796">
            <v>120000</v>
          </cell>
        </row>
        <row r="797">
          <cell r="C797" t="str">
            <v>202607130028</v>
          </cell>
          <cell r="K797">
            <v>30000</v>
          </cell>
        </row>
        <row r="798">
          <cell r="C798" t="str">
            <v>202607130028</v>
          </cell>
          <cell r="K798">
            <v>60000</v>
          </cell>
        </row>
        <row r="799">
          <cell r="C799" t="str">
            <v>202607130028</v>
          </cell>
          <cell r="K799">
            <v>25000</v>
          </cell>
        </row>
        <row r="800">
          <cell r="C800" t="str">
            <v>202607140029</v>
          </cell>
          <cell r="K800">
            <v>40000</v>
          </cell>
        </row>
        <row r="801">
          <cell r="C801" t="str">
            <v>202607140029</v>
          </cell>
          <cell r="K801">
            <v>88000</v>
          </cell>
        </row>
        <row r="802">
          <cell r="C802" t="str">
            <v>202607140029</v>
          </cell>
          <cell r="K802">
            <v>40000</v>
          </cell>
        </row>
        <row r="803">
          <cell r="C803" t="str">
            <v>202607140029</v>
          </cell>
          <cell r="K803">
            <v>37500</v>
          </cell>
        </row>
        <row r="804">
          <cell r="C804" t="str">
            <v>202607140030</v>
          </cell>
          <cell r="K804">
            <v>150000</v>
          </cell>
        </row>
        <row r="805">
          <cell r="C805" t="str">
            <v>202607140030</v>
          </cell>
          <cell r="K805">
            <v>60000</v>
          </cell>
        </row>
        <row r="806">
          <cell r="C806" t="str">
            <v>202607140030</v>
          </cell>
          <cell r="K806">
            <v>25000</v>
          </cell>
        </row>
        <row r="807">
          <cell r="C807" t="str">
            <v>202607140030</v>
          </cell>
          <cell r="K807">
            <v>127500</v>
          </cell>
        </row>
      </sheetData>
      <sheetData sheetId="2"/>
      <sheetData sheetId="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7"/>
  <sheetViews>
    <sheetView tabSelected="1" workbookViewId="0">
      <pane xSplit="2" ySplit="7" topLeftCell="C8" activePane="bottomRight" state="frozenSplit"/>
      <selection activeCell="B2" sqref="B2"/>
      <selection pane="topRight"/>
      <selection pane="bottomLeft"/>
      <selection pane="bottomRight" activeCell="B2" sqref="B2"/>
    </sheetView>
  </sheetViews>
  <sheetFormatPr defaultColWidth="9.1796875" defaultRowHeight="14.5"/>
  <cols>
    <col min="1" max="1" width="18.7265625" style="1" customWidth="1"/>
    <col min="2" max="2" width="40.7265625" style="2" bestFit="1" customWidth="1"/>
    <col min="3" max="3" width="15.7265625" style="2" bestFit="1" customWidth="1"/>
    <col min="4" max="4" width="14.54296875" style="2" bestFit="1" customWidth="1"/>
    <col min="5" max="5" width="19.1796875" style="3" bestFit="1" customWidth="1"/>
    <col min="6" max="6" width="16.7265625" style="2" bestFit="1" customWidth="1"/>
    <col min="7" max="7" width="19.1796875" style="3" bestFit="1" customWidth="1"/>
    <col min="8" max="8" width="16.7265625" style="2" bestFit="1" customWidth="1"/>
    <col min="9" max="9" width="10.7265625" style="1" customWidth="1"/>
    <col min="10" max="10" width="48.7265625" style="1" customWidth="1"/>
    <col min="11" max="11" width="9.1796875" style="1" customWidth="1"/>
    <col min="12" max="16384" width="9.1796875" style="1"/>
  </cols>
  <sheetData>
    <row r="1" spans="1:10" s="4" customFormat="1">
      <c r="A1" s="5" t="s">
        <v>0</v>
      </c>
      <c r="B1" s="6" t="s">
        <v>1</v>
      </c>
      <c r="C1" s="7" t="s">
        <v>2</v>
      </c>
      <c r="D1" s="6" t="s">
        <v>3</v>
      </c>
      <c r="E1" s="8"/>
      <c r="F1" s="9"/>
      <c r="G1" s="8"/>
      <c r="H1" s="9"/>
    </row>
    <row r="2" spans="1:10" s="4" customFormat="1" ht="29" customHeight="1">
      <c r="A2" s="5" t="s">
        <v>4</v>
      </c>
      <c r="B2" s="35" t="s">
        <v>3121</v>
      </c>
      <c r="C2" s="9"/>
      <c r="D2" s="9"/>
      <c r="E2" s="8"/>
      <c r="F2" s="9"/>
      <c r="G2" s="8"/>
      <c r="H2" s="9"/>
    </row>
    <row r="3" spans="1:10" s="4" customFormat="1">
      <c r="A3" s="10" t="s">
        <v>6</v>
      </c>
      <c r="B3" s="11" t="s">
        <v>7</v>
      </c>
      <c r="C3" s="12" t="s">
        <v>8</v>
      </c>
      <c r="D3" s="12" t="s">
        <v>9</v>
      </c>
      <c r="E3" s="13" t="s">
        <v>10</v>
      </c>
      <c r="F3" s="12" t="s">
        <v>11</v>
      </c>
      <c r="G3" s="13" t="s">
        <v>12</v>
      </c>
      <c r="H3" s="12" t="s">
        <v>13</v>
      </c>
      <c r="I3" s="14" t="s">
        <v>14</v>
      </c>
      <c r="J3" s="14" t="s">
        <v>15</v>
      </c>
    </row>
    <row r="4" spans="1:10" s="4" customFormat="1">
      <c r="A4" s="10" t="s">
        <v>16</v>
      </c>
      <c r="B4" s="11" t="s">
        <v>17</v>
      </c>
      <c r="C4" s="12" t="s">
        <v>18</v>
      </c>
      <c r="D4" s="12" t="s">
        <v>19</v>
      </c>
      <c r="E4" s="15" t="s">
        <v>20</v>
      </c>
      <c r="F4" s="12" t="s">
        <v>21</v>
      </c>
      <c r="G4" s="15" t="s">
        <v>22</v>
      </c>
      <c r="H4" s="12" t="s">
        <v>23</v>
      </c>
      <c r="I4" s="16"/>
      <c r="J4" s="16"/>
    </row>
    <row r="5" spans="1:10" s="4" customFormat="1">
      <c r="A5" s="10" t="s">
        <v>24</v>
      </c>
      <c r="B5" s="11" t="s">
        <v>25</v>
      </c>
      <c r="C5" s="12" t="s">
        <v>26</v>
      </c>
      <c r="D5" s="12" t="s">
        <v>25</v>
      </c>
      <c r="E5" s="13" t="s">
        <v>27</v>
      </c>
      <c r="F5" s="12" t="s">
        <v>28</v>
      </c>
      <c r="G5" s="13" t="s">
        <v>27</v>
      </c>
      <c r="H5" s="12" t="s">
        <v>28</v>
      </c>
      <c r="I5" s="16"/>
      <c r="J5" s="16"/>
    </row>
    <row r="6" spans="1:10" s="4" customFormat="1">
      <c r="A6" s="5" t="s">
        <v>29</v>
      </c>
      <c r="B6" s="11" t="s">
        <v>30</v>
      </c>
      <c r="C6" s="12" t="s">
        <v>31</v>
      </c>
      <c r="D6" s="12" t="s">
        <v>32</v>
      </c>
      <c r="E6" s="13" t="s">
        <v>33</v>
      </c>
      <c r="F6" s="12" t="s">
        <v>31</v>
      </c>
      <c r="G6" s="13" t="s">
        <v>33</v>
      </c>
      <c r="H6" s="12" t="s">
        <v>31</v>
      </c>
      <c r="I6" s="16"/>
      <c r="J6" s="16"/>
    </row>
    <row r="7" spans="1:10">
      <c r="A7" s="17" t="s">
        <v>34</v>
      </c>
      <c r="B7" s="18" t="s">
        <v>35</v>
      </c>
      <c r="C7" s="19" t="s">
        <v>35</v>
      </c>
      <c r="D7" s="19" t="s">
        <v>35</v>
      </c>
      <c r="E7" s="20" t="s">
        <v>35</v>
      </c>
      <c r="F7" s="19" t="s">
        <v>35</v>
      </c>
      <c r="G7" s="20" t="s">
        <v>35</v>
      </c>
      <c r="H7" s="19" t="s">
        <v>35</v>
      </c>
      <c r="I7" s="21"/>
      <c r="J7" s="21"/>
    </row>
    <row r="8" spans="1:10">
      <c r="B8" s="2" t="s">
        <v>37</v>
      </c>
      <c r="C8" s="2" t="s">
        <v>38</v>
      </c>
      <c r="D8" s="2" t="s">
        <v>39</v>
      </c>
      <c r="E8" s="3">
        <v>44652.375</v>
      </c>
      <c r="F8" s="2" t="s">
        <v>40</v>
      </c>
      <c r="G8" s="3">
        <v>45748.4375</v>
      </c>
      <c r="H8" s="2" t="s">
        <v>41</v>
      </c>
      <c r="I8" s="34" t="s">
        <v>36</v>
      </c>
      <c r="J8" s="1" t="s">
        <v>31</v>
      </c>
    </row>
    <row r="9" spans="1:10" ht="37" customHeight="1">
      <c r="B9" s="2" t="s">
        <v>43</v>
      </c>
      <c r="C9" s="32" t="s">
        <v>44</v>
      </c>
      <c r="D9" s="2" t="s">
        <v>37</v>
      </c>
      <c r="E9" s="3">
        <v>44655.385416666701</v>
      </c>
      <c r="F9" s="2" t="s">
        <v>41</v>
      </c>
      <c r="G9" s="3">
        <v>45820.597222222197</v>
      </c>
      <c r="H9" s="2" t="s">
        <v>45</v>
      </c>
      <c r="I9" s="34" t="s">
        <v>36</v>
      </c>
      <c r="J9" s="1" t="s">
        <v>31</v>
      </c>
    </row>
    <row r="10" spans="1:10">
      <c r="B10" s="2" t="s">
        <v>46</v>
      </c>
      <c r="C10" s="2" t="s">
        <v>47</v>
      </c>
      <c r="D10" s="2" t="s">
        <v>37</v>
      </c>
      <c r="E10" s="3">
        <v>44655.395833333299</v>
      </c>
      <c r="F10" s="2" t="s">
        <v>41</v>
      </c>
      <c r="G10" s="3">
        <v>46071.489583333299</v>
      </c>
      <c r="H10" s="2" t="s">
        <v>45</v>
      </c>
      <c r="I10" s="34" t="s">
        <v>36</v>
      </c>
      <c r="J10" s="1" t="s">
        <v>31</v>
      </c>
    </row>
    <row r="11" spans="1:10" ht="29" customHeight="1">
      <c r="B11" s="2" t="s">
        <v>48</v>
      </c>
      <c r="C11" s="2" t="s">
        <v>49</v>
      </c>
      <c r="D11" s="2" t="s">
        <v>39</v>
      </c>
      <c r="E11" s="3">
        <v>44743.416666666701</v>
      </c>
      <c r="F11" s="2" t="s">
        <v>40</v>
      </c>
      <c r="G11" s="3">
        <v>45905.673611111102</v>
      </c>
      <c r="H11" s="2" t="s">
        <v>41</v>
      </c>
      <c r="I11" s="34" t="s">
        <v>36</v>
      </c>
      <c r="J11" s="1" t="s">
        <v>31</v>
      </c>
    </row>
    <row r="12" spans="1:10" ht="29" customHeight="1">
      <c r="B12" s="2" t="s">
        <v>50</v>
      </c>
      <c r="C12" s="2" t="s">
        <v>51</v>
      </c>
      <c r="D12" s="2" t="s">
        <v>48</v>
      </c>
      <c r="E12" s="3">
        <v>44747.430555555598</v>
      </c>
      <c r="F12" s="2" t="s">
        <v>45</v>
      </c>
      <c r="G12" s="3">
        <v>46044.569444444402</v>
      </c>
      <c r="H12" s="2" t="s">
        <v>52</v>
      </c>
      <c r="I12" s="34" t="s">
        <v>36</v>
      </c>
      <c r="J12" s="1" t="s">
        <v>31</v>
      </c>
    </row>
    <row r="13" spans="1:10" ht="29" customHeight="1">
      <c r="B13" s="2" t="s">
        <v>53</v>
      </c>
      <c r="C13" s="2" t="s">
        <v>54</v>
      </c>
      <c r="D13" s="2" t="s">
        <v>48</v>
      </c>
      <c r="E13" s="3">
        <v>44936.40625</v>
      </c>
      <c r="F13" s="2" t="s">
        <v>45</v>
      </c>
      <c r="G13" s="3">
        <v>46092.642361111102</v>
      </c>
      <c r="H13" s="2" t="s">
        <v>41</v>
      </c>
      <c r="I13" s="34" t="s">
        <v>36</v>
      </c>
      <c r="J13" s="1" t="s">
        <v>31</v>
      </c>
    </row>
    <row r="14" spans="1:10">
      <c r="B14" s="2" t="s">
        <v>55</v>
      </c>
      <c r="C14" s="2" t="s">
        <v>56</v>
      </c>
      <c r="D14" s="2" t="s">
        <v>39</v>
      </c>
      <c r="E14" s="3">
        <v>44515.368055555598</v>
      </c>
      <c r="F14" s="2" t="s">
        <v>40</v>
      </c>
      <c r="G14" s="3">
        <v>45992.413194444402</v>
      </c>
      <c r="H14" s="2" t="s">
        <v>41</v>
      </c>
      <c r="I14" s="34" t="s">
        <v>36</v>
      </c>
      <c r="J14" s="1" t="s">
        <v>31</v>
      </c>
    </row>
    <row r="15" spans="1:10">
      <c r="B15" s="2" t="s">
        <v>57</v>
      </c>
      <c r="C15" s="2" t="s">
        <v>58</v>
      </c>
      <c r="D15" s="2" t="s">
        <v>55</v>
      </c>
      <c r="E15" s="3">
        <v>44531.381944444402</v>
      </c>
      <c r="F15" s="2" t="s">
        <v>41</v>
      </c>
      <c r="G15" s="3">
        <v>46120.711805555598</v>
      </c>
      <c r="H15" s="2" t="s">
        <v>45</v>
      </c>
      <c r="I15" s="34" t="s">
        <v>36</v>
      </c>
      <c r="J15" s="1" t="s">
        <v>31</v>
      </c>
    </row>
    <row r="16" spans="1:10">
      <c r="B16" s="2" t="s">
        <v>59</v>
      </c>
      <c r="C16" s="2" t="s">
        <v>60</v>
      </c>
      <c r="D16" s="2" t="s">
        <v>55</v>
      </c>
      <c r="E16" s="3">
        <v>44606.5625</v>
      </c>
      <c r="F16" s="2" t="s">
        <v>45</v>
      </c>
      <c r="G16" s="3">
        <v>45950.427083333299</v>
      </c>
      <c r="H16" s="2" t="s">
        <v>41</v>
      </c>
      <c r="I16" s="34" t="s">
        <v>36</v>
      </c>
      <c r="J16" s="1" t="s">
        <v>31</v>
      </c>
    </row>
    <row r="17" spans="2:10">
      <c r="B17" s="2" t="s">
        <v>61</v>
      </c>
      <c r="C17" s="2" t="s">
        <v>62</v>
      </c>
      <c r="D17" s="2" t="s">
        <v>39</v>
      </c>
      <c r="E17" s="3">
        <v>45019.375</v>
      </c>
      <c r="F17" s="2" t="s">
        <v>52</v>
      </c>
      <c r="G17" s="3">
        <v>46192.524305555598</v>
      </c>
      <c r="H17" s="2" t="s">
        <v>52</v>
      </c>
      <c r="I17" s="34" t="s">
        <v>36</v>
      </c>
      <c r="J17" s="1" t="s">
        <v>31</v>
      </c>
    </row>
  </sheetData>
  <sheetProtection sheet="1" objects="1" formatCells="0" formatColumns="0" formatRows="0" insertColumns="0" insertRows="0" insertHyperlinks="0" deleteColumns="0" deleteRows="0" sort="0" autoFilter="0"/>
  <phoneticPr fontId="2"/>
  <conditionalFormatting sqref="B7:H7">
    <cfRule type="expression" dxfId="35" priority="1">
      <formula>AND(ISNUMBER(FIND("K",B6)),B7="*")</formula>
    </cfRule>
    <cfRule type="expression" dxfId="34" priority="2">
      <formula>AND(ISNUMBER(FIND("N",B6)),B7="*")</formula>
    </cfRule>
    <cfRule type="expression" dxfId="33" priority="3">
      <formula>B7="*"</formula>
    </cfRule>
    <cfRule type="expression" dxfId="32" priority="4">
      <formula>B7=""</formula>
    </cfRule>
  </conditionalFormatting>
  <dataValidations count="1">
    <dataValidation type="list" allowBlank="1" showInputMessage="1" showErrorMessage="1" sqref="B7:H7" xr:uid="{00000000-0002-0000-0000-000000000000}">
      <formula1>"*,"</formula1>
    </dataValidation>
  </dataValidations>
  <pageMargins left="0.75" right="0.75" top="0.75" bottom="0.5" header="0.5" footer="0.7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7"/>
  <sheetViews>
    <sheetView workbookViewId="0">
      <pane xSplit="2" ySplit="7" topLeftCell="C8" activePane="bottomRight" state="frozenSplit"/>
      <selection activeCell="B2" sqref="B2"/>
      <selection pane="topRight"/>
      <selection pane="bottomLeft"/>
      <selection pane="bottomRight" activeCell="B2" sqref="B2"/>
    </sheetView>
  </sheetViews>
  <sheetFormatPr defaultColWidth="9.1796875" defaultRowHeight="14.5"/>
  <cols>
    <col min="1" max="1" width="18.7265625" style="1" customWidth="1"/>
    <col min="2" max="2" width="40.7265625" style="2" bestFit="1" customWidth="1"/>
    <col min="3" max="3" width="7.6328125" style="2" bestFit="1" customWidth="1"/>
    <col min="4" max="4" width="35.1796875" style="2" bestFit="1" customWidth="1"/>
    <col min="5" max="5" width="12.7265625" style="2" bestFit="1" customWidth="1"/>
    <col min="6" max="6" width="39.08984375" style="2" bestFit="1" customWidth="1"/>
    <col min="7" max="7" width="29.1796875" style="1" bestFit="1" customWidth="1"/>
    <col min="8" max="8" width="19.1796875" style="3" bestFit="1" customWidth="1"/>
    <col min="9" max="9" width="16.7265625" style="2" bestFit="1" customWidth="1"/>
    <col min="10" max="10" width="19.1796875" style="3" bestFit="1" customWidth="1"/>
    <col min="11" max="11" width="16.7265625" style="2" bestFit="1" customWidth="1"/>
    <col min="12" max="12" width="10.7265625" style="1" customWidth="1"/>
    <col min="13" max="13" width="48.7265625" style="1" customWidth="1"/>
    <col min="14" max="14" width="9.1796875" style="1" customWidth="1"/>
    <col min="15" max="16384" width="9.1796875" style="1"/>
  </cols>
  <sheetData>
    <row r="1" spans="1:13" s="4" customFormat="1">
      <c r="A1" s="5" t="s">
        <v>0</v>
      </c>
      <c r="B1" s="6" t="s">
        <v>42</v>
      </c>
      <c r="C1" s="7" t="s">
        <v>2</v>
      </c>
      <c r="D1" s="6" t="s">
        <v>63</v>
      </c>
      <c r="E1" s="9"/>
      <c r="F1" s="9"/>
      <c r="H1" s="8"/>
      <c r="I1" s="9"/>
      <c r="J1" s="8"/>
      <c r="K1" s="9"/>
    </row>
    <row r="2" spans="1:13" s="4" customFormat="1" ht="29" customHeight="1">
      <c r="A2" s="5" t="s">
        <v>4</v>
      </c>
      <c r="B2" s="35" t="s">
        <v>5</v>
      </c>
      <c r="C2" s="9"/>
      <c r="D2" s="9"/>
      <c r="E2" s="9"/>
      <c r="F2" s="9"/>
      <c r="H2" s="8"/>
      <c r="I2" s="9"/>
      <c r="J2" s="8"/>
      <c r="K2" s="9"/>
    </row>
    <row r="3" spans="1:13" s="4" customFormat="1">
      <c r="A3" s="10" t="s">
        <v>6</v>
      </c>
      <c r="B3" s="11" t="s">
        <v>65</v>
      </c>
      <c r="C3" s="12" t="s">
        <v>7</v>
      </c>
      <c r="D3" s="12" t="s">
        <v>66</v>
      </c>
      <c r="E3" s="12" t="s">
        <v>67</v>
      </c>
      <c r="F3" s="12" t="s">
        <v>68</v>
      </c>
      <c r="G3" s="22" t="s">
        <v>69</v>
      </c>
      <c r="H3" s="13" t="s">
        <v>10</v>
      </c>
      <c r="I3" s="12" t="s">
        <v>11</v>
      </c>
      <c r="J3" s="13" t="s">
        <v>12</v>
      </c>
      <c r="K3" s="12" t="s">
        <v>13</v>
      </c>
      <c r="L3" s="14" t="s">
        <v>14</v>
      </c>
      <c r="M3" s="14" t="s">
        <v>15</v>
      </c>
    </row>
    <row r="4" spans="1:13" s="4" customFormat="1">
      <c r="A4" s="10" t="s">
        <v>16</v>
      </c>
      <c r="B4" s="11" t="s">
        <v>70</v>
      </c>
      <c r="C4" s="12" t="s">
        <v>17</v>
      </c>
      <c r="D4" s="12" t="s">
        <v>71</v>
      </c>
      <c r="E4" s="12" t="s">
        <v>72</v>
      </c>
      <c r="F4" s="12" t="s">
        <v>73</v>
      </c>
      <c r="G4" s="16" t="s">
        <v>74</v>
      </c>
      <c r="H4" s="15" t="s">
        <v>20</v>
      </c>
      <c r="I4" s="12" t="s">
        <v>21</v>
      </c>
      <c r="J4" s="15" t="s">
        <v>22</v>
      </c>
      <c r="K4" s="12" t="s">
        <v>23</v>
      </c>
      <c r="L4" s="16"/>
      <c r="M4" s="16"/>
    </row>
    <row r="5" spans="1:13" s="4" customFormat="1">
      <c r="A5" s="10" t="s">
        <v>24</v>
      </c>
      <c r="B5" s="11" t="s">
        <v>75</v>
      </c>
      <c r="C5" s="12" t="s">
        <v>25</v>
      </c>
      <c r="D5" s="12" t="s">
        <v>76</v>
      </c>
      <c r="E5" s="12" t="s">
        <v>76</v>
      </c>
      <c r="F5" s="12" t="s">
        <v>77</v>
      </c>
      <c r="G5" s="22" t="s">
        <v>78</v>
      </c>
      <c r="H5" s="13" t="s">
        <v>27</v>
      </c>
      <c r="I5" s="12" t="s">
        <v>28</v>
      </c>
      <c r="J5" s="13" t="s">
        <v>27</v>
      </c>
      <c r="K5" s="12" t="s">
        <v>28</v>
      </c>
      <c r="L5" s="16"/>
      <c r="M5" s="16"/>
    </row>
    <row r="6" spans="1:13" s="4" customFormat="1">
      <c r="A6" s="5" t="s">
        <v>29</v>
      </c>
      <c r="B6" s="11" t="s">
        <v>30</v>
      </c>
      <c r="C6" s="12" t="s">
        <v>31</v>
      </c>
      <c r="D6" s="12" t="s">
        <v>31</v>
      </c>
      <c r="E6" s="12" t="s">
        <v>31</v>
      </c>
      <c r="F6" s="12" t="s">
        <v>32</v>
      </c>
      <c r="G6" s="22" t="s">
        <v>33</v>
      </c>
      <c r="H6" s="13" t="s">
        <v>33</v>
      </c>
      <c r="I6" s="12" t="s">
        <v>31</v>
      </c>
      <c r="J6" s="13" t="s">
        <v>33</v>
      </c>
      <c r="K6" s="12" t="s">
        <v>31</v>
      </c>
      <c r="L6" s="16"/>
      <c r="M6" s="16"/>
    </row>
    <row r="7" spans="1:13">
      <c r="A7" s="17" t="s">
        <v>34</v>
      </c>
      <c r="B7" s="18" t="s">
        <v>35</v>
      </c>
      <c r="C7" s="19" t="s">
        <v>35</v>
      </c>
      <c r="D7" s="19" t="s">
        <v>35</v>
      </c>
      <c r="E7" s="19" t="s">
        <v>35</v>
      </c>
      <c r="F7" s="19" t="s">
        <v>35</v>
      </c>
      <c r="G7" s="23" t="s">
        <v>35</v>
      </c>
      <c r="H7" s="20" t="s">
        <v>35</v>
      </c>
      <c r="I7" s="19" t="s">
        <v>35</v>
      </c>
      <c r="J7" s="20" t="s">
        <v>35</v>
      </c>
      <c r="K7" s="19" t="s">
        <v>35</v>
      </c>
      <c r="L7" s="21"/>
      <c r="M7" s="21"/>
    </row>
    <row r="8" spans="1:13">
      <c r="B8" s="2" t="s">
        <v>79</v>
      </c>
      <c r="C8" s="2" t="s">
        <v>80</v>
      </c>
      <c r="D8" s="2" t="s">
        <v>81</v>
      </c>
      <c r="E8" s="2" t="s">
        <v>82</v>
      </c>
      <c r="F8" s="2" t="s">
        <v>83</v>
      </c>
      <c r="G8" s="31">
        <v>1</v>
      </c>
      <c r="H8" s="3">
        <v>43192.375</v>
      </c>
      <c r="I8" s="2" t="s">
        <v>84</v>
      </c>
      <c r="J8" s="3">
        <v>45422.555555555598</v>
      </c>
      <c r="K8" s="2" t="s">
        <v>85</v>
      </c>
      <c r="L8" s="34" t="s">
        <v>36</v>
      </c>
      <c r="M8" s="1" t="s">
        <v>31</v>
      </c>
    </row>
    <row r="9" spans="1:13">
      <c r="B9" s="2" t="s">
        <v>86</v>
      </c>
      <c r="C9" s="2" t="s">
        <v>87</v>
      </c>
      <c r="D9" s="2" t="s">
        <v>88</v>
      </c>
      <c r="E9" s="2" t="s">
        <v>89</v>
      </c>
      <c r="F9" s="2" t="s">
        <v>90</v>
      </c>
      <c r="G9" s="31">
        <v>1</v>
      </c>
      <c r="H9" s="3">
        <v>43556.385416666701</v>
      </c>
      <c r="I9" s="2" t="s">
        <v>85</v>
      </c>
      <c r="J9" s="3">
        <v>45918.444444444402</v>
      </c>
      <c r="K9" s="2" t="s">
        <v>91</v>
      </c>
      <c r="L9" s="34" t="s">
        <v>36</v>
      </c>
      <c r="M9" s="1" t="s">
        <v>31</v>
      </c>
    </row>
    <row r="10" spans="1:13">
      <c r="B10" s="2" t="s">
        <v>92</v>
      </c>
      <c r="C10" s="2" t="s">
        <v>93</v>
      </c>
      <c r="D10" s="2" t="s">
        <v>94</v>
      </c>
      <c r="E10" s="2" t="s">
        <v>95</v>
      </c>
      <c r="F10" s="2" t="s">
        <v>96</v>
      </c>
      <c r="G10" s="31">
        <v>1</v>
      </c>
      <c r="H10" s="3">
        <v>43922.395833333299</v>
      </c>
      <c r="I10" s="2" t="s">
        <v>91</v>
      </c>
      <c r="J10" s="3">
        <v>46044.631944444402</v>
      </c>
      <c r="K10" s="2" t="s">
        <v>85</v>
      </c>
      <c r="L10" s="34" t="s">
        <v>36</v>
      </c>
      <c r="M10" s="1" t="s">
        <v>31</v>
      </c>
    </row>
    <row r="11" spans="1:13">
      <c r="B11" s="2" t="s">
        <v>97</v>
      </c>
      <c r="C11" s="2" t="s">
        <v>98</v>
      </c>
      <c r="D11" s="2" t="s">
        <v>99</v>
      </c>
      <c r="E11" s="2" t="s">
        <v>100</v>
      </c>
      <c r="F11" s="2" t="s">
        <v>101</v>
      </c>
      <c r="G11" s="31">
        <v>1</v>
      </c>
      <c r="H11" s="3">
        <v>44287.416666666701</v>
      </c>
      <c r="I11" s="2" t="s">
        <v>84</v>
      </c>
      <c r="J11" s="3">
        <v>45995.482638888898</v>
      </c>
      <c r="K11" s="2" t="s">
        <v>91</v>
      </c>
      <c r="L11" s="34" t="s">
        <v>36</v>
      </c>
      <c r="M11" s="1" t="s">
        <v>31</v>
      </c>
    </row>
    <row r="12" spans="1:13">
      <c r="B12" s="2" t="s">
        <v>102</v>
      </c>
      <c r="C12" s="2" t="s">
        <v>103</v>
      </c>
      <c r="D12" s="2" t="s">
        <v>104</v>
      </c>
      <c r="E12" s="2" t="s">
        <v>105</v>
      </c>
      <c r="F12" s="2" t="s">
        <v>106</v>
      </c>
      <c r="G12" s="31">
        <v>1</v>
      </c>
      <c r="H12" s="3">
        <v>44652.378472222197</v>
      </c>
      <c r="I12" s="2" t="s">
        <v>85</v>
      </c>
      <c r="J12" s="3">
        <v>46069.684027777803</v>
      </c>
      <c r="K12" s="2" t="s">
        <v>85</v>
      </c>
      <c r="L12" s="34" t="s">
        <v>36</v>
      </c>
      <c r="M12" s="1" t="s">
        <v>31</v>
      </c>
    </row>
    <row r="13" spans="1:13">
      <c r="B13" s="2" t="s">
        <v>107</v>
      </c>
      <c r="C13" s="2" t="s">
        <v>108</v>
      </c>
      <c r="D13" s="2" t="s">
        <v>109</v>
      </c>
      <c r="E13" s="2" t="s">
        <v>110</v>
      </c>
      <c r="F13" s="2" t="s">
        <v>111</v>
      </c>
      <c r="G13" s="31">
        <v>1</v>
      </c>
      <c r="H13" s="3">
        <v>45019.388888888898</v>
      </c>
      <c r="I13" s="2" t="s">
        <v>91</v>
      </c>
      <c r="J13" s="3">
        <v>46185.586805555598</v>
      </c>
      <c r="K13" s="2" t="s">
        <v>112</v>
      </c>
      <c r="L13" s="34" t="s">
        <v>36</v>
      </c>
      <c r="M13" s="1" t="s">
        <v>31</v>
      </c>
    </row>
    <row r="14" spans="1:13">
      <c r="B14" s="2" t="s">
        <v>113</v>
      </c>
      <c r="C14" s="2" t="s">
        <v>114</v>
      </c>
      <c r="D14" s="2" t="s">
        <v>115</v>
      </c>
      <c r="E14" s="2" t="s">
        <v>116</v>
      </c>
      <c r="F14" s="2" t="s">
        <v>117</v>
      </c>
      <c r="G14" s="31">
        <v>1</v>
      </c>
      <c r="H14" s="3">
        <v>45383.375</v>
      </c>
      <c r="I14" s="2" t="s">
        <v>112</v>
      </c>
      <c r="J14" s="3">
        <v>46162.71875</v>
      </c>
      <c r="K14" s="2" t="s">
        <v>112</v>
      </c>
      <c r="L14" s="34" t="s">
        <v>36</v>
      </c>
      <c r="M14" s="1" t="s">
        <v>31</v>
      </c>
    </row>
    <row r="15" spans="1:13">
      <c r="B15" s="2" t="s">
        <v>118</v>
      </c>
      <c r="C15" s="2" t="s">
        <v>80</v>
      </c>
      <c r="D15" s="2" t="s">
        <v>119</v>
      </c>
      <c r="E15" s="2" t="s">
        <v>120</v>
      </c>
      <c r="F15" s="2" t="s">
        <v>121</v>
      </c>
      <c r="G15" s="31">
        <v>1</v>
      </c>
      <c r="H15" s="3">
        <v>42926.4375</v>
      </c>
      <c r="I15" s="2" t="s">
        <v>84</v>
      </c>
      <c r="J15" s="3">
        <v>45723.409722222197</v>
      </c>
      <c r="K15" s="2" t="s">
        <v>91</v>
      </c>
      <c r="L15" s="34" t="s">
        <v>36</v>
      </c>
      <c r="M15" s="1" t="s">
        <v>31</v>
      </c>
    </row>
    <row r="16" spans="1:13">
      <c r="B16" s="2" t="s">
        <v>122</v>
      </c>
      <c r="C16" s="2" t="s">
        <v>87</v>
      </c>
      <c r="D16" s="2" t="s">
        <v>123</v>
      </c>
      <c r="E16" s="2" t="s">
        <v>124</v>
      </c>
      <c r="F16" s="2" t="s">
        <v>125</v>
      </c>
      <c r="G16" s="31">
        <v>1</v>
      </c>
      <c r="H16" s="3">
        <v>43739.40625</v>
      </c>
      <c r="I16" s="2" t="s">
        <v>85</v>
      </c>
      <c r="J16" s="3">
        <v>46130.520833333299</v>
      </c>
      <c r="K16" s="2" t="s">
        <v>91</v>
      </c>
      <c r="L16" s="34" t="s">
        <v>36</v>
      </c>
      <c r="M16" s="1" t="s">
        <v>31</v>
      </c>
    </row>
    <row r="17" spans="2:13">
      <c r="B17" s="2" t="s">
        <v>126</v>
      </c>
      <c r="C17" s="2" t="s">
        <v>87</v>
      </c>
      <c r="D17" s="2" t="s">
        <v>127</v>
      </c>
      <c r="E17" s="2" t="s">
        <v>128</v>
      </c>
      <c r="F17" s="2" t="s">
        <v>129</v>
      </c>
      <c r="G17" s="31">
        <v>1</v>
      </c>
      <c r="H17" s="3">
        <v>44060.458333333299</v>
      </c>
      <c r="I17" s="2" t="s">
        <v>91</v>
      </c>
      <c r="J17" s="3">
        <v>45898.673611111102</v>
      </c>
      <c r="K17" s="2" t="s">
        <v>85</v>
      </c>
      <c r="L17" s="34" t="s">
        <v>36</v>
      </c>
      <c r="M17" s="1" t="s">
        <v>31</v>
      </c>
    </row>
    <row r="18" spans="2:13">
      <c r="B18" s="2" t="s">
        <v>130</v>
      </c>
      <c r="C18" s="2" t="s">
        <v>93</v>
      </c>
      <c r="D18" s="2" t="s">
        <v>131</v>
      </c>
      <c r="E18" s="2" t="s">
        <v>132</v>
      </c>
      <c r="F18" s="2" t="s">
        <v>133</v>
      </c>
      <c r="G18" s="31">
        <v>1</v>
      </c>
      <c r="H18" s="3">
        <v>44440.381944444402</v>
      </c>
      <c r="I18" s="2" t="s">
        <v>84</v>
      </c>
      <c r="J18" s="3">
        <v>46084.454861111102</v>
      </c>
      <c r="K18" s="2" t="s">
        <v>112</v>
      </c>
      <c r="L18" s="34" t="s">
        <v>36</v>
      </c>
      <c r="M18" s="1" t="s">
        <v>31</v>
      </c>
    </row>
    <row r="19" spans="2:13">
      <c r="B19" s="2" t="s">
        <v>134</v>
      </c>
      <c r="C19" s="2" t="s">
        <v>98</v>
      </c>
      <c r="D19" s="2" t="s">
        <v>135</v>
      </c>
      <c r="E19" s="2" t="s">
        <v>136</v>
      </c>
      <c r="F19" s="2" t="s">
        <v>137</v>
      </c>
      <c r="G19" s="31">
        <v>1</v>
      </c>
      <c r="H19" s="3">
        <v>44713.392361111102</v>
      </c>
      <c r="I19" s="2" t="s">
        <v>91</v>
      </c>
      <c r="J19" s="3">
        <v>46031.572916666701</v>
      </c>
      <c r="K19" s="2" t="s">
        <v>91</v>
      </c>
      <c r="L19" s="34" t="s">
        <v>36</v>
      </c>
      <c r="M19" s="1" t="s">
        <v>31</v>
      </c>
    </row>
    <row r="20" spans="2:13">
      <c r="B20" s="2" t="s">
        <v>138</v>
      </c>
      <c r="C20" s="2" t="s">
        <v>98</v>
      </c>
      <c r="D20" s="2" t="s">
        <v>139</v>
      </c>
      <c r="E20" s="2" t="s">
        <v>140</v>
      </c>
      <c r="F20" s="2" t="s">
        <v>141</v>
      </c>
      <c r="G20" s="31">
        <v>1</v>
      </c>
      <c r="H20" s="3">
        <v>45110.427083333299</v>
      </c>
      <c r="I20" s="2" t="s">
        <v>85</v>
      </c>
      <c r="J20" s="3">
        <v>46174.645833333299</v>
      </c>
      <c r="K20" s="2" t="s">
        <v>85</v>
      </c>
      <c r="L20" s="34" t="s">
        <v>36</v>
      </c>
      <c r="M20" s="1" t="s">
        <v>31</v>
      </c>
    </row>
    <row r="21" spans="2:13">
      <c r="B21" s="2" t="s">
        <v>142</v>
      </c>
      <c r="C21" s="2" t="s">
        <v>80</v>
      </c>
      <c r="D21" s="2" t="s">
        <v>143</v>
      </c>
      <c r="E21" s="2" t="s">
        <v>144</v>
      </c>
      <c r="F21" s="2" t="s">
        <v>145</v>
      </c>
      <c r="G21" s="31">
        <v>1</v>
      </c>
      <c r="H21" s="3">
        <v>45306.409722222197</v>
      </c>
      <c r="I21" s="2" t="s">
        <v>84</v>
      </c>
      <c r="J21" s="3">
        <v>46080.472222222197</v>
      </c>
      <c r="K21" s="2" t="s">
        <v>91</v>
      </c>
      <c r="L21" s="34" t="s">
        <v>36</v>
      </c>
      <c r="M21" s="1" t="s">
        <v>31</v>
      </c>
    </row>
    <row r="22" spans="2:13">
      <c r="B22" s="2" t="s">
        <v>146</v>
      </c>
      <c r="C22" s="2" t="s">
        <v>103</v>
      </c>
      <c r="D22" s="2" t="s">
        <v>147</v>
      </c>
      <c r="E22" s="2" t="s">
        <v>148</v>
      </c>
      <c r="F22" s="2" t="s">
        <v>149</v>
      </c>
      <c r="G22" s="31">
        <v>0</v>
      </c>
      <c r="H22" s="3">
        <v>43405.371527777803</v>
      </c>
      <c r="I22" s="2" t="s">
        <v>85</v>
      </c>
      <c r="J22" s="3">
        <v>45646.736111111102</v>
      </c>
      <c r="K22" s="2" t="s">
        <v>85</v>
      </c>
      <c r="L22" s="34" t="s">
        <v>36</v>
      </c>
      <c r="M22" s="1" t="s">
        <v>31</v>
      </c>
    </row>
    <row r="23" spans="2:13">
      <c r="B23" s="2" t="s">
        <v>150</v>
      </c>
      <c r="C23" s="2" t="s">
        <v>108</v>
      </c>
      <c r="D23" s="2" t="s">
        <v>151</v>
      </c>
      <c r="E23" s="2" t="s">
        <v>152</v>
      </c>
      <c r="F23" s="2" t="s">
        <v>153</v>
      </c>
      <c r="G23" s="31">
        <v>1</v>
      </c>
      <c r="H23" s="3">
        <v>43619.399305555598</v>
      </c>
      <c r="I23" s="2" t="s">
        <v>91</v>
      </c>
      <c r="J23" s="3">
        <v>46150.618055555598</v>
      </c>
      <c r="K23" s="2" t="s">
        <v>112</v>
      </c>
      <c r="L23" s="34" t="s">
        <v>36</v>
      </c>
      <c r="M23" s="1" t="s">
        <v>31</v>
      </c>
    </row>
    <row r="24" spans="2:13">
      <c r="B24" s="2" t="s">
        <v>154</v>
      </c>
      <c r="C24" s="2" t="s">
        <v>114</v>
      </c>
      <c r="D24" s="2" t="s">
        <v>155</v>
      </c>
      <c r="E24" s="2" t="s">
        <v>156</v>
      </c>
      <c r="F24" s="2" t="s">
        <v>157</v>
      </c>
      <c r="G24" s="31">
        <v>1</v>
      </c>
      <c r="H24" s="3">
        <v>44166.420138888898</v>
      </c>
      <c r="I24" s="2" t="s">
        <v>112</v>
      </c>
      <c r="J24" s="3">
        <v>45975.666666666701</v>
      </c>
      <c r="K24" s="2" t="s">
        <v>112</v>
      </c>
      <c r="L24" s="34" t="s">
        <v>36</v>
      </c>
      <c r="M24" s="1" t="s">
        <v>31</v>
      </c>
    </row>
    <row r="25" spans="2:13">
      <c r="B25" s="2" t="s">
        <v>158</v>
      </c>
      <c r="C25" s="2" t="s">
        <v>93</v>
      </c>
      <c r="D25" s="2" t="s">
        <v>159</v>
      </c>
      <c r="E25" s="2" t="s">
        <v>160</v>
      </c>
      <c r="F25" s="2" t="s">
        <v>161</v>
      </c>
      <c r="G25" s="31">
        <v>1</v>
      </c>
      <c r="H25" s="3">
        <v>44326.402777777803</v>
      </c>
      <c r="I25" s="2" t="s">
        <v>84</v>
      </c>
      <c r="J25" s="3">
        <v>46115.510416666701</v>
      </c>
      <c r="K25" s="2" t="s">
        <v>91</v>
      </c>
      <c r="L25" s="34" t="s">
        <v>36</v>
      </c>
      <c r="M25" s="1" t="s">
        <v>31</v>
      </c>
    </row>
    <row r="26" spans="2:13">
      <c r="B26" s="2" t="s">
        <v>162</v>
      </c>
      <c r="C26" s="2" t="s">
        <v>87</v>
      </c>
      <c r="D26" s="2" t="s">
        <v>163</v>
      </c>
      <c r="E26" s="2" t="s">
        <v>164</v>
      </c>
      <c r="F26" s="2" t="s">
        <v>165</v>
      </c>
      <c r="G26" s="31">
        <v>0</v>
      </c>
      <c r="H26" s="3">
        <v>44837.430555555598</v>
      </c>
      <c r="I26" s="2" t="s">
        <v>85</v>
      </c>
      <c r="J26" s="3">
        <v>45709.628472222197</v>
      </c>
      <c r="K26" s="2" t="s">
        <v>85</v>
      </c>
      <c r="L26" s="34" t="s">
        <v>36</v>
      </c>
      <c r="M26" s="1" t="s">
        <v>31</v>
      </c>
    </row>
    <row r="27" spans="2:13">
      <c r="B27" s="2" t="s">
        <v>166</v>
      </c>
      <c r="C27" s="2" t="s">
        <v>103</v>
      </c>
      <c r="D27" s="2" t="s">
        <v>167</v>
      </c>
      <c r="E27" s="2" t="s">
        <v>168</v>
      </c>
      <c r="F27" s="2" t="s">
        <v>169</v>
      </c>
      <c r="G27" s="31">
        <v>1</v>
      </c>
      <c r="H27" s="3">
        <v>45231.375</v>
      </c>
      <c r="I27" s="2" t="s">
        <v>91</v>
      </c>
      <c r="J27" s="3">
        <v>46198.4375</v>
      </c>
      <c r="K27" s="2" t="s">
        <v>91</v>
      </c>
      <c r="L27" s="34" t="s">
        <v>36</v>
      </c>
      <c r="M27" s="1" t="s">
        <v>31</v>
      </c>
    </row>
  </sheetData>
  <sheetProtection sheet="1" objects="1" formatCells="0" formatColumns="0" formatRows="0" insertColumns="0" insertRows="0" insertHyperlinks="0" deleteColumns="0" deleteRows="0" sort="0" autoFilter="0"/>
  <phoneticPr fontId="2"/>
  <conditionalFormatting sqref="B7:K7">
    <cfRule type="expression" dxfId="31" priority="1">
      <formula>AND(ISNUMBER(FIND("K",B6)),B7="*")</formula>
    </cfRule>
    <cfRule type="expression" dxfId="30" priority="2">
      <formula>AND(ISNUMBER(FIND("N",B6)),B7="*")</formula>
    </cfRule>
    <cfRule type="expression" dxfId="29" priority="3">
      <formula>B7="*"</formula>
    </cfRule>
    <cfRule type="expression" dxfId="28" priority="4">
      <formula>B7=""</formula>
    </cfRule>
  </conditionalFormatting>
  <dataValidations disablePrompts="1" count="1">
    <dataValidation type="list" allowBlank="1" showInputMessage="1" showErrorMessage="1" sqref="B7:K7" xr:uid="{00000000-0002-0000-0100-000000000000}">
      <formula1>"*,"</formula1>
    </dataValidation>
  </dataValidations>
  <pageMargins left="0.75" right="0.75" top="0.75" bottom="0.5" header="0.5" footer="0.7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37"/>
  <sheetViews>
    <sheetView zoomScale="85" zoomScaleNormal="85" workbookViewId="0">
      <pane xSplit="2" ySplit="7" topLeftCell="C8" activePane="bottomRight" state="frozenSplit"/>
      <selection activeCell="B2" sqref="B2"/>
      <selection pane="topRight"/>
      <selection pane="bottomLeft"/>
      <selection pane="bottomRight" activeCell="B2" sqref="B2"/>
    </sheetView>
  </sheetViews>
  <sheetFormatPr defaultColWidth="9.1796875" defaultRowHeight="14.5"/>
  <cols>
    <col min="1" max="1" width="18.7265625" style="1" customWidth="1"/>
    <col min="2" max="2" width="11.453125" style="2" bestFit="1" customWidth="1"/>
    <col min="3" max="3" width="33.81640625" style="2" bestFit="1" customWidth="1"/>
    <col min="4" max="4" width="49.26953125" style="2" bestFit="1" customWidth="1"/>
    <col min="5" max="5" width="14.6328125" style="2" bestFit="1" customWidth="1"/>
    <col min="6" max="6" width="13.6328125" style="2" bestFit="1" customWidth="1"/>
    <col min="7" max="7" width="46.90625" style="2" bestFit="1" customWidth="1"/>
    <col min="8" max="8" width="53.6328125" style="2" bestFit="1" customWidth="1"/>
    <col min="9" max="9" width="62.54296875" style="2" bestFit="1" customWidth="1"/>
    <col min="10" max="10" width="34.81640625" style="2" bestFit="1" customWidth="1"/>
    <col min="11" max="11" width="39.36328125" style="2" bestFit="1" customWidth="1"/>
    <col min="12" max="12" width="43" style="2" bestFit="1" customWidth="1"/>
    <col min="13" max="13" width="31.453125" style="2" bestFit="1" customWidth="1"/>
    <col min="14" max="14" width="11.7265625" style="1" bestFit="1" customWidth="1"/>
    <col min="15" max="15" width="20.1796875" style="3" bestFit="1" customWidth="1"/>
    <col min="16" max="16" width="16.90625" style="2" bestFit="1" customWidth="1"/>
    <col min="17" max="17" width="20.1796875" style="3" bestFit="1" customWidth="1"/>
    <col min="18" max="18" width="16.90625" style="2" bestFit="1" customWidth="1"/>
    <col min="19" max="19" width="10.7265625" style="1" customWidth="1"/>
    <col min="20" max="20" width="48.7265625" style="1" customWidth="1"/>
    <col min="21" max="21" width="9.1796875" style="1" customWidth="1"/>
    <col min="22" max="16384" width="9.1796875" style="1"/>
  </cols>
  <sheetData>
    <row r="1" spans="1:20" s="4" customFormat="1">
      <c r="A1" s="5" t="s">
        <v>0</v>
      </c>
      <c r="B1" s="6" t="s">
        <v>170</v>
      </c>
      <c r="C1" s="7" t="s">
        <v>2</v>
      </c>
      <c r="D1" s="6" t="s">
        <v>171</v>
      </c>
      <c r="E1" s="9"/>
      <c r="F1" s="9"/>
      <c r="G1" s="9"/>
      <c r="H1" s="9"/>
      <c r="I1" s="9"/>
      <c r="J1" s="9"/>
      <c r="K1" s="9"/>
      <c r="L1" s="9"/>
      <c r="M1" s="9"/>
      <c r="O1" s="8"/>
      <c r="P1" s="9"/>
      <c r="Q1" s="8"/>
      <c r="R1" s="9"/>
    </row>
    <row r="2" spans="1:20" s="4" customFormat="1">
      <c r="A2" s="5" t="s">
        <v>4</v>
      </c>
      <c r="B2" s="33" t="s">
        <v>172</v>
      </c>
      <c r="C2" s="9"/>
      <c r="D2" s="9"/>
      <c r="E2" s="9"/>
      <c r="F2" s="9"/>
      <c r="G2" s="9"/>
      <c r="H2" s="9"/>
      <c r="I2" s="9"/>
      <c r="J2" s="9"/>
      <c r="K2" s="9"/>
      <c r="L2" s="9"/>
      <c r="M2" s="9"/>
      <c r="O2" s="8"/>
      <c r="P2" s="9"/>
      <c r="Q2" s="8"/>
      <c r="R2" s="9"/>
    </row>
    <row r="3" spans="1:20" s="4" customFormat="1">
      <c r="A3" s="10" t="s">
        <v>6</v>
      </c>
      <c r="B3" s="11" t="s">
        <v>173</v>
      </c>
      <c r="C3" s="12" t="s">
        <v>174</v>
      </c>
      <c r="D3" s="12" t="s">
        <v>175</v>
      </c>
      <c r="E3" s="12" t="s">
        <v>176</v>
      </c>
      <c r="F3" s="12" t="s">
        <v>177</v>
      </c>
      <c r="G3" s="12" t="s">
        <v>68</v>
      </c>
      <c r="H3" s="12" t="s">
        <v>178</v>
      </c>
      <c r="I3" s="12" t="s">
        <v>179</v>
      </c>
      <c r="J3" s="12" t="s">
        <v>180</v>
      </c>
      <c r="K3" s="12" t="s">
        <v>181</v>
      </c>
      <c r="L3" s="12" t="s">
        <v>182</v>
      </c>
      <c r="M3" s="12" t="s">
        <v>183</v>
      </c>
      <c r="N3" s="22" t="s">
        <v>69</v>
      </c>
      <c r="O3" s="13" t="s">
        <v>10</v>
      </c>
      <c r="P3" s="12" t="s">
        <v>11</v>
      </c>
      <c r="Q3" s="13" t="s">
        <v>12</v>
      </c>
      <c r="R3" s="12" t="s">
        <v>13</v>
      </c>
      <c r="S3" s="14" t="s">
        <v>14</v>
      </c>
      <c r="T3" s="14" t="s">
        <v>15</v>
      </c>
    </row>
    <row r="4" spans="1:20" s="4" customFormat="1">
      <c r="A4" s="10" t="s">
        <v>16</v>
      </c>
      <c r="B4" s="11" t="s">
        <v>184</v>
      </c>
      <c r="C4" s="12" t="s">
        <v>185</v>
      </c>
      <c r="D4" s="12" t="s">
        <v>186</v>
      </c>
      <c r="E4" s="12" t="s">
        <v>187</v>
      </c>
      <c r="F4" s="12" t="s">
        <v>188</v>
      </c>
      <c r="G4" s="12" t="s">
        <v>189</v>
      </c>
      <c r="H4" s="12" t="s">
        <v>190</v>
      </c>
      <c r="I4" s="12" t="s">
        <v>191</v>
      </c>
      <c r="J4" s="12" t="s">
        <v>192</v>
      </c>
      <c r="K4" s="12" t="s">
        <v>193</v>
      </c>
      <c r="L4" s="12" t="s">
        <v>194</v>
      </c>
      <c r="M4" s="12" t="s">
        <v>195</v>
      </c>
      <c r="N4" s="16" t="s">
        <v>196</v>
      </c>
      <c r="O4" s="15" t="s">
        <v>20</v>
      </c>
      <c r="P4" s="12" t="s">
        <v>21</v>
      </c>
      <c r="Q4" s="15" t="s">
        <v>22</v>
      </c>
      <c r="R4" s="12" t="s">
        <v>23</v>
      </c>
      <c r="S4" s="16"/>
      <c r="T4" s="16"/>
    </row>
    <row r="5" spans="1:20" s="4" customFormat="1">
      <c r="A5" s="10" t="s">
        <v>24</v>
      </c>
      <c r="B5" s="11" t="s">
        <v>75</v>
      </c>
      <c r="C5" s="12" t="s">
        <v>197</v>
      </c>
      <c r="D5" s="12" t="s">
        <v>197</v>
      </c>
      <c r="E5" s="12" t="s">
        <v>26</v>
      </c>
      <c r="F5" s="12" t="s">
        <v>28</v>
      </c>
      <c r="G5" s="12" t="s">
        <v>77</v>
      </c>
      <c r="H5" s="12" t="s">
        <v>197</v>
      </c>
      <c r="I5" s="12" t="s">
        <v>197</v>
      </c>
      <c r="J5" s="12" t="s">
        <v>26</v>
      </c>
      <c r="K5" s="12" t="s">
        <v>26</v>
      </c>
      <c r="L5" s="12" t="s">
        <v>28</v>
      </c>
      <c r="M5" s="12" t="s">
        <v>198</v>
      </c>
      <c r="N5" s="22" t="s">
        <v>78</v>
      </c>
      <c r="O5" s="13" t="s">
        <v>27</v>
      </c>
      <c r="P5" s="12" t="s">
        <v>28</v>
      </c>
      <c r="Q5" s="13" t="s">
        <v>27</v>
      </c>
      <c r="R5" s="12" t="s">
        <v>28</v>
      </c>
      <c r="S5" s="16"/>
      <c r="T5" s="16"/>
    </row>
    <row r="6" spans="1:20" s="4" customFormat="1">
      <c r="A6" s="5" t="s">
        <v>29</v>
      </c>
      <c r="B6" s="11" t="s">
        <v>30</v>
      </c>
      <c r="C6" s="12" t="s">
        <v>31</v>
      </c>
      <c r="D6" s="12" t="s">
        <v>32</v>
      </c>
      <c r="E6" s="12" t="s">
        <v>32</v>
      </c>
      <c r="F6" s="12" t="s">
        <v>32</v>
      </c>
      <c r="G6" s="12" t="s">
        <v>32</v>
      </c>
      <c r="H6" s="12" t="s">
        <v>32</v>
      </c>
      <c r="I6" s="12" t="s">
        <v>32</v>
      </c>
      <c r="J6" s="12" t="s">
        <v>32</v>
      </c>
      <c r="K6" s="12" t="s">
        <v>32</v>
      </c>
      <c r="L6" s="12" t="s">
        <v>32</v>
      </c>
      <c r="M6" s="12" t="s">
        <v>33</v>
      </c>
      <c r="N6" s="22" t="s">
        <v>33</v>
      </c>
      <c r="O6" s="13" t="s">
        <v>33</v>
      </c>
      <c r="P6" s="12" t="s">
        <v>31</v>
      </c>
      <c r="Q6" s="13" t="s">
        <v>33</v>
      </c>
      <c r="R6" s="12" t="s">
        <v>31</v>
      </c>
      <c r="S6" s="16"/>
      <c r="T6" s="16"/>
    </row>
    <row r="7" spans="1:20">
      <c r="A7" s="17" t="s">
        <v>34</v>
      </c>
      <c r="B7" s="18" t="s">
        <v>35</v>
      </c>
      <c r="C7" s="19" t="s">
        <v>35</v>
      </c>
      <c r="D7" s="19" t="s">
        <v>35</v>
      </c>
      <c r="E7" s="19" t="s">
        <v>35</v>
      </c>
      <c r="F7" s="19" t="s">
        <v>35</v>
      </c>
      <c r="G7" s="19" t="s">
        <v>35</v>
      </c>
      <c r="H7" s="19" t="s">
        <v>35</v>
      </c>
      <c r="I7" s="19" t="s">
        <v>35</v>
      </c>
      <c r="J7" s="19" t="s">
        <v>35</v>
      </c>
      <c r="K7" s="19" t="s">
        <v>35</v>
      </c>
      <c r="L7" s="19" t="s">
        <v>35</v>
      </c>
      <c r="M7" s="19" t="s">
        <v>35</v>
      </c>
      <c r="N7" s="23" t="s">
        <v>35</v>
      </c>
      <c r="O7" s="20" t="s">
        <v>35</v>
      </c>
      <c r="P7" s="19" t="s">
        <v>35</v>
      </c>
      <c r="Q7" s="20" t="s">
        <v>35</v>
      </c>
      <c r="R7" s="19" t="s">
        <v>35</v>
      </c>
      <c r="S7" s="21"/>
      <c r="T7" s="21"/>
    </row>
    <row r="8" spans="1:20">
      <c r="B8" s="2" t="s">
        <v>199</v>
      </c>
      <c r="C8" s="2" t="s">
        <v>200</v>
      </c>
      <c r="D8" s="2" t="s">
        <v>201</v>
      </c>
      <c r="E8" s="2" t="s">
        <v>202</v>
      </c>
      <c r="F8" s="2" t="s">
        <v>203</v>
      </c>
      <c r="G8" s="2" t="s">
        <v>204</v>
      </c>
      <c r="H8" s="2" t="s">
        <v>205</v>
      </c>
      <c r="I8" s="2" t="s">
        <v>206</v>
      </c>
      <c r="J8" s="2" t="s">
        <v>207</v>
      </c>
      <c r="K8" s="2" t="s">
        <v>208</v>
      </c>
      <c r="L8" s="2" t="s">
        <v>209</v>
      </c>
      <c r="M8" s="2" t="s">
        <v>210</v>
      </c>
      <c r="N8" s="31">
        <v>1</v>
      </c>
      <c r="O8" s="3">
        <v>43234.395833333299</v>
      </c>
      <c r="P8" s="2" t="s">
        <v>84</v>
      </c>
      <c r="Q8" s="3">
        <v>45755.555555555598</v>
      </c>
      <c r="R8" s="2" t="s">
        <v>85</v>
      </c>
      <c r="S8" s="34" t="s">
        <v>36</v>
      </c>
      <c r="T8" s="1" t="s">
        <v>31</v>
      </c>
    </row>
    <row r="9" spans="1:20">
      <c r="B9" s="2" t="s">
        <v>211</v>
      </c>
      <c r="C9" s="2" t="s">
        <v>212</v>
      </c>
      <c r="D9" s="2" t="s">
        <v>213</v>
      </c>
      <c r="E9" s="2" t="s">
        <v>214</v>
      </c>
      <c r="F9" s="2" t="s">
        <v>215</v>
      </c>
      <c r="G9" s="2" t="s">
        <v>216</v>
      </c>
      <c r="H9" s="2" t="s">
        <v>217</v>
      </c>
      <c r="I9" s="2" t="s">
        <v>218</v>
      </c>
      <c r="J9" s="2" t="s">
        <v>219</v>
      </c>
      <c r="K9" s="2" t="s">
        <v>208</v>
      </c>
      <c r="L9" s="2" t="s">
        <v>220</v>
      </c>
      <c r="M9" s="2" t="s">
        <v>210</v>
      </c>
      <c r="N9" s="31">
        <v>1</v>
      </c>
      <c r="O9" s="3">
        <v>43497.427083333299</v>
      </c>
      <c r="P9" s="2" t="s">
        <v>85</v>
      </c>
      <c r="Q9" s="3">
        <v>46072.486111111102</v>
      </c>
      <c r="R9" s="2" t="s">
        <v>91</v>
      </c>
      <c r="S9" s="34" t="s">
        <v>36</v>
      </c>
      <c r="T9" s="1" t="s">
        <v>31</v>
      </c>
    </row>
    <row r="10" spans="1:20">
      <c r="B10" s="2" t="s">
        <v>221</v>
      </c>
      <c r="C10" s="2" t="s">
        <v>222</v>
      </c>
      <c r="D10" s="2" t="s">
        <v>223</v>
      </c>
      <c r="E10" s="2" t="s">
        <v>224</v>
      </c>
      <c r="F10" s="2" t="s">
        <v>225</v>
      </c>
      <c r="G10" s="2" t="s">
        <v>226</v>
      </c>
      <c r="H10" s="2" t="s">
        <v>227</v>
      </c>
      <c r="I10" s="2" t="s">
        <v>228</v>
      </c>
      <c r="J10" s="2" t="s">
        <v>229</v>
      </c>
      <c r="K10" s="2" t="s">
        <v>208</v>
      </c>
      <c r="L10" s="2" t="s">
        <v>230</v>
      </c>
      <c r="M10" s="2" t="s">
        <v>210</v>
      </c>
      <c r="N10" s="31">
        <v>1</v>
      </c>
      <c r="O10" s="3">
        <v>44018.40625</v>
      </c>
      <c r="P10" s="2" t="s">
        <v>91</v>
      </c>
      <c r="Q10" s="3">
        <v>45973.670138888898</v>
      </c>
      <c r="R10" s="2" t="s">
        <v>85</v>
      </c>
      <c r="S10" s="34" t="s">
        <v>36</v>
      </c>
      <c r="T10" s="1" t="s">
        <v>31</v>
      </c>
    </row>
    <row r="11" spans="1:20">
      <c r="B11" s="2" t="s">
        <v>231</v>
      </c>
      <c r="C11" s="2" t="s">
        <v>232</v>
      </c>
      <c r="D11" s="2" t="s">
        <v>233</v>
      </c>
      <c r="E11" s="2" t="s">
        <v>234</v>
      </c>
      <c r="F11" s="2" t="s">
        <v>235</v>
      </c>
      <c r="G11" s="2" t="s">
        <v>236</v>
      </c>
      <c r="H11" s="2" t="s">
        <v>237</v>
      </c>
      <c r="I11" s="2" t="s">
        <v>238</v>
      </c>
      <c r="J11" s="2" t="s">
        <v>239</v>
      </c>
      <c r="K11" s="2" t="s">
        <v>208</v>
      </c>
      <c r="L11" s="2" t="s">
        <v>240</v>
      </c>
      <c r="M11" s="2" t="s">
        <v>210</v>
      </c>
      <c r="N11" s="31">
        <v>1</v>
      </c>
      <c r="O11" s="3">
        <v>44277.458333333299</v>
      </c>
      <c r="P11" s="2" t="s">
        <v>84</v>
      </c>
      <c r="Q11" s="3">
        <v>46082.4375</v>
      </c>
      <c r="R11" s="2" t="s">
        <v>91</v>
      </c>
      <c r="S11" s="34" t="s">
        <v>36</v>
      </c>
      <c r="T11" s="1" t="s">
        <v>31</v>
      </c>
    </row>
    <row r="12" spans="1:20">
      <c r="B12" s="2" t="s">
        <v>241</v>
      </c>
      <c r="C12" s="2" t="s">
        <v>242</v>
      </c>
      <c r="D12" s="2" t="s">
        <v>243</v>
      </c>
      <c r="E12" s="2" t="s">
        <v>244</v>
      </c>
      <c r="F12" s="2" t="s">
        <v>245</v>
      </c>
      <c r="G12" s="2" t="s">
        <v>246</v>
      </c>
      <c r="H12" s="2" t="s">
        <v>247</v>
      </c>
      <c r="I12" s="2" t="s">
        <v>248</v>
      </c>
      <c r="J12" s="2" t="s">
        <v>249</v>
      </c>
      <c r="K12" s="2" t="s">
        <v>208</v>
      </c>
      <c r="L12" s="2" t="s">
        <v>250</v>
      </c>
      <c r="M12" s="2" t="s">
        <v>210</v>
      </c>
      <c r="N12" s="31">
        <v>1</v>
      </c>
      <c r="O12" s="3">
        <v>44578.430555555598</v>
      </c>
      <c r="P12" s="2" t="s">
        <v>85</v>
      </c>
      <c r="Q12" s="3">
        <v>46188.590277777803</v>
      </c>
      <c r="R12" s="2" t="s">
        <v>112</v>
      </c>
      <c r="S12" s="34" t="s">
        <v>36</v>
      </c>
      <c r="T12" s="1" t="s">
        <v>31</v>
      </c>
    </row>
    <row r="13" spans="1:20">
      <c r="B13" s="2" t="s">
        <v>251</v>
      </c>
      <c r="C13" s="2" t="s">
        <v>252</v>
      </c>
      <c r="D13" s="2" t="s">
        <v>253</v>
      </c>
      <c r="E13" s="2" t="s">
        <v>254</v>
      </c>
      <c r="F13" s="2" t="s">
        <v>255</v>
      </c>
      <c r="G13" s="2" t="s">
        <v>256</v>
      </c>
      <c r="H13" s="2" t="s">
        <v>257</v>
      </c>
      <c r="I13" s="2" t="s">
        <v>258</v>
      </c>
      <c r="J13" s="2" t="s">
        <v>259</v>
      </c>
      <c r="K13" s="2" t="s">
        <v>208</v>
      </c>
      <c r="L13" s="2" t="s">
        <v>260</v>
      </c>
      <c r="M13" s="2" t="s">
        <v>210</v>
      </c>
      <c r="N13" s="31">
        <v>1</v>
      </c>
      <c r="O13" s="3">
        <v>42982.381944444402</v>
      </c>
      <c r="P13" s="2" t="s">
        <v>91</v>
      </c>
      <c r="Q13" s="3">
        <v>45631.65625</v>
      </c>
      <c r="R13" s="2" t="s">
        <v>85</v>
      </c>
      <c r="S13" s="34" t="s">
        <v>36</v>
      </c>
      <c r="T13" s="1" t="s">
        <v>31</v>
      </c>
    </row>
    <row r="14" spans="1:20">
      <c r="B14" s="2" t="s">
        <v>261</v>
      </c>
      <c r="C14" s="2" t="s">
        <v>262</v>
      </c>
      <c r="D14" s="2" t="s">
        <v>263</v>
      </c>
      <c r="E14" s="2" t="s">
        <v>264</v>
      </c>
      <c r="F14" s="2" t="s">
        <v>265</v>
      </c>
      <c r="G14" s="2" t="s">
        <v>266</v>
      </c>
      <c r="H14" s="2" t="s">
        <v>267</v>
      </c>
      <c r="I14" s="2" t="s">
        <v>268</v>
      </c>
      <c r="J14" s="2" t="s">
        <v>269</v>
      </c>
      <c r="K14" s="2" t="s">
        <v>270</v>
      </c>
      <c r="L14" s="2" t="s">
        <v>271</v>
      </c>
      <c r="M14" s="2" t="s">
        <v>210</v>
      </c>
      <c r="N14" s="31">
        <v>1</v>
      </c>
      <c r="O14" s="3">
        <v>43626.559027777803</v>
      </c>
      <c r="P14" s="2" t="s">
        <v>84</v>
      </c>
      <c r="Q14" s="3">
        <v>45890.413194444402</v>
      </c>
      <c r="R14" s="2" t="s">
        <v>91</v>
      </c>
      <c r="S14" s="34" t="s">
        <v>36</v>
      </c>
      <c r="T14" s="1" t="s">
        <v>31</v>
      </c>
    </row>
    <row r="15" spans="1:20">
      <c r="B15" s="2" t="s">
        <v>272</v>
      </c>
      <c r="C15" s="2" t="s">
        <v>273</v>
      </c>
      <c r="D15" s="2" t="s">
        <v>274</v>
      </c>
      <c r="E15" s="2" t="s">
        <v>275</v>
      </c>
      <c r="F15" s="2" t="s">
        <v>276</v>
      </c>
      <c r="G15" s="2" t="s">
        <v>277</v>
      </c>
      <c r="H15" s="2" t="s">
        <v>278</v>
      </c>
      <c r="I15" s="2" t="s">
        <v>279</v>
      </c>
      <c r="J15" s="2" t="s">
        <v>207</v>
      </c>
      <c r="K15" s="2" t="s">
        <v>208</v>
      </c>
      <c r="L15" s="2" t="s">
        <v>280</v>
      </c>
      <c r="M15" s="2" t="s">
        <v>210</v>
      </c>
      <c r="N15" s="31">
        <v>1</v>
      </c>
      <c r="O15" s="3">
        <v>44137.444444444402</v>
      </c>
      <c r="P15" s="2" t="s">
        <v>85</v>
      </c>
      <c r="Q15" s="3">
        <v>46052.708333333299</v>
      </c>
      <c r="R15" s="2" t="s">
        <v>85</v>
      </c>
      <c r="S15" s="34" t="s">
        <v>36</v>
      </c>
      <c r="T15" s="1" t="s">
        <v>31</v>
      </c>
    </row>
    <row r="16" spans="1:20">
      <c r="B16" s="2" t="s">
        <v>281</v>
      </c>
      <c r="C16" s="2" t="s">
        <v>282</v>
      </c>
      <c r="D16" s="2" t="s">
        <v>283</v>
      </c>
      <c r="E16" s="2" t="s">
        <v>284</v>
      </c>
      <c r="F16" s="2" t="s">
        <v>285</v>
      </c>
      <c r="G16" s="2" t="s">
        <v>286</v>
      </c>
      <c r="H16" s="2" t="s">
        <v>287</v>
      </c>
      <c r="I16" s="2" t="s">
        <v>288</v>
      </c>
      <c r="J16" s="2" t="s">
        <v>289</v>
      </c>
      <c r="K16" s="2" t="s">
        <v>208</v>
      </c>
      <c r="L16" s="2" t="s">
        <v>290</v>
      </c>
      <c r="M16" s="2" t="s">
        <v>210</v>
      </c>
      <c r="N16" s="31">
        <v>1</v>
      </c>
      <c r="O16" s="3">
        <v>44327.409722222197</v>
      </c>
      <c r="P16" s="2" t="s">
        <v>91</v>
      </c>
      <c r="Q16" s="3">
        <v>46123.524305555598</v>
      </c>
      <c r="R16" s="2" t="s">
        <v>91</v>
      </c>
      <c r="S16" s="34" t="s">
        <v>36</v>
      </c>
      <c r="T16" s="1" t="s">
        <v>31</v>
      </c>
    </row>
    <row r="17" spans="2:20">
      <c r="B17" s="2" t="s">
        <v>291</v>
      </c>
      <c r="C17" s="2" t="s">
        <v>292</v>
      </c>
      <c r="D17" s="2" t="s">
        <v>293</v>
      </c>
      <c r="E17" s="2" t="s">
        <v>294</v>
      </c>
      <c r="F17" s="2" t="s">
        <v>295</v>
      </c>
      <c r="G17" s="2" t="s">
        <v>296</v>
      </c>
      <c r="H17" s="2" t="s">
        <v>297</v>
      </c>
      <c r="I17" s="2" t="s">
        <v>298</v>
      </c>
      <c r="J17" s="2" t="s">
        <v>229</v>
      </c>
      <c r="K17" s="2" t="s">
        <v>208</v>
      </c>
      <c r="L17" s="2" t="s">
        <v>299</v>
      </c>
      <c r="M17" s="2" t="s">
        <v>210</v>
      </c>
      <c r="N17" s="31">
        <v>1</v>
      </c>
      <c r="O17" s="3">
        <v>43437.482638888898</v>
      </c>
      <c r="P17" s="2" t="s">
        <v>84</v>
      </c>
      <c r="Q17" s="3">
        <v>45855.642361111102</v>
      </c>
      <c r="R17" s="2" t="s">
        <v>112</v>
      </c>
      <c r="S17" s="34" t="s">
        <v>36</v>
      </c>
      <c r="T17" s="1" t="s">
        <v>31</v>
      </c>
    </row>
    <row r="18" spans="2:20">
      <c r="B18" s="2" t="s">
        <v>300</v>
      </c>
      <c r="C18" s="2" t="s">
        <v>301</v>
      </c>
      <c r="D18" s="2" t="s">
        <v>302</v>
      </c>
      <c r="E18" s="2" t="s">
        <v>303</v>
      </c>
      <c r="F18" s="2" t="s">
        <v>304</v>
      </c>
      <c r="G18" s="2" t="s">
        <v>305</v>
      </c>
      <c r="H18" s="2" t="s">
        <v>306</v>
      </c>
      <c r="I18" s="2" t="s">
        <v>307</v>
      </c>
      <c r="J18" s="2" t="s">
        <v>308</v>
      </c>
      <c r="K18" s="2" t="s">
        <v>208</v>
      </c>
      <c r="L18" s="2" t="s">
        <v>309</v>
      </c>
      <c r="M18" s="2" t="s">
        <v>210</v>
      </c>
      <c r="N18" s="31">
        <v>1</v>
      </c>
      <c r="O18" s="3">
        <v>43570.378472222197</v>
      </c>
      <c r="P18" s="2" t="s">
        <v>85</v>
      </c>
      <c r="Q18" s="3">
        <v>46055.423611111102</v>
      </c>
      <c r="R18" s="2" t="s">
        <v>91</v>
      </c>
      <c r="S18" s="34" t="s">
        <v>36</v>
      </c>
      <c r="T18" s="1" t="s">
        <v>31</v>
      </c>
    </row>
    <row r="19" spans="2:20">
      <c r="B19" s="2" t="s">
        <v>310</v>
      </c>
      <c r="C19" s="2" t="s">
        <v>311</v>
      </c>
      <c r="D19" s="2" t="s">
        <v>312</v>
      </c>
      <c r="E19" s="2" t="s">
        <v>313</v>
      </c>
      <c r="F19" s="2" t="s">
        <v>314</v>
      </c>
      <c r="G19" s="2" t="s">
        <v>315</v>
      </c>
      <c r="H19" s="2" t="s">
        <v>316</v>
      </c>
      <c r="I19" s="2" t="s">
        <v>317</v>
      </c>
      <c r="J19" s="2" t="s">
        <v>318</v>
      </c>
      <c r="K19" s="2" t="s">
        <v>208</v>
      </c>
      <c r="L19" s="2" t="s">
        <v>319</v>
      </c>
      <c r="M19" s="2" t="s">
        <v>210</v>
      </c>
      <c r="N19" s="31">
        <v>1</v>
      </c>
      <c r="O19" s="3">
        <v>43881.416666666701</v>
      </c>
      <c r="P19" s="2" t="s">
        <v>91</v>
      </c>
      <c r="Q19" s="3">
        <v>45954.618055555598</v>
      </c>
      <c r="R19" s="2" t="s">
        <v>85</v>
      </c>
      <c r="S19" s="34" t="s">
        <v>36</v>
      </c>
      <c r="T19" s="1" t="s">
        <v>31</v>
      </c>
    </row>
    <row r="20" spans="2:20">
      <c r="B20" s="2" t="s">
        <v>320</v>
      </c>
      <c r="C20" s="2" t="s">
        <v>321</v>
      </c>
      <c r="D20" s="2" t="s">
        <v>322</v>
      </c>
      <c r="E20" s="2" t="s">
        <v>323</v>
      </c>
      <c r="F20" s="2" t="s">
        <v>324</v>
      </c>
      <c r="G20" s="2" t="s">
        <v>325</v>
      </c>
      <c r="H20" s="2" t="s">
        <v>326</v>
      </c>
      <c r="I20" s="2" t="s">
        <v>327</v>
      </c>
      <c r="J20" s="2" t="s">
        <v>219</v>
      </c>
      <c r="K20" s="2" t="s">
        <v>208</v>
      </c>
      <c r="L20" s="2" t="s">
        <v>328</v>
      </c>
      <c r="M20" s="2" t="s">
        <v>210</v>
      </c>
      <c r="N20" s="31">
        <v>1</v>
      </c>
      <c r="O20" s="3">
        <v>44410.541666666701</v>
      </c>
      <c r="P20" s="2" t="s">
        <v>84</v>
      </c>
      <c r="Q20" s="3">
        <v>46155.6875</v>
      </c>
      <c r="R20" s="2" t="s">
        <v>91</v>
      </c>
      <c r="S20" s="34" t="s">
        <v>36</v>
      </c>
      <c r="T20" s="1" t="s">
        <v>31</v>
      </c>
    </row>
    <row r="21" spans="2:20">
      <c r="B21" s="2" t="s">
        <v>329</v>
      </c>
      <c r="C21" s="2" t="s">
        <v>330</v>
      </c>
      <c r="D21" s="2" t="s">
        <v>331</v>
      </c>
      <c r="E21" s="2" t="s">
        <v>332</v>
      </c>
      <c r="F21" s="2" t="s">
        <v>333</v>
      </c>
      <c r="G21" s="2" t="s">
        <v>334</v>
      </c>
      <c r="H21" s="2" t="s">
        <v>335</v>
      </c>
      <c r="I21" s="2" t="s">
        <v>336</v>
      </c>
      <c r="J21" s="2" t="s">
        <v>337</v>
      </c>
      <c r="K21" s="2" t="s">
        <v>208</v>
      </c>
      <c r="L21" s="2" t="s">
        <v>338</v>
      </c>
      <c r="M21" s="2" t="s">
        <v>210</v>
      </c>
      <c r="N21" s="31">
        <v>1</v>
      </c>
      <c r="O21" s="3">
        <v>44816.392361111102</v>
      </c>
      <c r="P21" s="2" t="s">
        <v>85</v>
      </c>
      <c r="Q21" s="3">
        <v>46177.472222222197</v>
      </c>
      <c r="R21" s="2" t="s">
        <v>112</v>
      </c>
      <c r="S21" s="34" t="s">
        <v>36</v>
      </c>
      <c r="T21" s="1" t="s">
        <v>31</v>
      </c>
    </row>
    <row r="22" spans="2:20">
      <c r="B22" s="2" t="s">
        <v>339</v>
      </c>
      <c r="C22" s="2" t="s">
        <v>340</v>
      </c>
      <c r="D22" s="2" t="s">
        <v>341</v>
      </c>
      <c r="E22" s="2" t="s">
        <v>342</v>
      </c>
      <c r="F22" s="2" t="s">
        <v>343</v>
      </c>
      <c r="G22" s="2" t="s">
        <v>344</v>
      </c>
      <c r="H22" s="2" t="s">
        <v>345</v>
      </c>
      <c r="I22" s="2" t="s">
        <v>346</v>
      </c>
      <c r="J22" s="2" t="s">
        <v>308</v>
      </c>
      <c r="K22" s="2" t="s">
        <v>208</v>
      </c>
      <c r="L22" s="2" t="s">
        <v>347</v>
      </c>
      <c r="M22" s="2" t="s">
        <v>210</v>
      </c>
      <c r="N22" s="31">
        <v>0</v>
      </c>
      <c r="O22" s="3">
        <v>42905.447916666701</v>
      </c>
      <c r="P22" s="2" t="s">
        <v>91</v>
      </c>
      <c r="Q22" s="3">
        <v>45562.552083333299</v>
      </c>
      <c r="R22" s="2" t="s">
        <v>85</v>
      </c>
      <c r="S22" s="34" t="s">
        <v>36</v>
      </c>
      <c r="T22" s="1" t="s">
        <v>31</v>
      </c>
    </row>
    <row r="23" spans="2:20">
      <c r="B23" s="2" t="s">
        <v>348</v>
      </c>
      <c r="C23" s="2" t="s">
        <v>349</v>
      </c>
      <c r="D23" s="2" t="s">
        <v>350</v>
      </c>
      <c r="E23" s="2" t="s">
        <v>351</v>
      </c>
      <c r="F23" s="2" t="s">
        <v>352</v>
      </c>
      <c r="G23" s="2" t="s">
        <v>353</v>
      </c>
      <c r="H23" s="2" t="s">
        <v>354</v>
      </c>
      <c r="I23" s="2" t="s">
        <v>355</v>
      </c>
      <c r="J23" s="2" t="s">
        <v>239</v>
      </c>
      <c r="K23" s="2" t="s">
        <v>208</v>
      </c>
      <c r="L23" s="2" t="s">
        <v>356</v>
      </c>
      <c r="M23" s="2" t="s">
        <v>210</v>
      </c>
      <c r="N23" s="31">
        <v>1</v>
      </c>
      <c r="O23" s="3">
        <v>43374.402777777803</v>
      </c>
      <c r="P23" s="2" t="s">
        <v>84</v>
      </c>
      <c r="Q23" s="3">
        <v>45814.420138888898</v>
      </c>
      <c r="R23" s="2" t="s">
        <v>91</v>
      </c>
      <c r="S23" s="34" t="s">
        <v>36</v>
      </c>
      <c r="T23" s="1" t="s">
        <v>31</v>
      </c>
    </row>
    <row r="24" spans="2:20">
      <c r="B24" s="2" t="s">
        <v>357</v>
      </c>
      <c r="C24" s="2" t="s">
        <v>358</v>
      </c>
      <c r="D24" s="2" t="s">
        <v>359</v>
      </c>
      <c r="E24" s="2" t="s">
        <v>360</v>
      </c>
      <c r="F24" s="2" t="s">
        <v>361</v>
      </c>
      <c r="G24" s="2" t="s">
        <v>362</v>
      </c>
      <c r="H24" s="2" t="s">
        <v>363</v>
      </c>
      <c r="I24" s="2" t="s">
        <v>364</v>
      </c>
      <c r="J24" s="2" t="s">
        <v>219</v>
      </c>
      <c r="K24" s="2" t="s">
        <v>208</v>
      </c>
      <c r="L24" s="2" t="s">
        <v>365</v>
      </c>
      <c r="M24" s="2" t="s">
        <v>210</v>
      </c>
      <c r="N24" s="31">
        <v>1</v>
      </c>
      <c r="O24" s="3">
        <v>43808.46875</v>
      </c>
      <c r="P24" s="2" t="s">
        <v>85</v>
      </c>
      <c r="Q24" s="3">
        <v>46099.625</v>
      </c>
      <c r="R24" s="2" t="s">
        <v>112</v>
      </c>
      <c r="S24" s="34" t="s">
        <v>36</v>
      </c>
      <c r="T24" s="1" t="s">
        <v>31</v>
      </c>
    </row>
    <row r="25" spans="2:20">
      <c r="B25" s="2" t="s">
        <v>366</v>
      </c>
      <c r="C25" s="2" t="s">
        <v>367</v>
      </c>
      <c r="D25" s="2" t="s">
        <v>368</v>
      </c>
      <c r="E25" s="2" t="s">
        <v>369</v>
      </c>
      <c r="F25" s="2" t="s">
        <v>370</v>
      </c>
      <c r="G25" s="2" t="s">
        <v>371</v>
      </c>
      <c r="H25" s="2" t="s">
        <v>372</v>
      </c>
      <c r="I25" s="2" t="s">
        <v>373</v>
      </c>
      <c r="J25" s="2" t="s">
        <v>374</v>
      </c>
      <c r="K25" s="2" t="s">
        <v>208</v>
      </c>
      <c r="L25" s="2" t="s">
        <v>375</v>
      </c>
      <c r="M25" s="2" t="s">
        <v>210</v>
      </c>
      <c r="N25" s="31">
        <v>1</v>
      </c>
      <c r="O25" s="3">
        <v>43976.371527777803</v>
      </c>
      <c r="P25" s="2" t="s">
        <v>91</v>
      </c>
      <c r="Q25" s="3">
        <v>46006.680555555598</v>
      </c>
      <c r="R25" s="2" t="s">
        <v>91</v>
      </c>
      <c r="S25" s="34" t="s">
        <v>36</v>
      </c>
      <c r="T25" s="1" t="s">
        <v>31</v>
      </c>
    </row>
    <row r="26" spans="2:20">
      <c r="B26" s="2" t="s">
        <v>376</v>
      </c>
      <c r="C26" s="2" t="s">
        <v>377</v>
      </c>
      <c r="D26" s="2" t="s">
        <v>378</v>
      </c>
      <c r="E26" s="2" t="s">
        <v>379</v>
      </c>
      <c r="F26" s="2" t="s">
        <v>380</v>
      </c>
      <c r="G26" s="2" t="s">
        <v>381</v>
      </c>
      <c r="H26" s="2" t="s">
        <v>382</v>
      </c>
      <c r="I26" s="2" t="s">
        <v>383</v>
      </c>
      <c r="J26" s="2" t="s">
        <v>219</v>
      </c>
      <c r="K26" s="2" t="s">
        <v>208</v>
      </c>
      <c r="L26" s="2" t="s">
        <v>384</v>
      </c>
      <c r="M26" s="2" t="s">
        <v>210</v>
      </c>
      <c r="N26" s="31">
        <v>1</v>
      </c>
      <c r="O26" s="3">
        <v>44214.399305555598</v>
      </c>
      <c r="P26" s="2" t="s">
        <v>112</v>
      </c>
      <c r="Q26" s="3">
        <v>46136.5</v>
      </c>
      <c r="R26" s="2" t="s">
        <v>112</v>
      </c>
      <c r="S26" s="34" t="s">
        <v>36</v>
      </c>
      <c r="T26" s="1" t="s">
        <v>31</v>
      </c>
    </row>
    <row r="27" spans="2:20">
      <c r="B27" s="2" t="s">
        <v>385</v>
      </c>
      <c r="C27" s="2" t="s">
        <v>386</v>
      </c>
      <c r="D27" s="2" t="s">
        <v>387</v>
      </c>
      <c r="E27" s="2" t="s">
        <v>388</v>
      </c>
      <c r="F27" s="2" t="s">
        <v>389</v>
      </c>
      <c r="G27" s="2" t="s">
        <v>390</v>
      </c>
      <c r="H27" s="2" t="s">
        <v>391</v>
      </c>
      <c r="I27" s="2" t="s">
        <v>392</v>
      </c>
      <c r="J27" s="2" t="s">
        <v>393</v>
      </c>
      <c r="K27" s="2" t="s">
        <v>208</v>
      </c>
      <c r="L27" s="2" t="s">
        <v>394</v>
      </c>
      <c r="M27" s="2" t="s">
        <v>210</v>
      </c>
      <c r="N27" s="31">
        <v>1</v>
      </c>
      <c r="O27" s="3">
        <v>44655.434027777803</v>
      </c>
      <c r="P27" s="2" t="s">
        <v>84</v>
      </c>
      <c r="Q27" s="3">
        <v>46144.614583333299</v>
      </c>
      <c r="R27" s="2" t="s">
        <v>91</v>
      </c>
      <c r="S27" s="34" t="s">
        <v>36</v>
      </c>
      <c r="T27" s="1" t="s">
        <v>31</v>
      </c>
    </row>
    <row r="28" spans="2:20">
      <c r="B28" s="2" t="s">
        <v>395</v>
      </c>
      <c r="C28" s="2" t="s">
        <v>396</v>
      </c>
      <c r="D28" s="2" t="s">
        <v>397</v>
      </c>
      <c r="E28" s="2" t="s">
        <v>398</v>
      </c>
      <c r="F28" s="2" t="s">
        <v>399</v>
      </c>
      <c r="G28" s="2" t="s">
        <v>400</v>
      </c>
      <c r="H28" s="2" t="s">
        <v>401</v>
      </c>
      <c r="I28" s="2" t="s">
        <v>402</v>
      </c>
      <c r="J28" s="2" t="s">
        <v>318</v>
      </c>
      <c r="K28" s="2" t="s">
        <v>208</v>
      </c>
      <c r="L28" s="2" t="s">
        <v>403</v>
      </c>
      <c r="M28" s="2" t="s">
        <v>210</v>
      </c>
      <c r="N28" s="31">
        <v>1</v>
      </c>
      <c r="O28" s="3">
        <v>43164.388888888898</v>
      </c>
      <c r="P28" s="2" t="s">
        <v>85</v>
      </c>
      <c r="Q28" s="3">
        <v>45800.496527777803</v>
      </c>
      <c r="R28" s="2" t="s">
        <v>85</v>
      </c>
      <c r="S28" s="34" t="s">
        <v>36</v>
      </c>
      <c r="T28" s="1" t="s">
        <v>31</v>
      </c>
    </row>
    <row r="29" spans="2:20">
      <c r="B29" s="2" t="s">
        <v>404</v>
      </c>
      <c r="C29" s="2" t="s">
        <v>405</v>
      </c>
      <c r="D29" s="2" t="s">
        <v>406</v>
      </c>
      <c r="E29" s="2" t="s">
        <v>407</v>
      </c>
      <c r="F29" s="2" t="s">
        <v>408</v>
      </c>
      <c r="G29" s="2" t="s">
        <v>409</v>
      </c>
      <c r="H29" s="2" t="s">
        <v>410</v>
      </c>
      <c r="I29" s="2" t="s">
        <v>411</v>
      </c>
      <c r="J29" s="2" t="s">
        <v>318</v>
      </c>
      <c r="K29" s="2" t="s">
        <v>208</v>
      </c>
      <c r="L29" s="2" t="s">
        <v>412</v>
      </c>
      <c r="M29" s="2" t="s">
        <v>210</v>
      </c>
      <c r="N29" s="31">
        <v>1</v>
      </c>
      <c r="O29" s="3">
        <v>43696.548611111102</v>
      </c>
      <c r="P29" s="2" t="s">
        <v>91</v>
      </c>
      <c r="Q29" s="3">
        <v>46038.40625</v>
      </c>
      <c r="R29" s="2" t="s">
        <v>91</v>
      </c>
      <c r="S29" s="34" t="s">
        <v>36</v>
      </c>
      <c r="T29" s="1" t="s">
        <v>31</v>
      </c>
    </row>
    <row r="30" spans="2:20">
      <c r="B30" s="2" t="s">
        <v>413</v>
      </c>
      <c r="C30" s="2" t="s">
        <v>414</v>
      </c>
      <c r="D30" s="2" t="s">
        <v>415</v>
      </c>
      <c r="E30" s="2" t="s">
        <v>416</v>
      </c>
      <c r="F30" s="2" t="s">
        <v>417</v>
      </c>
      <c r="G30" s="2" t="s">
        <v>418</v>
      </c>
      <c r="H30" s="2" t="s">
        <v>419</v>
      </c>
      <c r="I30" s="2" t="s">
        <v>420</v>
      </c>
      <c r="J30" s="2" t="s">
        <v>421</v>
      </c>
      <c r="K30" s="2" t="s">
        <v>208</v>
      </c>
      <c r="L30" s="2" t="s">
        <v>422</v>
      </c>
      <c r="M30" s="2" t="s">
        <v>210</v>
      </c>
      <c r="N30" s="31">
        <v>1</v>
      </c>
      <c r="O30" s="3">
        <v>44081.451388888898</v>
      </c>
      <c r="P30" s="2" t="s">
        <v>84</v>
      </c>
      <c r="Q30" s="3">
        <v>45902.649305555598</v>
      </c>
      <c r="R30" s="2" t="s">
        <v>112</v>
      </c>
      <c r="S30" s="34" t="s">
        <v>36</v>
      </c>
      <c r="T30" s="1" t="s">
        <v>31</v>
      </c>
    </row>
    <row r="31" spans="2:20">
      <c r="B31" s="2" t="s">
        <v>423</v>
      </c>
      <c r="C31" s="2" t="s">
        <v>424</v>
      </c>
      <c r="D31" s="2" t="s">
        <v>425</v>
      </c>
      <c r="E31" s="2" t="s">
        <v>426</v>
      </c>
      <c r="F31" s="2" t="s">
        <v>427</v>
      </c>
      <c r="G31" s="2" t="s">
        <v>428</v>
      </c>
      <c r="H31" s="2" t="s">
        <v>429</v>
      </c>
      <c r="I31" s="2" t="s">
        <v>430</v>
      </c>
      <c r="J31" s="2" t="s">
        <v>318</v>
      </c>
      <c r="K31" s="2" t="s">
        <v>208</v>
      </c>
      <c r="L31" s="2" t="s">
        <v>431</v>
      </c>
      <c r="M31" s="2" t="s">
        <v>210</v>
      </c>
      <c r="N31" s="31">
        <v>1</v>
      </c>
      <c r="O31" s="3">
        <v>44501.413194444402</v>
      </c>
      <c r="P31" s="2" t="s">
        <v>85</v>
      </c>
      <c r="Q31" s="3">
        <v>46191.434027777803</v>
      </c>
      <c r="R31" s="2" t="s">
        <v>85</v>
      </c>
      <c r="S31" s="34" t="s">
        <v>36</v>
      </c>
      <c r="T31" s="1" t="s">
        <v>31</v>
      </c>
    </row>
    <row r="32" spans="2:20">
      <c r="B32" s="2" t="s">
        <v>432</v>
      </c>
      <c r="C32" s="2" t="s">
        <v>433</v>
      </c>
      <c r="D32" s="2" t="s">
        <v>434</v>
      </c>
      <c r="E32" s="2" t="s">
        <v>435</v>
      </c>
      <c r="F32" s="2" t="s">
        <v>436</v>
      </c>
      <c r="G32" s="2" t="s">
        <v>437</v>
      </c>
      <c r="H32" s="2" t="s">
        <v>438</v>
      </c>
      <c r="I32" s="2" t="s">
        <v>288</v>
      </c>
      <c r="J32" s="2" t="s">
        <v>239</v>
      </c>
      <c r="K32" s="2" t="s">
        <v>208</v>
      </c>
      <c r="L32" s="2" t="s">
        <v>439</v>
      </c>
      <c r="M32" s="2" t="s">
        <v>210</v>
      </c>
      <c r="N32" s="31">
        <v>1</v>
      </c>
      <c r="O32" s="3">
        <v>44907.461805555598</v>
      </c>
      <c r="P32" s="2" t="s">
        <v>91</v>
      </c>
      <c r="Q32" s="3">
        <v>46203.722222222197</v>
      </c>
      <c r="R32" s="2" t="s">
        <v>91</v>
      </c>
      <c r="S32" s="34" t="s">
        <v>36</v>
      </c>
      <c r="T32" s="1" t="s">
        <v>31</v>
      </c>
    </row>
    <row r="33" spans="2:20">
      <c r="B33" s="2" t="s">
        <v>440</v>
      </c>
      <c r="C33" s="2" t="s">
        <v>441</v>
      </c>
      <c r="D33" s="2" t="s">
        <v>442</v>
      </c>
      <c r="E33" s="2" t="s">
        <v>443</v>
      </c>
      <c r="F33" s="2" t="s">
        <v>444</v>
      </c>
      <c r="G33" s="2" t="s">
        <v>445</v>
      </c>
      <c r="H33" s="2" t="s">
        <v>446</v>
      </c>
      <c r="I33" s="2" t="s">
        <v>447</v>
      </c>
      <c r="J33" s="2" t="s">
        <v>239</v>
      </c>
      <c r="K33" s="2" t="s">
        <v>208</v>
      </c>
      <c r="L33" s="2" t="s">
        <v>448</v>
      </c>
      <c r="M33" s="2" t="s">
        <v>210</v>
      </c>
      <c r="N33" s="31">
        <v>1</v>
      </c>
      <c r="O33" s="3">
        <v>43024.385416666701</v>
      </c>
      <c r="P33" s="2" t="s">
        <v>84</v>
      </c>
      <c r="Q33" s="3">
        <v>45686.569444444402</v>
      </c>
      <c r="R33" s="2" t="s">
        <v>85</v>
      </c>
      <c r="S33" s="34" t="s">
        <v>36</v>
      </c>
      <c r="T33" s="1" t="s">
        <v>31</v>
      </c>
    </row>
    <row r="34" spans="2:20">
      <c r="B34" s="2" t="s">
        <v>449</v>
      </c>
      <c r="C34" s="2" t="s">
        <v>450</v>
      </c>
      <c r="D34" s="2" t="s">
        <v>451</v>
      </c>
      <c r="E34" s="2" t="s">
        <v>452</v>
      </c>
      <c r="F34" s="2" t="s">
        <v>453</v>
      </c>
      <c r="G34" s="2" t="s">
        <v>454</v>
      </c>
      <c r="H34" s="2" t="s">
        <v>455</v>
      </c>
      <c r="I34" s="2" t="s">
        <v>456</v>
      </c>
      <c r="J34" s="2" t="s">
        <v>229</v>
      </c>
      <c r="K34" s="2" t="s">
        <v>208</v>
      </c>
      <c r="L34" s="2" t="s">
        <v>457</v>
      </c>
      <c r="M34" s="2" t="s">
        <v>210</v>
      </c>
      <c r="N34" s="31">
        <v>0</v>
      </c>
      <c r="O34" s="3">
        <v>43304.440972222197</v>
      </c>
      <c r="P34" s="2" t="s">
        <v>85</v>
      </c>
      <c r="Q34" s="3">
        <v>45604.701388888898</v>
      </c>
      <c r="R34" s="2" t="s">
        <v>91</v>
      </c>
      <c r="S34" s="34" t="s">
        <v>36</v>
      </c>
      <c r="T34" s="1" t="s">
        <v>31</v>
      </c>
    </row>
    <row r="35" spans="2:20">
      <c r="B35" s="2" t="s">
        <v>458</v>
      </c>
      <c r="C35" s="2" t="s">
        <v>459</v>
      </c>
      <c r="D35" s="2" t="s">
        <v>460</v>
      </c>
      <c r="E35" s="2" t="s">
        <v>461</v>
      </c>
      <c r="F35" s="2" t="s">
        <v>462</v>
      </c>
      <c r="G35" s="2" t="s">
        <v>463</v>
      </c>
      <c r="H35" s="2" t="s">
        <v>464</v>
      </c>
      <c r="I35" s="2" t="s">
        <v>364</v>
      </c>
      <c r="J35" s="2" t="s">
        <v>207</v>
      </c>
      <c r="K35" s="2" t="s">
        <v>208</v>
      </c>
      <c r="L35" s="2" t="s">
        <v>465</v>
      </c>
      <c r="M35" s="2" t="s">
        <v>210</v>
      </c>
      <c r="N35" s="31">
        <v>1</v>
      </c>
      <c r="O35" s="3">
        <v>43592.378472222197</v>
      </c>
      <c r="P35" s="2" t="s">
        <v>91</v>
      </c>
      <c r="Q35" s="3">
        <v>46106.479166666701</v>
      </c>
      <c r="R35" s="2" t="s">
        <v>91</v>
      </c>
      <c r="S35" s="34" t="s">
        <v>36</v>
      </c>
      <c r="T35" s="1" t="s">
        <v>31</v>
      </c>
    </row>
    <row r="36" spans="2:20">
      <c r="B36" s="2" t="s">
        <v>466</v>
      </c>
      <c r="C36" s="2" t="s">
        <v>467</v>
      </c>
      <c r="D36" s="2" t="s">
        <v>468</v>
      </c>
      <c r="E36" s="2" t="s">
        <v>469</v>
      </c>
      <c r="F36" s="2" t="s">
        <v>470</v>
      </c>
      <c r="G36" s="2" t="s">
        <v>471</v>
      </c>
      <c r="H36" s="2" t="s">
        <v>472</v>
      </c>
      <c r="I36" s="2" t="s">
        <v>473</v>
      </c>
      <c r="J36" s="2" t="s">
        <v>337</v>
      </c>
      <c r="K36" s="2" t="s">
        <v>208</v>
      </c>
      <c r="L36" s="2" t="s">
        <v>474</v>
      </c>
      <c r="M36" s="2" t="s">
        <v>210</v>
      </c>
      <c r="N36" s="31">
        <v>1</v>
      </c>
      <c r="O36" s="3">
        <v>43906.423611111102</v>
      </c>
      <c r="P36" s="2" t="s">
        <v>84</v>
      </c>
      <c r="Q36" s="3">
        <v>45877.59375</v>
      </c>
      <c r="R36" s="2" t="s">
        <v>85</v>
      </c>
      <c r="S36" s="34" t="s">
        <v>36</v>
      </c>
      <c r="T36" s="1" t="s">
        <v>31</v>
      </c>
    </row>
    <row r="37" spans="2:20">
      <c r="B37" s="2" t="s">
        <v>475</v>
      </c>
      <c r="C37" s="2" t="s">
        <v>476</v>
      </c>
      <c r="D37" s="2" t="s">
        <v>477</v>
      </c>
      <c r="E37" s="2" t="s">
        <v>478</v>
      </c>
      <c r="F37" s="2" t="s">
        <v>479</v>
      </c>
      <c r="G37" s="2" t="s">
        <v>480</v>
      </c>
      <c r="H37" s="2" t="s">
        <v>481</v>
      </c>
      <c r="I37" s="2" t="s">
        <v>482</v>
      </c>
      <c r="J37" s="2" t="s">
        <v>219</v>
      </c>
      <c r="K37" s="2" t="s">
        <v>208</v>
      </c>
      <c r="L37" s="2" t="s">
        <v>483</v>
      </c>
      <c r="M37" s="2" t="s">
        <v>210</v>
      </c>
      <c r="N37" s="31">
        <v>0</v>
      </c>
      <c r="O37" s="3">
        <v>44375.392361111102</v>
      </c>
      <c r="P37" s="2" t="s">
        <v>85</v>
      </c>
      <c r="Q37" s="3">
        <v>46010.53125</v>
      </c>
      <c r="R37" s="2" t="s">
        <v>112</v>
      </c>
      <c r="S37" s="34" t="s">
        <v>36</v>
      </c>
      <c r="T37" s="1" t="s">
        <v>31</v>
      </c>
    </row>
  </sheetData>
  <sheetProtection sheet="1" objects="1" formatCells="0" formatColumns="0" formatRows="0" insertColumns="0" insertRows="0" insertHyperlinks="0" deleteColumns="0" deleteRows="0" sort="0" autoFilter="0"/>
  <phoneticPr fontId="2"/>
  <conditionalFormatting sqref="B7:R7">
    <cfRule type="expression" dxfId="27" priority="1">
      <formula>AND(ISNUMBER(FIND("K",B6)),B7="*")</formula>
    </cfRule>
    <cfRule type="expression" dxfId="26" priority="2">
      <formula>AND(ISNUMBER(FIND("N",B6)),B7="*")</formula>
    </cfRule>
    <cfRule type="expression" dxfId="25" priority="3">
      <formula>B7="*"</formula>
    </cfRule>
    <cfRule type="expression" dxfId="24" priority="4">
      <formula>B7=""</formula>
    </cfRule>
  </conditionalFormatting>
  <dataValidations count="1">
    <dataValidation type="list" allowBlank="1" showInputMessage="1" showErrorMessage="1" sqref="B7:R7" xr:uid="{00000000-0002-0000-0200-000000000000}">
      <formula1>"*,"</formula1>
    </dataValidation>
  </dataValidations>
  <pageMargins left="0.75" right="0.75" top="0.75" bottom="0.5" header="0.5" footer="0.7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43"/>
  <sheetViews>
    <sheetView zoomScale="85" zoomScaleNormal="85" workbookViewId="0">
      <pane xSplit="3" ySplit="7" topLeftCell="D8" activePane="bottomRight" state="frozenSplit"/>
      <selection activeCell="B2" sqref="B2"/>
      <selection pane="topRight"/>
      <selection pane="bottomLeft"/>
      <selection pane="bottomRight" activeCell="B2" sqref="B2"/>
    </sheetView>
  </sheetViews>
  <sheetFormatPr defaultColWidth="9.1796875" defaultRowHeight="14.5"/>
  <cols>
    <col min="1" max="1" width="18.7265625" style="1" customWidth="1"/>
    <col min="2" max="2" width="40.7265625" style="2" customWidth="1"/>
    <col min="3" max="3" width="41.81640625" style="2" customWidth="1"/>
    <col min="4" max="4" width="16.7265625" style="2" customWidth="1"/>
    <col min="5" max="5" width="25.26953125" style="2" customWidth="1"/>
    <col min="6" max="8" width="14.7265625" style="1" customWidth="1"/>
    <col min="9" max="9" width="21.6328125" style="30" customWidth="1"/>
    <col min="10" max="10" width="20.36328125" style="30" customWidth="1"/>
    <col min="11" max="11" width="16.7265625" style="2" customWidth="1"/>
    <col min="12" max="12" width="11.453125" style="1" customWidth="1"/>
    <col min="13" max="13" width="22.7265625" style="3" customWidth="1"/>
    <col min="14" max="14" width="30.7265625" style="2" customWidth="1"/>
    <col min="15" max="15" width="22.7265625" style="3" customWidth="1"/>
    <col min="16" max="16" width="30.7265625" style="2" customWidth="1"/>
    <col min="17" max="17" width="10.7265625" style="1" customWidth="1"/>
    <col min="18" max="18" width="48.7265625" style="1" customWidth="1"/>
    <col min="19" max="19" width="9.1796875" style="1" customWidth="1"/>
    <col min="20" max="16384" width="9.1796875" style="1"/>
  </cols>
  <sheetData>
    <row r="1" spans="1:18" s="4" customFormat="1">
      <c r="A1" s="5" t="s">
        <v>484</v>
      </c>
      <c r="B1" s="6" t="s">
        <v>485</v>
      </c>
      <c r="C1" s="7" t="s">
        <v>486</v>
      </c>
      <c r="D1" s="6" t="s">
        <v>488</v>
      </c>
      <c r="E1" s="9"/>
      <c r="I1" s="26"/>
      <c r="J1" s="26"/>
      <c r="K1" s="9"/>
      <c r="M1" s="8"/>
      <c r="N1" s="9"/>
      <c r="O1" s="8"/>
      <c r="P1" s="9"/>
    </row>
    <row r="2" spans="1:18" s="4" customFormat="1" ht="28.5" customHeight="1">
      <c r="A2" s="5" t="s">
        <v>487</v>
      </c>
      <c r="B2" s="48" t="s">
        <v>64</v>
      </c>
      <c r="C2" s="9"/>
      <c r="D2" s="9"/>
      <c r="E2" s="9"/>
      <c r="I2" s="26"/>
      <c r="J2" s="26"/>
      <c r="K2" s="9"/>
      <c r="M2" s="8"/>
      <c r="N2" s="9"/>
      <c r="O2" s="8"/>
      <c r="P2" s="9"/>
    </row>
    <row r="3" spans="1:18" s="4" customFormat="1" ht="29" customHeight="1">
      <c r="A3" s="10" t="s">
        <v>489</v>
      </c>
      <c r="B3" s="11" t="s">
        <v>490</v>
      </c>
      <c r="C3" s="12" t="s">
        <v>491</v>
      </c>
      <c r="D3" s="12" t="s">
        <v>492</v>
      </c>
      <c r="E3" s="12" t="s">
        <v>493</v>
      </c>
      <c r="F3" s="22" t="s">
        <v>494</v>
      </c>
      <c r="G3" s="22" t="s">
        <v>495</v>
      </c>
      <c r="H3" s="22" t="s">
        <v>496</v>
      </c>
      <c r="I3" s="27" t="s">
        <v>497</v>
      </c>
      <c r="J3" s="27" t="s">
        <v>498</v>
      </c>
      <c r="K3" s="12" t="s">
        <v>499</v>
      </c>
      <c r="L3" s="22" t="s">
        <v>69</v>
      </c>
      <c r="M3" s="13" t="s">
        <v>10</v>
      </c>
      <c r="N3" s="12" t="s">
        <v>11</v>
      </c>
      <c r="O3" s="13" t="s">
        <v>12</v>
      </c>
      <c r="P3" s="12" t="s">
        <v>13</v>
      </c>
      <c r="Q3" s="14" t="s">
        <v>500</v>
      </c>
      <c r="R3" s="14" t="s">
        <v>501</v>
      </c>
    </row>
    <row r="4" spans="1:18" s="4" customFormat="1" ht="18.5" customHeight="1">
      <c r="A4" s="10" t="s">
        <v>502</v>
      </c>
      <c r="B4" s="11" t="s">
        <v>504</v>
      </c>
      <c r="C4" s="12" t="s">
        <v>505</v>
      </c>
      <c r="D4" s="12" t="s">
        <v>506</v>
      </c>
      <c r="E4" s="12" t="s">
        <v>507</v>
      </c>
      <c r="F4" s="16" t="s">
        <v>503</v>
      </c>
      <c r="G4" s="16" t="s">
        <v>508</v>
      </c>
      <c r="H4" s="16" t="s">
        <v>510</v>
      </c>
      <c r="I4" s="28" t="s">
        <v>511</v>
      </c>
      <c r="J4" s="28" t="s">
        <v>512</v>
      </c>
      <c r="K4" s="12" t="s">
        <v>513</v>
      </c>
      <c r="L4" s="16" t="s">
        <v>509</v>
      </c>
      <c r="M4" s="15" t="s">
        <v>514</v>
      </c>
      <c r="N4" s="12" t="s">
        <v>515</v>
      </c>
      <c r="O4" s="15" t="s">
        <v>516</v>
      </c>
      <c r="P4" s="12" t="s">
        <v>517</v>
      </c>
      <c r="Q4" s="16"/>
      <c r="R4" s="16"/>
    </row>
    <row r="5" spans="1:18" s="4" customFormat="1">
      <c r="A5" s="10" t="s">
        <v>518</v>
      </c>
      <c r="B5" s="11" t="s">
        <v>75</v>
      </c>
      <c r="C5" s="12" t="s">
        <v>197</v>
      </c>
      <c r="D5" s="12" t="s">
        <v>519</v>
      </c>
      <c r="E5" s="12" t="s">
        <v>28</v>
      </c>
      <c r="F5" s="22" t="s">
        <v>78</v>
      </c>
      <c r="G5" s="22" t="s">
        <v>78</v>
      </c>
      <c r="H5" s="22" t="s">
        <v>520</v>
      </c>
      <c r="I5" s="27" t="s">
        <v>521</v>
      </c>
      <c r="J5" s="27" t="s">
        <v>521</v>
      </c>
      <c r="K5" s="12" t="s">
        <v>522</v>
      </c>
      <c r="L5" s="22" t="s">
        <v>78</v>
      </c>
      <c r="M5" s="13" t="s">
        <v>27</v>
      </c>
      <c r="N5" s="12" t="s">
        <v>28</v>
      </c>
      <c r="O5" s="13" t="s">
        <v>27</v>
      </c>
      <c r="P5" s="12" t="s">
        <v>28</v>
      </c>
      <c r="Q5" s="16"/>
      <c r="R5" s="16"/>
    </row>
    <row r="6" spans="1:18" s="4" customFormat="1">
      <c r="A6" s="5" t="s">
        <v>523</v>
      </c>
      <c r="B6" s="11" t="s">
        <v>30</v>
      </c>
      <c r="C6" s="12" t="s">
        <v>31</v>
      </c>
      <c r="D6" s="12" t="s">
        <v>31</v>
      </c>
      <c r="E6" s="12" t="s">
        <v>32</v>
      </c>
      <c r="F6" s="22" t="s">
        <v>33</v>
      </c>
      <c r="G6" s="22" t="s">
        <v>33</v>
      </c>
      <c r="H6" s="22" t="s">
        <v>32</v>
      </c>
      <c r="I6" s="27" t="s">
        <v>33</v>
      </c>
      <c r="J6" s="27" t="s">
        <v>33</v>
      </c>
      <c r="K6" s="12" t="s">
        <v>33</v>
      </c>
      <c r="L6" s="22" t="s">
        <v>33</v>
      </c>
      <c r="M6" s="13" t="s">
        <v>33</v>
      </c>
      <c r="N6" s="12" t="s">
        <v>31</v>
      </c>
      <c r="O6" s="13" t="s">
        <v>33</v>
      </c>
      <c r="P6" s="12" t="s">
        <v>31</v>
      </c>
      <c r="Q6" s="16"/>
      <c r="R6" s="16"/>
    </row>
    <row r="7" spans="1:18">
      <c r="A7" s="17" t="s">
        <v>524</v>
      </c>
      <c r="B7" s="18" t="s">
        <v>35</v>
      </c>
      <c r="C7" s="19" t="s">
        <v>35</v>
      </c>
      <c r="D7" s="19" t="s">
        <v>35</v>
      </c>
      <c r="E7" s="19" t="s">
        <v>35</v>
      </c>
      <c r="F7" s="23" t="s">
        <v>35</v>
      </c>
      <c r="G7" s="23" t="s">
        <v>35</v>
      </c>
      <c r="H7" s="23" t="s">
        <v>35</v>
      </c>
      <c r="I7" s="29" t="s">
        <v>35</v>
      </c>
      <c r="J7" s="29" t="s">
        <v>35</v>
      </c>
      <c r="K7" s="19" t="s">
        <v>35</v>
      </c>
      <c r="L7" s="23" t="s">
        <v>35</v>
      </c>
      <c r="M7" s="20" t="s">
        <v>35</v>
      </c>
      <c r="N7" s="19" t="s">
        <v>35</v>
      </c>
      <c r="O7" s="20" t="s">
        <v>35</v>
      </c>
      <c r="P7" s="19" t="s">
        <v>35</v>
      </c>
      <c r="Q7" s="21"/>
      <c r="R7" s="21"/>
    </row>
    <row r="8" spans="1:18" ht="18.5" customHeight="1">
      <c r="B8" s="2" t="s">
        <v>526</v>
      </c>
      <c r="C8" s="2" t="s">
        <v>525</v>
      </c>
      <c r="D8" s="2" t="s">
        <v>527</v>
      </c>
      <c r="E8" s="2" t="s">
        <v>528</v>
      </c>
      <c r="F8" s="1">
        <v>1</v>
      </c>
      <c r="G8" s="1">
        <v>1</v>
      </c>
      <c r="I8" s="30">
        <v>12500</v>
      </c>
      <c r="J8" s="30">
        <v>35000</v>
      </c>
      <c r="K8" s="2" t="s">
        <v>529</v>
      </c>
      <c r="L8" s="1">
        <v>1</v>
      </c>
      <c r="M8" s="3">
        <f t="shared" ref="M8:M37" ca="1" si="0">NOW()</f>
        <v>46234.551883449072</v>
      </c>
      <c r="N8" s="2" t="s">
        <v>45</v>
      </c>
      <c r="O8" s="3">
        <f t="shared" ref="O8:O37" ca="1" si="1">M8</f>
        <v>46234.551883449072</v>
      </c>
      <c r="P8" s="2" t="str">
        <f t="shared" ref="P8:P37" si="2">N8</f>
        <v>sys_operator</v>
      </c>
      <c r="Q8" s="1" t="s">
        <v>31</v>
      </c>
      <c r="R8" s="1" t="s">
        <v>31</v>
      </c>
    </row>
    <row r="9" spans="1:18" ht="18.5" customHeight="1">
      <c r="B9" s="2" t="s">
        <v>531</v>
      </c>
      <c r="C9" s="2" t="s">
        <v>532</v>
      </c>
      <c r="D9" s="2" t="s">
        <v>527</v>
      </c>
      <c r="E9" s="2" t="s">
        <v>533</v>
      </c>
      <c r="F9" s="1">
        <v>1</v>
      </c>
      <c r="G9" s="1">
        <v>1</v>
      </c>
      <c r="I9" s="30">
        <v>15000</v>
      </c>
      <c r="J9" s="30">
        <v>42500</v>
      </c>
      <c r="K9" s="2" t="s">
        <v>529</v>
      </c>
      <c r="L9" s="1">
        <v>1</v>
      </c>
      <c r="M9" s="3">
        <f t="shared" ca="1" si="0"/>
        <v>46234.551883449072</v>
      </c>
      <c r="N9" s="2" t="s">
        <v>91</v>
      </c>
      <c r="O9" s="3">
        <f t="shared" ca="1" si="1"/>
        <v>46234.551883449072</v>
      </c>
      <c r="P9" s="2" t="str">
        <f t="shared" si="2"/>
        <v>sys_operator</v>
      </c>
      <c r="Q9" s="1" t="s">
        <v>31</v>
      </c>
      <c r="R9" s="1" t="s">
        <v>31</v>
      </c>
    </row>
    <row r="10" spans="1:18" ht="18.5" customHeight="1">
      <c r="B10" s="2" t="s">
        <v>534</v>
      </c>
      <c r="C10" s="2" t="s">
        <v>535</v>
      </c>
      <c r="D10" s="2" t="s">
        <v>527</v>
      </c>
      <c r="E10" s="2" t="s">
        <v>536</v>
      </c>
      <c r="F10" s="1">
        <v>1</v>
      </c>
      <c r="G10" s="1">
        <v>1</v>
      </c>
      <c r="I10" s="30">
        <v>17500</v>
      </c>
      <c r="J10" s="30">
        <v>50000</v>
      </c>
      <c r="K10" s="2" t="s">
        <v>529</v>
      </c>
      <c r="L10" s="1">
        <v>1</v>
      </c>
      <c r="M10" s="3">
        <f t="shared" ca="1" si="0"/>
        <v>46234.551883449072</v>
      </c>
      <c r="N10" s="2" t="s">
        <v>91</v>
      </c>
      <c r="O10" s="3">
        <f t="shared" ca="1" si="1"/>
        <v>46234.551883449072</v>
      </c>
      <c r="P10" s="2" t="str">
        <f t="shared" si="2"/>
        <v>sys_operator</v>
      </c>
      <c r="Q10" s="1" t="s">
        <v>31</v>
      </c>
      <c r="R10" s="1" t="s">
        <v>31</v>
      </c>
    </row>
    <row r="11" spans="1:18" ht="18.5" customHeight="1">
      <c r="B11" s="2" t="s">
        <v>537</v>
      </c>
      <c r="C11" s="2" t="s">
        <v>538</v>
      </c>
      <c r="D11" s="2" t="s">
        <v>527</v>
      </c>
      <c r="E11" s="2" t="s">
        <v>528</v>
      </c>
      <c r="F11" s="1">
        <v>1</v>
      </c>
      <c r="G11" s="1">
        <v>1</v>
      </c>
      <c r="I11" s="30">
        <v>7500</v>
      </c>
      <c r="J11" s="30">
        <v>25000</v>
      </c>
      <c r="K11" s="2" t="s">
        <v>529</v>
      </c>
      <c r="L11" s="1">
        <v>1</v>
      </c>
      <c r="M11" s="3">
        <f t="shared" ca="1" si="0"/>
        <v>46234.551883449072</v>
      </c>
      <c r="N11" s="2" t="s">
        <v>91</v>
      </c>
      <c r="O11" s="3">
        <f t="shared" ca="1" si="1"/>
        <v>46234.551883449072</v>
      </c>
      <c r="P11" s="2" t="str">
        <f t="shared" si="2"/>
        <v>sys_operator</v>
      </c>
      <c r="Q11" s="1" t="s">
        <v>31</v>
      </c>
      <c r="R11" s="1" t="s">
        <v>31</v>
      </c>
    </row>
    <row r="12" spans="1:18" ht="18.5" customHeight="1">
      <c r="B12" s="2" t="s">
        <v>539</v>
      </c>
      <c r="C12" s="2" t="s">
        <v>540</v>
      </c>
      <c r="D12" s="2" t="s">
        <v>527</v>
      </c>
      <c r="E12" s="2" t="s">
        <v>533</v>
      </c>
      <c r="F12" s="1">
        <v>1</v>
      </c>
      <c r="G12" s="1">
        <v>1</v>
      </c>
      <c r="I12" s="30">
        <v>10000</v>
      </c>
      <c r="J12" s="30">
        <v>32000</v>
      </c>
      <c r="K12" s="2" t="s">
        <v>529</v>
      </c>
      <c r="L12" s="1">
        <v>1</v>
      </c>
      <c r="M12" s="3">
        <f t="shared" ca="1" si="0"/>
        <v>46234.551883449072</v>
      </c>
      <c r="N12" s="2" t="s">
        <v>91</v>
      </c>
      <c r="O12" s="3">
        <f t="shared" ca="1" si="1"/>
        <v>46234.551883449072</v>
      </c>
      <c r="P12" s="2" t="str">
        <f t="shared" si="2"/>
        <v>sys_operator</v>
      </c>
      <c r="Q12" s="1" t="s">
        <v>31</v>
      </c>
      <c r="R12" s="1" t="s">
        <v>31</v>
      </c>
    </row>
    <row r="13" spans="1:18" ht="18.5" customHeight="1">
      <c r="B13" s="2" t="s">
        <v>541</v>
      </c>
      <c r="C13" s="2" t="s">
        <v>542</v>
      </c>
      <c r="D13" s="2" t="s">
        <v>527</v>
      </c>
      <c r="E13" s="2" t="s">
        <v>536</v>
      </c>
      <c r="F13" s="1">
        <v>1</v>
      </c>
      <c r="G13" s="1">
        <v>1</v>
      </c>
      <c r="I13" s="30">
        <v>12500</v>
      </c>
      <c r="J13" s="30">
        <v>40000</v>
      </c>
      <c r="K13" s="2" t="s">
        <v>529</v>
      </c>
      <c r="L13" s="1">
        <v>1</v>
      </c>
      <c r="M13" s="3">
        <f t="shared" ca="1" si="0"/>
        <v>46234.551883449072</v>
      </c>
      <c r="N13" s="2" t="s">
        <v>91</v>
      </c>
      <c r="O13" s="3">
        <f t="shared" ca="1" si="1"/>
        <v>46234.551883449072</v>
      </c>
      <c r="P13" s="2" t="str">
        <f t="shared" si="2"/>
        <v>sys_operator</v>
      </c>
      <c r="Q13" s="1" t="s">
        <v>31</v>
      </c>
      <c r="R13" s="1" t="s">
        <v>31</v>
      </c>
    </row>
    <row r="14" spans="1:18">
      <c r="B14" s="2" t="s">
        <v>543</v>
      </c>
      <c r="C14" s="2" t="s">
        <v>530</v>
      </c>
      <c r="D14" s="2" t="s">
        <v>545</v>
      </c>
      <c r="F14" s="1">
        <v>1</v>
      </c>
      <c r="G14" s="1">
        <v>1</v>
      </c>
      <c r="I14" s="30">
        <v>12500</v>
      </c>
      <c r="J14" s="30">
        <v>35000</v>
      </c>
      <c r="K14" s="2" t="s">
        <v>529</v>
      </c>
      <c r="L14" s="1">
        <v>1</v>
      </c>
      <c r="M14" s="3">
        <f t="shared" ca="1" si="0"/>
        <v>46234.551883449072</v>
      </c>
      <c r="N14" s="2" t="s">
        <v>91</v>
      </c>
      <c r="O14" s="3">
        <f t="shared" ca="1" si="1"/>
        <v>46234.551883449072</v>
      </c>
      <c r="P14" s="2" t="str">
        <f t="shared" si="2"/>
        <v>sys_operator</v>
      </c>
      <c r="Q14" s="1" t="s">
        <v>31</v>
      </c>
      <c r="R14" s="1" t="s">
        <v>31</v>
      </c>
    </row>
    <row r="15" spans="1:18">
      <c r="B15" s="2" t="s">
        <v>546</v>
      </c>
      <c r="C15" s="2" t="s">
        <v>544</v>
      </c>
      <c r="D15" s="2" t="s">
        <v>545</v>
      </c>
      <c r="F15" s="1">
        <v>1</v>
      </c>
      <c r="G15" s="1">
        <v>1</v>
      </c>
      <c r="I15" s="30">
        <v>15000</v>
      </c>
      <c r="J15" s="30">
        <v>42500</v>
      </c>
      <c r="K15" s="2" t="s">
        <v>529</v>
      </c>
      <c r="L15" s="1">
        <v>1</v>
      </c>
      <c r="M15" s="3">
        <f t="shared" ca="1" si="0"/>
        <v>46234.551883449072</v>
      </c>
      <c r="N15" s="2" t="s">
        <v>91</v>
      </c>
      <c r="O15" s="3">
        <f t="shared" ca="1" si="1"/>
        <v>46234.551883449072</v>
      </c>
      <c r="P15" s="2" t="str">
        <f t="shared" si="2"/>
        <v>sys_operator</v>
      </c>
      <c r="Q15" s="1" t="s">
        <v>31</v>
      </c>
      <c r="R15" s="1" t="s">
        <v>31</v>
      </c>
    </row>
    <row r="16" spans="1:18">
      <c r="B16" s="2" t="s">
        <v>548</v>
      </c>
      <c r="C16" s="2" t="s">
        <v>547</v>
      </c>
      <c r="D16" s="2" t="s">
        <v>545</v>
      </c>
      <c r="F16" s="1">
        <v>1</v>
      </c>
      <c r="G16" s="1">
        <v>1</v>
      </c>
      <c r="I16" s="30">
        <v>17500</v>
      </c>
      <c r="J16" s="30">
        <v>50000</v>
      </c>
      <c r="K16" s="2" t="s">
        <v>529</v>
      </c>
      <c r="L16" s="1">
        <v>1</v>
      </c>
      <c r="M16" s="3">
        <f t="shared" ca="1" si="0"/>
        <v>46234.551883449072</v>
      </c>
      <c r="N16" s="2" t="s">
        <v>91</v>
      </c>
      <c r="O16" s="3">
        <f t="shared" ca="1" si="1"/>
        <v>46234.551883449072</v>
      </c>
      <c r="P16" s="2" t="str">
        <f t="shared" si="2"/>
        <v>sys_operator</v>
      </c>
      <c r="Q16" s="1" t="s">
        <v>31</v>
      </c>
      <c r="R16" s="1" t="s">
        <v>31</v>
      </c>
    </row>
    <row r="17" spans="2:18">
      <c r="B17" s="2" t="s">
        <v>550</v>
      </c>
      <c r="C17" s="2" t="s">
        <v>549</v>
      </c>
      <c r="D17" s="2" t="s">
        <v>545</v>
      </c>
      <c r="F17" s="1">
        <v>1</v>
      </c>
      <c r="G17" s="1">
        <v>1</v>
      </c>
      <c r="I17" s="30">
        <v>10000</v>
      </c>
      <c r="J17" s="30">
        <v>30000</v>
      </c>
      <c r="K17" s="2" t="s">
        <v>529</v>
      </c>
      <c r="L17" s="1">
        <v>1</v>
      </c>
      <c r="M17" s="3">
        <f t="shared" ca="1" si="0"/>
        <v>46234.551883449072</v>
      </c>
      <c r="N17" s="2" t="s">
        <v>91</v>
      </c>
      <c r="O17" s="3">
        <f t="shared" ca="1" si="1"/>
        <v>46234.551883449072</v>
      </c>
      <c r="P17" s="2" t="str">
        <f t="shared" si="2"/>
        <v>sys_operator</v>
      </c>
      <c r="Q17" s="1" t="s">
        <v>31</v>
      </c>
      <c r="R17" s="1" t="s">
        <v>31</v>
      </c>
    </row>
    <row r="18" spans="2:18">
      <c r="B18" s="2" t="s">
        <v>552</v>
      </c>
      <c r="C18" s="2" t="s">
        <v>551</v>
      </c>
      <c r="D18" s="2" t="s">
        <v>545</v>
      </c>
      <c r="F18" s="1">
        <v>1</v>
      </c>
      <c r="G18" s="1">
        <v>1</v>
      </c>
      <c r="I18" s="30">
        <v>12500</v>
      </c>
      <c r="J18" s="30">
        <v>40000</v>
      </c>
      <c r="K18" s="2" t="s">
        <v>529</v>
      </c>
      <c r="L18" s="1">
        <v>1</v>
      </c>
      <c r="M18" s="3">
        <f t="shared" ca="1" si="0"/>
        <v>46234.551883449072</v>
      </c>
      <c r="N18" s="2" t="s">
        <v>91</v>
      </c>
      <c r="O18" s="3">
        <f t="shared" ca="1" si="1"/>
        <v>46234.551883449072</v>
      </c>
      <c r="P18" s="2" t="str">
        <f t="shared" si="2"/>
        <v>sys_operator</v>
      </c>
      <c r="Q18" s="1" t="s">
        <v>31</v>
      </c>
      <c r="R18" s="1" t="s">
        <v>31</v>
      </c>
    </row>
    <row r="19" spans="2:18">
      <c r="B19" s="2" t="s">
        <v>554</v>
      </c>
      <c r="C19" s="2" t="s">
        <v>553</v>
      </c>
      <c r="D19" s="2" t="s">
        <v>545</v>
      </c>
      <c r="F19" s="1">
        <v>1</v>
      </c>
      <c r="G19" s="1">
        <v>1</v>
      </c>
      <c r="I19" s="30">
        <v>15000</v>
      </c>
      <c r="J19" s="30">
        <v>50000</v>
      </c>
      <c r="K19" s="2" t="s">
        <v>529</v>
      </c>
      <c r="L19" s="1">
        <v>1</v>
      </c>
      <c r="M19" s="3">
        <f t="shared" ca="1" si="0"/>
        <v>46234.551883449072</v>
      </c>
      <c r="N19" s="2" t="s">
        <v>91</v>
      </c>
      <c r="O19" s="3">
        <f t="shared" ca="1" si="1"/>
        <v>46234.551883449072</v>
      </c>
      <c r="P19" s="2" t="str">
        <f t="shared" si="2"/>
        <v>sys_operator</v>
      </c>
      <c r="Q19" s="1" t="s">
        <v>31</v>
      </c>
      <c r="R19" s="1" t="s">
        <v>31</v>
      </c>
    </row>
    <row r="20" spans="2:18" ht="18.5" customHeight="1">
      <c r="B20" s="2" t="s">
        <v>556</v>
      </c>
      <c r="C20" s="2" t="s">
        <v>557</v>
      </c>
      <c r="D20" s="2" t="s">
        <v>555</v>
      </c>
      <c r="F20" s="1">
        <v>0</v>
      </c>
      <c r="G20" s="1">
        <v>0</v>
      </c>
      <c r="I20" s="30">
        <v>3000</v>
      </c>
      <c r="J20" s="30">
        <v>15000</v>
      </c>
      <c r="K20" s="2" t="s">
        <v>529</v>
      </c>
      <c r="L20" s="1">
        <v>1</v>
      </c>
      <c r="M20" s="3">
        <f t="shared" ca="1" si="0"/>
        <v>46234.551883449072</v>
      </c>
      <c r="N20" s="2" t="s">
        <v>91</v>
      </c>
      <c r="O20" s="3">
        <f t="shared" ca="1" si="1"/>
        <v>46234.551883449072</v>
      </c>
      <c r="P20" s="2" t="str">
        <f t="shared" si="2"/>
        <v>sys_operator</v>
      </c>
      <c r="Q20" s="1" t="s">
        <v>31</v>
      </c>
      <c r="R20" s="1" t="s">
        <v>31</v>
      </c>
    </row>
    <row r="21" spans="2:18" ht="18.5" customHeight="1">
      <c r="B21" s="2" t="s">
        <v>559</v>
      </c>
      <c r="C21" s="2" t="s">
        <v>560</v>
      </c>
      <c r="D21" s="2" t="s">
        <v>555</v>
      </c>
      <c r="F21" s="1">
        <v>0</v>
      </c>
      <c r="G21" s="1">
        <v>0</v>
      </c>
      <c r="I21" s="30">
        <v>5000</v>
      </c>
      <c r="J21" s="30">
        <v>20000</v>
      </c>
      <c r="K21" s="2" t="s">
        <v>529</v>
      </c>
      <c r="L21" s="1">
        <v>1</v>
      </c>
      <c r="M21" s="3">
        <f t="shared" ca="1" si="0"/>
        <v>46234.551883449072</v>
      </c>
      <c r="N21" s="2" t="s">
        <v>91</v>
      </c>
      <c r="O21" s="3">
        <f t="shared" ca="1" si="1"/>
        <v>46234.551883449072</v>
      </c>
      <c r="P21" s="2" t="str">
        <f t="shared" si="2"/>
        <v>sys_operator</v>
      </c>
      <c r="Q21" s="1" t="s">
        <v>31</v>
      </c>
      <c r="R21" s="1" t="s">
        <v>31</v>
      </c>
    </row>
    <row r="22" spans="2:18" ht="18.5" customHeight="1">
      <c r="B22" s="2" t="s">
        <v>561</v>
      </c>
      <c r="C22" s="2" t="s">
        <v>562</v>
      </c>
      <c r="D22" s="2" t="s">
        <v>555</v>
      </c>
      <c r="F22" s="1">
        <v>0</v>
      </c>
      <c r="G22" s="1">
        <v>0</v>
      </c>
      <c r="I22" s="30">
        <v>7000</v>
      </c>
      <c r="J22" s="30">
        <v>25000</v>
      </c>
      <c r="K22" s="2" t="s">
        <v>529</v>
      </c>
      <c r="L22" s="1">
        <v>1</v>
      </c>
      <c r="M22" s="3">
        <f t="shared" ca="1" si="0"/>
        <v>46234.551883449072</v>
      </c>
      <c r="N22" s="2" t="s">
        <v>91</v>
      </c>
      <c r="O22" s="3">
        <f t="shared" ca="1" si="1"/>
        <v>46234.551883449072</v>
      </c>
      <c r="P22" s="2" t="str">
        <f t="shared" si="2"/>
        <v>sys_operator</v>
      </c>
      <c r="Q22" s="1" t="s">
        <v>31</v>
      </c>
      <c r="R22" s="1" t="s">
        <v>31</v>
      </c>
    </row>
    <row r="23" spans="2:18" ht="33" customHeight="1">
      <c r="B23" s="2" t="s">
        <v>563</v>
      </c>
      <c r="C23" s="2" t="s">
        <v>558</v>
      </c>
      <c r="D23" s="2" t="s">
        <v>555</v>
      </c>
      <c r="F23" s="1">
        <v>1</v>
      </c>
      <c r="G23" s="1">
        <v>0</v>
      </c>
      <c r="I23" s="30">
        <v>6000</v>
      </c>
      <c r="J23" s="30">
        <v>20000</v>
      </c>
      <c r="K23" s="2" t="s">
        <v>529</v>
      </c>
      <c r="L23" s="1">
        <v>1</v>
      </c>
      <c r="M23" s="3">
        <f t="shared" ca="1" si="0"/>
        <v>46234.551883449072</v>
      </c>
      <c r="N23" s="2" t="s">
        <v>91</v>
      </c>
      <c r="O23" s="3">
        <f t="shared" ca="1" si="1"/>
        <v>46234.551883449072</v>
      </c>
      <c r="P23" s="2" t="str">
        <f t="shared" si="2"/>
        <v>sys_operator</v>
      </c>
      <c r="Q23" s="1" t="s">
        <v>31</v>
      </c>
      <c r="R23" s="1" t="s">
        <v>31</v>
      </c>
    </row>
    <row r="24" spans="2:18" ht="33" customHeight="1">
      <c r="B24" s="2" t="s">
        <v>565</v>
      </c>
      <c r="C24" s="2" t="s">
        <v>566</v>
      </c>
      <c r="D24" s="2" t="s">
        <v>555</v>
      </c>
      <c r="F24" s="1">
        <v>1</v>
      </c>
      <c r="G24" s="1">
        <v>0</v>
      </c>
      <c r="I24" s="30">
        <v>8000</v>
      </c>
      <c r="J24" s="30">
        <v>30000</v>
      </c>
      <c r="K24" s="2" t="s">
        <v>529</v>
      </c>
      <c r="L24" s="1">
        <v>1</v>
      </c>
      <c r="M24" s="3">
        <f t="shared" ca="1" si="0"/>
        <v>46234.551883449072</v>
      </c>
      <c r="N24" s="2" t="s">
        <v>91</v>
      </c>
      <c r="O24" s="3">
        <f t="shared" ca="1" si="1"/>
        <v>46234.551883449072</v>
      </c>
      <c r="P24" s="2" t="str">
        <f t="shared" si="2"/>
        <v>sys_operator</v>
      </c>
      <c r="Q24" s="1" t="s">
        <v>31</v>
      </c>
      <c r="R24" s="1" t="s">
        <v>31</v>
      </c>
    </row>
    <row r="25" spans="2:18" ht="33" customHeight="1">
      <c r="B25" s="2" t="s">
        <v>567</v>
      </c>
      <c r="C25" s="2" t="s">
        <v>568</v>
      </c>
      <c r="D25" s="2" t="s">
        <v>555</v>
      </c>
      <c r="F25" s="1">
        <v>1</v>
      </c>
      <c r="G25" s="1">
        <v>0</v>
      </c>
      <c r="I25" s="30">
        <v>12000</v>
      </c>
      <c r="J25" s="30">
        <v>40000</v>
      </c>
      <c r="K25" s="2" t="s">
        <v>529</v>
      </c>
      <c r="L25" s="1">
        <v>1</v>
      </c>
      <c r="M25" s="3">
        <f t="shared" ca="1" si="0"/>
        <v>46234.551883449072</v>
      </c>
      <c r="N25" s="2" t="s">
        <v>91</v>
      </c>
      <c r="O25" s="3">
        <f t="shared" ca="1" si="1"/>
        <v>46234.551883449072</v>
      </c>
      <c r="P25" s="2" t="str">
        <f t="shared" si="2"/>
        <v>sys_operator</v>
      </c>
      <c r="Q25" s="1" t="s">
        <v>31</v>
      </c>
      <c r="R25" s="1" t="s">
        <v>31</v>
      </c>
    </row>
    <row r="26" spans="2:18" ht="18.5" customHeight="1">
      <c r="B26" s="2" t="s">
        <v>569</v>
      </c>
      <c r="C26" s="2" t="s">
        <v>570</v>
      </c>
      <c r="D26" s="2" t="s">
        <v>555</v>
      </c>
      <c r="F26" s="1">
        <v>0</v>
      </c>
      <c r="G26" s="1">
        <v>0</v>
      </c>
      <c r="I26" s="30">
        <f>I20-1250</f>
        <v>1750</v>
      </c>
      <c r="J26" s="30">
        <f t="shared" ref="J26:J31" si="3">J20-5000</f>
        <v>10000</v>
      </c>
      <c r="K26" s="2" t="s">
        <v>529</v>
      </c>
      <c r="L26" s="1">
        <v>1</v>
      </c>
      <c r="M26" s="3">
        <f t="shared" ca="1" si="0"/>
        <v>46234.551883449072</v>
      </c>
      <c r="N26" s="2" t="s">
        <v>91</v>
      </c>
      <c r="O26" s="3">
        <f t="shared" ca="1" si="1"/>
        <v>46234.551883449072</v>
      </c>
      <c r="P26" s="2" t="str">
        <f t="shared" si="2"/>
        <v>sys_operator</v>
      </c>
      <c r="Q26" s="1" t="s">
        <v>31</v>
      </c>
      <c r="R26" s="1" t="s">
        <v>31</v>
      </c>
    </row>
    <row r="27" spans="2:18" ht="18.5" customHeight="1">
      <c r="B27" s="2" t="s">
        <v>571</v>
      </c>
      <c r="C27" s="2" t="s">
        <v>572</v>
      </c>
      <c r="D27" s="2" t="s">
        <v>555</v>
      </c>
      <c r="F27" s="1">
        <v>0</v>
      </c>
      <c r="G27" s="1">
        <v>0</v>
      </c>
      <c r="I27" s="30">
        <f>I21-1250</f>
        <v>3750</v>
      </c>
      <c r="J27" s="30">
        <f t="shared" si="3"/>
        <v>15000</v>
      </c>
      <c r="K27" s="2" t="s">
        <v>529</v>
      </c>
      <c r="L27" s="1">
        <v>1</v>
      </c>
      <c r="M27" s="3">
        <f t="shared" ca="1" si="0"/>
        <v>46234.551883449072</v>
      </c>
      <c r="N27" s="2" t="s">
        <v>91</v>
      </c>
      <c r="O27" s="3">
        <f t="shared" ca="1" si="1"/>
        <v>46234.551883449072</v>
      </c>
      <c r="P27" s="2" t="str">
        <f t="shared" si="2"/>
        <v>sys_operator</v>
      </c>
      <c r="Q27" s="1" t="s">
        <v>31</v>
      </c>
      <c r="R27" s="1" t="s">
        <v>31</v>
      </c>
    </row>
    <row r="28" spans="2:18" ht="18.5" customHeight="1">
      <c r="B28" s="2" t="s">
        <v>573</v>
      </c>
      <c r="C28" s="2" t="s">
        <v>574</v>
      </c>
      <c r="D28" s="2" t="s">
        <v>555</v>
      </c>
      <c r="F28" s="1">
        <v>0</v>
      </c>
      <c r="G28" s="1">
        <v>0</v>
      </c>
      <c r="I28" s="30">
        <f>I22-1250</f>
        <v>5750</v>
      </c>
      <c r="J28" s="30">
        <f t="shared" si="3"/>
        <v>20000</v>
      </c>
      <c r="K28" s="2" t="s">
        <v>529</v>
      </c>
      <c r="L28" s="1">
        <v>1</v>
      </c>
      <c r="M28" s="3">
        <f t="shared" ca="1" si="0"/>
        <v>46234.551883449072</v>
      </c>
      <c r="N28" s="2" t="s">
        <v>91</v>
      </c>
      <c r="O28" s="3">
        <f t="shared" ca="1" si="1"/>
        <v>46234.551883449072</v>
      </c>
      <c r="P28" s="2" t="str">
        <f t="shared" si="2"/>
        <v>sys_operator</v>
      </c>
      <c r="Q28" s="1" t="s">
        <v>31</v>
      </c>
      <c r="R28" s="1" t="s">
        <v>31</v>
      </c>
    </row>
    <row r="29" spans="2:18" ht="37" customHeight="1">
      <c r="B29" s="2" t="s">
        <v>575</v>
      </c>
      <c r="C29" s="2" t="s">
        <v>564</v>
      </c>
      <c r="D29" s="2" t="s">
        <v>555</v>
      </c>
      <c r="F29" s="1">
        <v>1</v>
      </c>
      <c r="G29" s="1">
        <v>0</v>
      </c>
      <c r="I29" s="30">
        <f>I23-1200</f>
        <v>4800</v>
      </c>
      <c r="J29" s="30">
        <f t="shared" si="3"/>
        <v>15000</v>
      </c>
      <c r="K29" s="2" t="s">
        <v>529</v>
      </c>
      <c r="L29" s="1">
        <v>1</v>
      </c>
      <c r="M29" s="3">
        <f t="shared" ca="1" si="0"/>
        <v>46234.551883449072</v>
      </c>
      <c r="N29" s="2" t="s">
        <v>91</v>
      </c>
      <c r="O29" s="3">
        <f t="shared" ca="1" si="1"/>
        <v>46234.551883449072</v>
      </c>
      <c r="P29" s="2" t="str">
        <f t="shared" si="2"/>
        <v>sys_operator</v>
      </c>
      <c r="Q29" s="1" t="s">
        <v>31</v>
      </c>
      <c r="R29" s="1" t="s">
        <v>31</v>
      </c>
    </row>
    <row r="30" spans="2:18" ht="37" customHeight="1">
      <c r="B30" s="2" t="s">
        <v>577</v>
      </c>
      <c r="C30" s="2" t="s">
        <v>578</v>
      </c>
      <c r="D30" s="2" t="s">
        <v>555</v>
      </c>
      <c r="F30" s="1">
        <v>1</v>
      </c>
      <c r="G30" s="1">
        <v>0</v>
      </c>
      <c r="I30" s="30">
        <f>I24-1200</f>
        <v>6800</v>
      </c>
      <c r="J30" s="30">
        <f t="shared" si="3"/>
        <v>25000</v>
      </c>
      <c r="K30" s="2" t="s">
        <v>529</v>
      </c>
      <c r="L30" s="1">
        <v>1</v>
      </c>
      <c r="M30" s="3">
        <f t="shared" ca="1" si="0"/>
        <v>46234.551883449072</v>
      </c>
      <c r="N30" s="2" t="s">
        <v>91</v>
      </c>
      <c r="O30" s="3">
        <f t="shared" ca="1" si="1"/>
        <v>46234.551883449072</v>
      </c>
      <c r="P30" s="2" t="str">
        <f t="shared" si="2"/>
        <v>sys_operator</v>
      </c>
      <c r="Q30" s="1" t="s">
        <v>31</v>
      </c>
      <c r="R30" s="1" t="s">
        <v>31</v>
      </c>
    </row>
    <row r="31" spans="2:18" ht="37" customHeight="1">
      <c r="B31" s="2" t="s">
        <v>579</v>
      </c>
      <c r="C31" s="2" t="s">
        <v>580</v>
      </c>
      <c r="D31" s="2" t="s">
        <v>555</v>
      </c>
      <c r="F31" s="1">
        <v>1</v>
      </c>
      <c r="G31" s="1">
        <v>0</v>
      </c>
      <c r="I31" s="30">
        <f>I25-1200</f>
        <v>10800</v>
      </c>
      <c r="J31" s="30">
        <f t="shared" si="3"/>
        <v>35000</v>
      </c>
      <c r="K31" s="2" t="s">
        <v>529</v>
      </c>
      <c r="L31" s="1">
        <v>1</v>
      </c>
      <c r="M31" s="3">
        <f t="shared" ca="1" si="0"/>
        <v>46234.551883449072</v>
      </c>
      <c r="N31" s="2" t="s">
        <v>91</v>
      </c>
      <c r="O31" s="3">
        <f t="shared" ca="1" si="1"/>
        <v>46234.551883449072</v>
      </c>
      <c r="P31" s="2" t="str">
        <f t="shared" si="2"/>
        <v>sys_operator</v>
      </c>
      <c r="Q31" s="1" t="s">
        <v>31</v>
      </c>
      <c r="R31" s="1" t="s">
        <v>31</v>
      </c>
    </row>
    <row r="32" spans="2:18">
      <c r="B32" s="2" t="s">
        <v>581</v>
      </c>
      <c r="C32" s="2" t="s">
        <v>576</v>
      </c>
      <c r="D32" s="2" t="s">
        <v>583</v>
      </c>
      <c r="F32" s="1">
        <v>1</v>
      </c>
      <c r="G32" s="1">
        <v>1</v>
      </c>
      <c r="H32" s="1">
        <v>30</v>
      </c>
      <c r="I32" s="30">
        <v>12500</v>
      </c>
      <c r="J32" s="30">
        <v>40000</v>
      </c>
      <c r="K32" s="2" t="s">
        <v>529</v>
      </c>
      <c r="L32" s="1">
        <v>1</v>
      </c>
      <c r="M32" s="3">
        <f t="shared" ca="1" si="0"/>
        <v>46234.551883449072</v>
      </c>
      <c r="N32" s="2" t="s">
        <v>91</v>
      </c>
      <c r="O32" s="3">
        <f t="shared" ca="1" si="1"/>
        <v>46234.551883449072</v>
      </c>
      <c r="P32" s="2" t="str">
        <f t="shared" si="2"/>
        <v>sys_operator</v>
      </c>
      <c r="Q32" s="1" t="s">
        <v>31</v>
      </c>
      <c r="R32" s="1" t="s">
        <v>31</v>
      </c>
    </row>
    <row r="33" spans="2:18">
      <c r="B33" s="2" t="s">
        <v>584</v>
      </c>
      <c r="C33" s="2" t="s">
        <v>582</v>
      </c>
      <c r="D33" s="2" t="s">
        <v>583</v>
      </c>
      <c r="F33" s="1">
        <v>1</v>
      </c>
      <c r="G33" s="1">
        <v>1</v>
      </c>
      <c r="H33" s="1">
        <v>60</v>
      </c>
      <c r="I33" s="30">
        <v>15000</v>
      </c>
      <c r="J33" s="30">
        <v>50000</v>
      </c>
      <c r="K33" s="2" t="s">
        <v>529</v>
      </c>
      <c r="L33" s="1">
        <v>1</v>
      </c>
      <c r="M33" s="3">
        <f t="shared" ca="1" si="0"/>
        <v>46234.551883449072</v>
      </c>
      <c r="N33" s="2" t="s">
        <v>91</v>
      </c>
      <c r="O33" s="3">
        <f t="shared" ca="1" si="1"/>
        <v>46234.551883449072</v>
      </c>
      <c r="P33" s="2" t="str">
        <f t="shared" si="2"/>
        <v>sys_operator</v>
      </c>
      <c r="Q33" s="1" t="s">
        <v>31</v>
      </c>
      <c r="R33" s="1" t="s">
        <v>31</v>
      </c>
    </row>
    <row r="34" spans="2:18">
      <c r="B34" s="2" t="s">
        <v>586</v>
      </c>
      <c r="C34" s="2" t="s">
        <v>585</v>
      </c>
      <c r="D34" s="2" t="s">
        <v>583</v>
      </c>
      <c r="F34" s="1">
        <v>1</v>
      </c>
      <c r="G34" s="1">
        <v>1</v>
      </c>
      <c r="H34" s="1">
        <v>120</v>
      </c>
      <c r="I34" s="30">
        <v>17500</v>
      </c>
      <c r="J34" s="30">
        <v>60000</v>
      </c>
      <c r="K34" s="2" t="s">
        <v>529</v>
      </c>
      <c r="L34" s="1">
        <v>1</v>
      </c>
      <c r="M34" s="3">
        <f t="shared" ca="1" si="0"/>
        <v>46234.551883449072</v>
      </c>
      <c r="N34" s="2" t="s">
        <v>91</v>
      </c>
      <c r="O34" s="3">
        <f t="shared" ca="1" si="1"/>
        <v>46234.551883449072</v>
      </c>
      <c r="P34" s="2" t="str">
        <f t="shared" si="2"/>
        <v>sys_operator</v>
      </c>
      <c r="Q34" s="1" t="s">
        <v>31</v>
      </c>
      <c r="R34" s="1" t="s">
        <v>31</v>
      </c>
    </row>
    <row r="35" spans="2:18">
      <c r="B35" s="2" t="s">
        <v>588</v>
      </c>
      <c r="C35" s="2" t="s">
        <v>587</v>
      </c>
      <c r="D35" s="2" t="s">
        <v>583</v>
      </c>
      <c r="F35" s="1">
        <v>1</v>
      </c>
      <c r="G35" s="1">
        <v>1</v>
      </c>
      <c r="H35" s="1">
        <v>30</v>
      </c>
      <c r="I35" s="30">
        <f>I32-5000</f>
        <v>7500</v>
      </c>
      <c r="J35" s="30">
        <v>25000</v>
      </c>
      <c r="K35" s="2" t="s">
        <v>529</v>
      </c>
      <c r="L35" s="1">
        <v>1</v>
      </c>
      <c r="M35" s="3">
        <f t="shared" ca="1" si="0"/>
        <v>46234.551883449072</v>
      </c>
      <c r="N35" s="2" t="s">
        <v>91</v>
      </c>
      <c r="O35" s="3">
        <f t="shared" ca="1" si="1"/>
        <v>46234.551883449072</v>
      </c>
      <c r="P35" s="2" t="str">
        <f t="shared" si="2"/>
        <v>sys_operator</v>
      </c>
      <c r="Q35" s="1" t="s">
        <v>31</v>
      </c>
      <c r="R35" s="1" t="s">
        <v>31</v>
      </c>
    </row>
    <row r="36" spans="2:18">
      <c r="B36" s="2" t="s">
        <v>590</v>
      </c>
      <c r="C36" s="2" t="s">
        <v>589</v>
      </c>
      <c r="D36" s="2" t="s">
        <v>583</v>
      </c>
      <c r="F36" s="1">
        <v>1</v>
      </c>
      <c r="G36" s="1">
        <v>1</v>
      </c>
      <c r="H36" s="1">
        <v>60</v>
      </c>
      <c r="I36" s="30">
        <f>I33-5000</f>
        <v>10000</v>
      </c>
      <c r="J36" s="30">
        <v>35000</v>
      </c>
      <c r="K36" s="2" t="s">
        <v>529</v>
      </c>
      <c r="L36" s="1">
        <v>1</v>
      </c>
      <c r="M36" s="3">
        <f t="shared" ca="1" si="0"/>
        <v>46234.551883449072</v>
      </c>
      <c r="N36" s="2" t="s">
        <v>91</v>
      </c>
      <c r="O36" s="3">
        <f t="shared" ca="1" si="1"/>
        <v>46234.551883449072</v>
      </c>
      <c r="P36" s="2" t="str">
        <f t="shared" si="2"/>
        <v>sys_operator</v>
      </c>
      <c r="Q36" s="1" t="s">
        <v>31</v>
      </c>
      <c r="R36" s="1" t="s">
        <v>31</v>
      </c>
    </row>
    <row r="37" spans="2:18">
      <c r="B37" s="2" t="s">
        <v>592</v>
      </c>
      <c r="C37" s="2" t="s">
        <v>591</v>
      </c>
      <c r="D37" s="2" t="s">
        <v>583</v>
      </c>
      <c r="F37" s="1">
        <v>1</v>
      </c>
      <c r="G37" s="1">
        <v>1</v>
      </c>
      <c r="H37" s="1">
        <v>120</v>
      </c>
      <c r="I37" s="30">
        <f>I34-5000</f>
        <v>12500</v>
      </c>
      <c r="J37" s="30">
        <v>45000</v>
      </c>
      <c r="K37" s="2" t="s">
        <v>529</v>
      </c>
      <c r="L37" s="1">
        <v>1</v>
      </c>
      <c r="M37" s="3">
        <f t="shared" ca="1" si="0"/>
        <v>46234.551883449072</v>
      </c>
      <c r="N37" s="2" t="s">
        <v>91</v>
      </c>
      <c r="O37" s="3">
        <f t="shared" ca="1" si="1"/>
        <v>46234.551883449072</v>
      </c>
      <c r="P37" s="2" t="str">
        <f t="shared" si="2"/>
        <v>sys_operator</v>
      </c>
      <c r="Q37" s="1" t="s">
        <v>31</v>
      </c>
      <c r="R37" s="1" t="s">
        <v>31</v>
      </c>
    </row>
    <row r="41" spans="2:18">
      <c r="C41" s="24"/>
    </row>
    <row r="42" spans="2:18">
      <c r="C42" s="24"/>
    </row>
    <row r="43" spans="2:18">
      <c r="C43" s="24"/>
    </row>
  </sheetData>
  <phoneticPr fontId="2"/>
  <conditionalFormatting sqref="B7:P7">
    <cfRule type="expression" dxfId="23" priority="1">
      <formula>AND(ISNUMBER(FIND("K",B6)),B7="*")</formula>
    </cfRule>
    <cfRule type="expression" dxfId="22" priority="2">
      <formula>AND(ISNUMBER(FIND("N",B6)),B7="*")</formula>
    </cfRule>
    <cfRule type="expression" dxfId="21" priority="3">
      <formula>B7="*"</formula>
    </cfRule>
    <cfRule type="expression" dxfId="20" priority="4">
      <formula>B7=""</formula>
    </cfRule>
  </conditionalFormatting>
  <dataValidations disablePrompts="1" count="1">
    <dataValidation type="list" allowBlank="1" showInputMessage="1" showErrorMessage="1" sqref="B7:P7" xr:uid="{00000000-0002-0000-0300-000000000000}">
      <formula1>"*,"</formula1>
    </dataValidation>
  </dataValidations>
  <pageMargins left="0.75" right="0.75" top="0.75" bottom="0.5" header="0.5" footer="0.7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0"/>
  <sheetViews>
    <sheetView workbookViewId="0">
      <pane xSplit="3" ySplit="7" topLeftCell="D8" activePane="bottomRight" state="frozenSplit"/>
      <selection activeCell="D1" sqref="D1"/>
      <selection pane="topRight"/>
      <selection pane="bottomLeft"/>
      <selection pane="bottomRight" activeCell="D1" sqref="D1"/>
    </sheetView>
  </sheetViews>
  <sheetFormatPr defaultColWidth="9.1796875" defaultRowHeight="14.5"/>
  <cols>
    <col min="1" max="1" width="18.7265625" style="1" customWidth="1"/>
    <col min="2" max="2" width="24.7265625" style="2" customWidth="1"/>
    <col min="3" max="3" width="18.7265625" style="2" customWidth="1"/>
    <col min="4" max="4" width="28.81640625" style="2" customWidth="1"/>
    <col min="5" max="5" width="59.81640625" style="2" customWidth="1"/>
    <col min="6" max="6" width="22.7265625" style="3" customWidth="1"/>
    <col min="7" max="7" width="30.7265625" style="2" customWidth="1"/>
    <col min="8" max="8" width="22.7265625" style="3" customWidth="1"/>
    <col min="9" max="9" width="30.7265625" style="2" customWidth="1"/>
    <col min="10" max="10" width="10.7265625" style="1" customWidth="1"/>
    <col min="11" max="11" width="48.7265625" style="1" customWidth="1"/>
    <col min="12" max="12" width="9.1796875" style="1" customWidth="1"/>
    <col min="13" max="16384" width="9.1796875" style="1"/>
  </cols>
  <sheetData>
    <row r="1" spans="1:11" s="4" customFormat="1">
      <c r="A1" s="5" t="s">
        <v>0</v>
      </c>
      <c r="B1" s="6" t="s">
        <v>593</v>
      </c>
      <c r="C1" s="7" t="s">
        <v>2</v>
      </c>
      <c r="D1" s="6" t="s">
        <v>594</v>
      </c>
      <c r="E1" s="9"/>
      <c r="F1" s="8"/>
      <c r="G1" s="9"/>
      <c r="H1" s="8"/>
      <c r="I1" s="9"/>
    </row>
    <row r="2" spans="1:11" s="4" customFormat="1">
      <c r="A2" s="5" t="s">
        <v>4</v>
      </c>
      <c r="B2" s="33" t="s">
        <v>595</v>
      </c>
      <c r="C2" s="9"/>
      <c r="D2" s="9"/>
      <c r="E2" s="9"/>
      <c r="F2" s="8"/>
      <c r="G2" s="9"/>
      <c r="H2" s="8"/>
      <c r="I2" s="9"/>
    </row>
    <row r="3" spans="1:11" s="4" customFormat="1">
      <c r="A3" s="10" t="s">
        <v>6</v>
      </c>
      <c r="B3" s="11" t="s">
        <v>596</v>
      </c>
      <c r="C3" s="11" t="s">
        <v>598</v>
      </c>
      <c r="D3" s="12" t="s">
        <v>597</v>
      </c>
      <c r="E3" s="12" t="s">
        <v>599</v>
      </c>
      <c r="F3" s="13" t="s">
        <v>10</v>
      </c>
      <c r="G3" s="12" t="s">
        <v>11</v>
      </c>
      <c r="H3" s="13" t="s">
        <v>12</v>
      </c>
      <c r="I3" s="12" t="s">
        <v>13</v>
      </c>
      <c r="J3" s="14" t="s">
        <v>14</v>
      </c>
      <c r="K3" s="14" t="s">
        <v>15</v>
      </c>
    </row>
    <row r="4" spans="1:11" s="4" customFormat="1">
      <c r="A4" s="10" t="s">
        <v>16</v>
      </c>
      <c r="B4" s="11" t="s">
        <v>600</v>
      </c>
      <c r="C4" s="11" t="s">
        <v>601</v>
      </c>
      <c r="D4" s="12" t="s">
        <v>602</v>
      </c>
      <c r="E4" s="12" t="s">
        <v>603</v>
      </c>
      <c r="F4" s="15" t="s">
        <v>20</v>
      </c>
      <c r="G4" s="12" t="s">
        <v>21</v>
      </c>
      <c r="H4" s="15" t="s">
        <v>22</v>
      </c>
      <c r="I4" s="12" t="s">
        <v>23</v>
      </c>
      <c r="J4" s="16"/>
      <c r="K4" s="16"/>
    </row>
    <row r="5" spans="1:11" s="4" customFormat="1">
      <c r="A5" s="10" t="s">
        <v>24</v>
      </c>
      <c r="B5" s="11" t="s">
        <v>26</v>
      </c>
      <c r="C5" s="11" t="s">
        <v>26</v>
      </c>
      <c r="D5" s="12" t="s">
        <v>197</v>
      </c>
      <c r="E5" s="12" t="s">
        <v>604</v>
      </c>
      <c r="F5" s="13" t="s">
        <v>27</v>
      </c>
      <c r="G5" s="12" t="s">
        <v>28</v>
      </c>
      <c r="H5" s="13" t="s">
        <v>27</v>
      </c>
      <c r="I5" s="12" t="s">
        <v>28</v>
      </c>
      <c r="J5" s="16"/>
      <c r="K5" s="16"/>
    </row>
    <row r="6" spans="1:11" s="4" customFormat="1">
      <c r="A6" s="5" t="s">
        <v>29</v>
      </c>
      <c r="B6" s="11" t="s">
        <v>30</v>
      </c>
      <c r="C6" s="11" t="s">
        <v>30</v>
      </c>
      <c r="D6" s="12" t="s">
        <v>31</v>
      </c>
      <c r="E6" s="12" t="s">
        <v>32</v>
      </c>
      <c r="F6" s="13" t="s">
        <v>33</v>
      </c>
      <c r="G6" s="12" t="s">
        <v>31</v>
      </c>
      <c r="H6" s="13" t="s">
        <v>33</v>
      </c>
      <c r="I6" s="12" t="s">
        <v>31</v>
      </c>
      <c r="J6" s="16"/>
      <c r="K6" s="16"/>
    </row>
    <row r="7" spans="1:11">
      <c r="A7" s="17" t="s">
        <v>34</v>
      </c>
      <c r="B7" s="18" t="s">
        <v>35</v>
      </c>
      <c r="C7" s="18" t="s">
        <v>35</v>
      </c>
      <c r="D7" s="19" t="s">
        <v>35</v>
      </c>
      <c r="E7" s="19" t="s">
        <v>35</v>
      </c>
      <c r="F7" s="20" t="s">
        <v>35</v>
      </c>
      <c r="G7" s="19" t="s">
        <v>35</v>
      </c>
      <c r="H7" s="20" t="s">
        <v>35</v>
      </c>
      <c r="I7" s="19" t="s">
        <v>35</v>
      </c>
      <c r="J7" s="21"/>
      <c r="K7" s="21"/>
    </row>
    <row r="8" spans="1:11">
      <c r="B8" s="2" t="s">
        <v>605</v>
      </c>
      <c r="C8" s="2" t="s">
        <v>527</v>
      </c>
      <c r="D8" s="2" t="s">
        <v>607</v>
      </c>
      <c r="E8" s="2" t="s">
        <v>606</v>
      </c>
      <c r="F8" s="3">
        <f t="shared" ref="F8:F29" ca="1" si="0">NOW()</f>
        <v>46234.551883449072</v>
      </c>
      <c r="G8" s="2" t="s">
        <v>608</v>
      </c>
      <c r="H8" s="3">
        <f t="shared" ref="H8:H29" ca="1" si="1">F8</f>
        <v>46234.551883449072</v>
      </c>
      <c r="I8" s="2" t="str">
        <f t="shared" ref="I8:I29" si="2">G8</f>
        <v>sys_admin</v>
      </c>
      <c r="J8" s="34" t="s">
        <v>36</v>
      </c>
      <c r="K8" s="1" t="s">
        <v>31</v>
      </c>
    </row>
    <row r="9" spans="1:11" ht="18" customHeight="1">
      <c r="B9" s="2" t="s">
        <v>605</v>
      </c>
      <c r="C9" s="2" t="s">
        <v>545</v>
      </c>
      <c r="D9" s="2" t="s">
        <v>609</v>
      </c>
      <c r="E9" s="2" t="s">
        <v>611</v>
      </c>
      <c r="F9" s="3">
        <f t="shared" ca="1" si="0"/>
        <v>46234.551883449072</v>
      </c>
      <c r="G9" s="2" t="s">
        <v>610</v>
      </c>
      <c r="H9" s="3">
        <f t="shared" ca="1" si="1"/>
        <v>46234.551883449072</v>
      </c>
      <c r="I9" s="2" t="str">
        <f t="shared" si="2"/>
        <v>sys_admin</v>
      </c>
      <c r="J9" s="34" t="s">
        <v>36</v>
      </c>
      <c r="K9" s="1" t="s">
        <v>31</v>
      </c>
    </row>
    <row r="10" spans="1:11" ht="26" customHeight="1">
      <c r="B10" s="2" t="s">
        <v>605</v>
      </c>
      <c r="C10" s="2" t="s">
        <v>555</v>
      </c>
      <c r="D10" s="2" t="s">
        <v>613</v>
      </c>
      <c r="E10" s="2" t="s">
        <v>614</v>
      </c>
      <c r="F10" s="3">
        <f t="shared" ca="1" si="0"/>
        <v>46234.551883449072</v>
      </c>
      <c r="G10" s="2" t="s">
        <v>610</v>
      </c>
      <c r="H10" s="3">
        <f t="shared" ca="1" si="1"/>
        <v>46234.551883449072</v>
      </c>
      <c r="I10" s="2" t="str">
        <f t="shared" si="2"/>
        <v>sys_admin</v>
      </c>
      <c r="J10" s="34" t="s">
        <v>36</v>
      </c>
      <c r="K10" s="1" t="s">
        <v>31</v>
      </c>
    </row>
    <row r="11" spans="1:11" ht="26" customHeight="1">
      <c r="B11" s="2" t="s">
        <v>605</v>
      </c>
      <c r="C11" s="2" t="s">
        <v>583</v>
      </c>
      <c r="D11" s="2" t="s">
        <v>615</v>
      </c>
      <c r="E11" s="2" t="s">
        <v>612</v>
      </c>
      <c r="F11" s="3">
        <f t="shared" ca="1" si="0"/>
        <v>46234.551883449072</v>
      </c>
      <c r="G11" s="2" t="s">
        <v>610</v>
      </c>
      <c r="H11" s="3">
        <f t="shared" ca="1" si="1"/>
        <v>46234.551883449072</v>
      </c>
      <c r="I11" s="2" t="str">
        <f t="shared" si="2"/>
        <v>sys_admin</v>
      </c>
      <c r="J11" s="34" t="s">
        <v>36</v>
      </c>
      <c r="K11" s="1" t="s">
        <v>31</v>
      </c>
    </row>
    <row r="12" spans="1:11">
      <c r="B12" s="2" t="s">
        <v>616</v>
      </c>
      <c r="C12" s="2" t="s">
        <v>618</v>
      </c>
      <c r="D12" s="2" t="s">
        <v>619</v>
      </c>
      <c r="E12" s="2" t="s">
        <v>617</v>
      </c>
      <c r="F12" s="3">
        <f t="shared" ca="1" si="0"/>
        <v>46234.551883449072</v>
      </c>
      <c r="G12" s="2" t="s">
        <v>610</v>
      </c>
      <c r="H12" s="3">
        <f t="shared" ca="1" si="1"/>
        <v>46234.551883449072</v>
      </c>
      <c r="I12" s="2" t="str">
        <f t="shared" si="2"/>
        <v>sys_admin</v>
      </c>
      <c r="J12" s="34" t="s">
        <v>36</v>
      </c>
      <c r="K12" s="1" t="s">
        <v>31</v>
      </c>
    </row>
    <row r="13" spans="1:11" ht="42" customHeight="1">
      <c r="B13" s="2" t="s">
        <v>494</v>
      </c>
      <c r="C13" s="2" t="s">
        <v>621</v>
      </c>
      <c r="D13" s="2" t="s">
        <v>622</v>
      </c>
      <c r="E13" s="2" t="s">
        <v>620</v>
      </c>
      <c r="F13" s="3">
        <f t="shared" ca="1" si="0"/>
        <v>46234.551883449072</v>
      </c>
      <c r="G13" s="2" t="s">
        <v>41</v>
      </c>
      <c r="H13" s="3">
        <f t="shared" ca="1" si="1"/>
        <v>46234.551883449072</v>
      </c>
      <c r="I13" s="2" t="str">
        <f t="shared" si="2"/>
        <v>sys_administrator</v>
      </c>
      <c r="J13" s="34" t="s">
        <v>36</v>
      </c>
      <c r="K13" s="1" t="s">
        <v>31</v>
      </c>
    </row>
    <row r="14" spans="1:11" ht="29" customHeight="1">
      <c r="B14" s="2" t="s">
        <v>495</v>
      </c>
      <c r="C14" s="2" t="s">
        <v>618</v>
      </c>
      <c r="D14" s="2" t="s">
        <v>624</v>
      </c>
      <c r="E14" s="2" t="s">
        <v>625</v>
      </c>
      <c r="F14" s="3">
        <f t="shared" ca="1" si="0"/>
        <v>46234.551883449072</v>
      </c>
      <c r="G14" s="2" t="s">
        <v>41</v>
      </c>
      <c r="H14" s="3">
        <f t="shared" ca="1" si="1"/>
        <v>46234.551883449072</v>
      </c>
      <c r="I14" s="2" t="str">
        <f t="shared" si="2"/>
        <v>sys_administrator</v>
      </c>
      <c r="J14" s="34" t="s">
        <v>36</v>
      </c>
      <c r="K14" s="1" t="s">
        <v>31</v>
      </c>
    </row>
    <row r="15" spans="1:11" ht="29" customHeight="1">
      <c r="B15" s="2" t="s">
        <v>495</v>
      </c>
      <c r="C15" s="2" t="s">
        <v>621</v>
      </c>
      <c r="D15" s="2" t="s">
        <v>626</v>
      </c>
      <c r="E15" s="2" t="s">
        <v>627</v>
      </c>
      <c r="F15" s="3">
        <f t="shared" ca="1" si="0"/>
        <v>46234.551883449072</v>
      </c>
      <c r="G15" s="2" t="s">
        <v>41</v>
      </c>
      <c r="H15" s="3">
        <f t="shared" ca="1" si="1"/>
        <v>46234.551883449072</v>
      </c>
      <c r="I15" s="2" t="str">
        <f t="shared" si="2"/>
        <v>sys_administrator</v>
      </c>
      <c r="J15" s="34" t="s">
        <v>36</v>
      </c>
      <c r="K15" s="1" t="s">
        <v>31</v>
      </c>
    </row>
    <row r="16" spans="1:11">
      <c r="B16" s="2" t="s">
        <v>69</v>
      </c>
      <c r="C16" s="2" t="s">
        <v>623</v>
      </c>
      <c r="D16" s="2" t="s">
        <v>628</v>
      </c>
      <c r="E16" s="2" t="s">
        <v>629</v>
      </c>
      <c r="F16" s="3">
        <f t="shared" ca="1" si="0"/>
        <v>46234.551883449072</v>
      </c>
      <c r="G16" s="2" t="s">
        <v>41</v>
      </c>
      <c r="H16" s="3">
        <f t="shared" ca="1" si="1"/>
        <v>46234.551883449072</v>
      </c>
      <c r="I16" s="2" t="str">
        <f t="shared" si="2"/>
        <v>sys_administrator</v>
      </c>
      <c r="J16" s="34" t="s">
        <v>36</v>
      </c>
      <c r="K16" s="1" t="s">
        <v>31</v>
      </c>
    </row>
    <row r="17" spans="2:11">
      <c r="B17" s="2" t="s">
        <v>69</v>
      </c>
      <c r="C17" s="2" t="s">
        <v>630</v>
      </c>
      <c r="D17" s="2" t="s">
        <v>631</v>
      </c>
      <c r="E17" s="2" t="s">
        <v>633</v>
      </c>
      <c r="F17" s="3">
        <f t="shared" ca="1" si="0"/>
        <v>46234.551883449072</v>
      </c>
      <c r="G17" s="2" t="s">
        <v>41</v>
      </c>
      <c r="H17" s="3">
        <f t="shared" ca="1" si="1"/>
        <v>46234.551883449072</v>
      </c>
      <c r="I17" s="2" t="str">
        <f t="shared" si="2"/>
        <v>sys_administrator</v>
      </c>
      <c r="J17" s="34" t="s">
        <v>36</v>
      </c>
      <c r="K17" s="1" t="s">
        <v>31</v>
      </c>
    </row>
    <row r="18" spans="2:11">
      <c r="B18" s="36" t="s">
        <v>632</v>
      </c>
      <c r="C18" s="2" t="s">
        <v>618</v>
      </c>
      <c r="D18" s="2" t="s">
        <v>635</v>
      </c>
      <c r="E18" s="2" t="s">
        <v>636</v>
      </c>
      <c r="F18" s="3">
        <f t="shared" ca="1" si="0"/>
        <v>46234.551883449072</v>
      </c>
      <c r="G18" s="2" t="s">
        <v>41</v>
      </c>
      <c r="H18" s="3">
        <f t="shared" ca="1" si="1"/>
        <v>46234.551883449072</v>
      </c>
      <c r="I18" s="2" t="str">
        <f t="shared" si="2"/>
        <v>sys_administrator</v>
      </c>
      <c r="J18" s="34" t="s">
        <v>36</v>
      </c>
      <c r="K18" s="1" t="s">
        <v>31</v>
      </c>
    </row>
    <row r="19" spans="2:11">
      <c r="B19" s="36" t="s">
        <v>632</v>
      </c>
      <c r="C19" s="2" t="s">
        <v>637</v>
      </c>
      <c r="D19" s="2" t="s">
        <v>638</v>
      </c>
      <c r="E19" s="2" t="s">
        <v>634</v>
      </c>
      <c r="F19" s="3">
        <f t="shared" ca="1" si="0"/>
        <v>46234.551883449072</v>
      </c>
      <c r="G19" s="2" t="s">
        <v>41</v>
      </c>
      <c r="H19" s="3">
        <f t="shared" ca="1" si="1"/>
        <v>46234.551883449072</v>
      </c>
      <c r="I19" s="2" t="str">
        <f t="shared" si="2"/>
        <v>sys_administrator</v>
      </c>
      <c r="J19" s="34" t="s">
        <v>36</v>
      </c>
      <c r="K19" s="1" t="s">
        <v>31</v>
      </c>
    </row>
    <row r="20" spans="2:11">
      <c r="B20" s="36" t="s">
        <v>640</v>
      </c>
      <c r="C20" s="2" t="s">
        <v>621</v>
      </c>
      <c r="D20" s="2" t="s">
        <v>639</v>
      </c>
      <c r="E20" s="2" t="s">
        <v>641</v>
      </c>
      <c r="F20" s="3">
        <f t="shared" ca="1" si="0"/>
        <v>46234.551883449072</v>
      </c>
      <c r="G20" s="2" t="s">
        <v>41</v>
      </c>
      <c r="H20" s="3">
        <f t="shared" ca="1" si="1"/>
        <v>46234.551883449072</v>
      </c>
      <c r="I20" s="2" t="str">
        <f t="shared" si="2"/>
        <v>sys_administrator</v>
      </c>
      <c r="J20" s="34" t="s">
        <v>36</v>
      </c>
      <c r="K20" s="1" t="s">
        <v>31</v>
      </c>
    </row>
    <row r="21" spans="2:11">
      <c r="B21" s="36" t="s">
        <v>640</v>
      </c>
      <c r="C21" s="2" t="s">
        <v>618</v>
      </c>
      <c r="D21" s="2" t="s">
        <v>643</v>
      </c>
      <c r="E21" s="2" t="s">
        <v>644</v>
      </c>
      <c r="F21" s="3">
        <f t="shared" ca="1" si="0"/>
        <v>46234.551883449072</v>
      </c>
      <c r="G21" s="2" t="s">
        <v>41</v>
      </c>
      <c r="H21" s="3">
        <f t="shared" ca="1" si="1"/>
        <v>46234.551883449072</v>
      </c>
      <c r="I21" s="2" t="str">
        <f t="shared" si="2"/>
        <v>sys_administrator</v>
      </c>
      <c r="J21" s="34" t="s">
        <v>36</v>
      </c>
      <c r="K21" s="1" t="s">
        <v>31</v>
      </c>
    </row>
    <row r="22" spans="2:11">
      <c r="B22" s="36" t="s">
        <v>640</v>
      </c>
      <c r="C22" s="2" t="s">
        <v>637</v>
      </c>
      <c r="D22" s="2" t="s">
        <v>642</v>
      </c>
      <c r="E22" s="2" t="s">
        <v>646</v>
      </c>
      <c r="F22" s="3">
        <f t="shared" ca="1" si="0"/>
        <v>46234.551883449072</v>
      </c>
      <c r="G22" s="2" t="s">
        <v>41</v>
      </c>
      <c r="H22" s="3">
        <f t="shared" ca="1" si="1"/>
        <v>46234.551883449072</v>
      </c>
      <c r="I22" s="2" t="str">
        <f t="shared" si="2"/>
        <v>sys_administrator</v>
      </c>
      <c r="J22" s="34" t="s">
        <v>36</v>
      </c>
      <c r="K22" s="1" t="s">
        <v>31</v>
      </c>
    </row>
    <row r="23" spans="2:11">
      <c r="B23" s="36" t="s">
        <v>640</v>
      </c>
      <c r="C23" s="2" t="s">
        <v>647</v>
      </c>
      <c r="D23" s="2" t="s">
        <v>645</v>
      </c>
      <c r="E23" s="2" t="s">
        <v>648</v>
      </c>
      <c r="F23" s="3">
        <f t="shared" ca="1" si="0"/>
        <v>46234.551883449072</v>
      </c>
      <c r="G23" s="2" t="s">
        <v>41</v>
      </c>
      <c r="H23" s="3">
        <f t="shared" ca="1" si="1"/>
        <v>46234.551883449072</v>
      </c>
      <c r="I23" s="2" t="str">
        <f t="shared" si="2"/>
        <v>sys_administrator</v>
      </c>
      <c r="J23" s="34" t="s">
        <v>36</v>
      </c>
      <c r="K23" s="1" t="s">
        <v>31</v>
      </c>
    </row>
    <row r="24" spans="2:11">
      <c r="B24" s="36" t="s">
        <v>640</v>
      </c>
      <c r="C24" s="2" t="s">
        <v>650</v>
      </c>
      <c r="D24" s="2" t="s">
        <v>649</v>
      </c>
      <c r="E24" s="2" t="s">
        <v>652</v>
      </c>
      <c r="F24" s="3">
        <f t="shared" ca="1" si="0"/>
        <v>46234.551883449072</v>
      </c>
      <c r="G24" s="2" t="s">
        <v>41</v>
      </c>
      <c r="H24" s="3">
        <f t="shared" ca="1" si="1"/>
        <v>46234.551883449072</v>
      </c>
      <c r="I24" s="2" t="str">
        <f t="shared" si="2"/>
        <v>sys_administrator</v>
      </c>
      <c r="J24" s="34" t="s">
        <v>36</v>
      </c>
      <c r="K24" s="1" t="s">
        <v>31</v>
      </c>
    </row>
    <row r="25" spans="2:11">
      <c r="B25" s="36" t="s">
        <v>640</v>
      </c>
      <c r="C25" s="2" t="s">
        <v>653</v>
      </c>
      <c r="D25" s="2" t="s">
        <v>654</v>
      </c>
      <c r="E25" s="2" t="s">
        <v>655</v>
      </c>
      <c r="F25" s="3">
        <f t="shared" ca="1" si="0"/>
        <v>46234.551883449072</v>
      </c>
      <c r="G25" s="2" t="s">
        <v>41</v>
      </c>
      <c r="H25" s="3">
        <f t="shared" ca="1" si="1"/>
        <v>46234.551883449072</v>
      </c>
      <c r="I25" s="2" t="str">
        <f t="shared" si="2"/>
        <v>sys_administrator</v>
      </c>
      <c r="J25" s="34" t="s">
        <v>36</v>
      </c>
      <c r="K25" s="1" t="s">
        <v>31</v>
      </c>
    </row>
    <row r="26" spans="2:11">
      <c r="B26" s="36" t="s">
        <v>640</v>
      </c>
      <c r="C26" s="2" t="s">
        <v>656</v>
      </c>
      <c r="D26" s="2" t="s">
        <v>651</v>
      </c>
      <c r="E26" s="2" t="s">
        <v>658</v>
      </c>
      <c r="F26" s="3">
        <f t="shared" ca="1" si="0"/>
        <v>46234.551883449072</v>
      </c>
      <c r="G26" s="2" t="s">
        <v>41</v>
      </c>
      <c r="H26" s="3">
        <f t="shared" ca="1" si="1"/>
        <v>46234.551883449072</v>
      </c>
      <c r="I26" s="2" t="str">
        <f t="shared" si="2"/>
        <v>sys_administrator</v>
      </c>
      <c r="J26" s="34" t="s">
        <v>36</v>
      </c>
      <c r="K26" s="1" t="s">
        <v>31</v>
      </c>
    </row>
    <row r="27" spans="2:11">
      <c r="B27" s="36" t="s">
        <v>640</v>
      </c>
      <c r="C27" s="2" t="s">
        <v>659</v>
      </c>
      <c r="D27" s="2" t="s">
        <v>660</v>
      </c>
      <c r="E27" s="2" t="s">
        <v>661</v>
      </c>
      <c r="F27" s="3">
        <f t="shared" ca="1" si="0"/>
        <v>46234.551883449072</v>
      </c>
      <c r="G27" s="2" t="s">
        <v>41</v>
      </c>
      <c r="H27" s="3">
        <f t="shared" ca="1" si="1"/>
        <v>46234.551883449072</v>
      </c>
      <c r="I27" s="2" t="str">
        <f t="shared" si="2"/>
        <v>sys_administrator</v>
      </c>
      <c r="J27" s="34" t="s">
        <v>36</v>
      </c>
      <c r="K27" s="1" t="s">
        <v>31</v>
      </c>
    </row>
    <row r="28" spans="2:11">
      <c r="B28" s="36" t="s">
        <v>640</v>
      </c>
      <c r="C28" s="2" t="s">
        <v>662</v>
      </c>
      <c r="D28" s="2" t="s">
        <v>657</v>
      </c>
      <c r="E28" s="2" t="s">
        <v>664</v>
      </c>
      <c r="F28" s="3">
        <f t="shared" ca="1" si="0"/>
        <v>46234.551883449072</v>
      </c>
      <c r="G28" s="2" t="s">
        <v>41</v>
      </c>
      <c r="H28" s="3">
        <f t="shared" ca="1" si="1"/>
        <v>46234.551883449072</v>
      </c>
      <c r="I28" s="2" t="str">
        <f t="shared" si="2"/>
        <v>sys_administrator</v>
      </c>
      <c r="J28" s="34" t="s">
        <v>36</v>
      </c>
      <c r="K28" s="1" t="s">
        <v>31</v>
      </c>
    </row>
    <row r="29" spans="2:11">
      <c r="B29" s="36" t="s">
        <v>640</v>
      </c>
      <c r="C29" s="2" t="s">
        <v>665</v>
      </c>
      <c r="D29" s="2" t="s">
        <v>666</v>
      </c>
      <c r="E29" s="2" t="s">
        <v>667</v>
      </c>
      <c r="F29" s="3">
        <f t="shared" ca="1" si="0"/>
        <v>46234.551883449072</v>
      </c>
      <c r="G29" s="2" t="s">
        <v>41</v>
      </c>
      <c r="H29" s="3">
        <f t="shared" ca="1" si="1"/>
        <v>46234.551883449072</v>
      </c>
      <c r="I29" s="2" t="str">
        <f t="shared" si="2"/>
        <v>sys_administrator</v>
      </c>
      <c r="J29" s="34" t="s">
        <v>36</v>
      </c>
      <c r="K29" s="1" t="s">
        <v>31</v>
      </c>
    </row>
    <row r="30" spans="2:11">
      <c r="B30" s="25"/>
    </row>
  </sheetData>
  <phoneticPr fontId="2"/>
  <conditionalFormatting sqref="B7:I7">
    <cfRule type="expression" dxfId="19" priority="1">
      <formula>AND(ISNUMBER(FIND("K",B6)),B7="*")</formula>
    </cfRule>
    <cfRule type="expression" dxfId="18" priority="2">
      <formula>AND(ISNUMBER(FIND("N",B6)),B7="*")</formula>
    </cfRule>
    <cfRule type="expression" dxfId="17" priority="3">
      <formula>B7="*"</formula>
    </cfRule>
    <cfRule type="expression" dxfId="16" priority="4">
      <formula>B7=""</formula>
    </cfRule>
  </conditionalFormatting>
  <dataValidations disablePrompts="1" count="1">
    <dataValidation type="list" allowBlank="1" showInputMessage="1" showErrorMessage="1" sqref="B7:I7" xr:uid="{00000000-0002-0000-0400-000000000000}">
      <formula1>"*,"</formula1>
    </dataValidation>
  </dataValidations>
  <pageMargins left="0.75" right="0.75" top="0.75" bottom="0.5" header="0.5" footer="0.7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7E288-6A6F-4434-B053-9D7EA4020CD2}">
  <dimension ref="A1:U207"/>
  <sheetViews>
    <sheetView topLeftCell="H1" workbookViewId="0">
      <selection activeCell="L10" sqref="L10"/>
    </sheetView>
  </sheetViews>
  <sheetFormatPr defaultColWidth="9.1796875" defaultRowHeight="14.5"/>
  <cols>
    <col min="1" max="1" width="18.7265625" style="1" customWidth="1"/>
    <col min="2" max="2" width="24.7265625" style="2" customWidth="1"/>
    <col min="3" max="3" width="18.7265625" style="2" customWidth="1"/>
    <col min="4" max="4" width="16.7265625" style="2" customWidth="1"/>
    <col min="5" max="6" width="14.7265625" style="42" customWidth="1"/>
    <col min="7" max="7" width="50.7265625" style="2" customWidth="1"/>
    <col min="8" max="9" width="16.7265625" style="2" customWidth="1"/>
    <col min="10" max="10" width="28.7265625" style="30" customWidth="1"/>
    <col min="11" max="11" width="20.26953125" style="30" customWidth="1"/>
    <col min="12" max="12" width="28.7265625" style="30" customWidth="1"/>
    <col min="13" max="14" width="16.7265625" style="2" customWidth="1"/>
    <col min="15" max="15" width="50.7265625" style="2" customWidth="1"/>
    <col min="16" max="16" width="22.7265625" style="3" customWidth="1"/>
    <col min="17" max="17" width="30.7265625" style="2" customWidth="1"/>
    <col min="18" max="18" width="22.7265625" style="3" customWidth="1"/>
    <col min="19" max="19" width="30.7265625" style="2" customWidth="1"/>
    <col min="20" max="20" width="10.7265625" style="1" customWidth="1"/>
    <col min="21" max="21" width="48.7265625" style="1" customWidth="1"/>
    <col min="22" max="22" width="9.1796875" style="1" customWidth="1"/>
    <col min="23" max="16384" width="9.1796875" style="1"/>
  </cols>
  <sheetData>
    <row r="1" spans="1:21" s="4" customFormat="1">
      <c r="A1" s="5" t="s">
        <v>0</v>
      </c>
      <c r="B1" s="6" t="s">
        <v>668</v>
      </c>
      <c r="C1" s="7" t="s">
        <v>2</v>
      </c>
      <c r="D1" s="6" t="s">
        <v>663</v>
      </c>
      <c r="E1" s="37"/>
      <c r="F1" s="37"/>
      <c r="G1" s="9"/>
      <c r="H1" s="9"/>
      <c r="I1" s="9"/>
      <c r="J1" s="26"/>
      <c r="K1" s="26"/>
      <c r="L1" s="26"/>
      <c r="M1" s="9"/>
      <c r="N1" s="9"/>
      <c r="O1" s="9"/>
      <c r="P1" s="8"/>
      <c r="Q1" s="9"/>
      <c r="R1" s="8"/>
      <c r="S1" s="9"/>
    </row>
    <row r="2" spans="1:21" s="4" customFormat="1">
      <c r="A2" s="5" t="s">
        <v>4</v>
      </c>
      <c r="B2" s="33"/>
      <c r="C2" s="9"/>
      <c r="D2" s="9"/>
      <c r="E2" s="37"/>
      <c r="F2" s="37"/>
      <c r="G2" s="9"/>
      <c r="H2" s="9"/>
      <c r="I2" s="9"/>
      <c r="J2" s="26"/>
      <c r="K2" s="26"/>
      <c r="L2" s="26"/>
      <c r="M2" s="9"/>
      <c r="N2" s="9"/>
      <c r="O2" s="9"/>
      <c r="P2" s="8"/>
      <c r="Q2" s="9"/>
      <c r="R2" s="8"/>
      <c r="S2" s="9"/>
    </row>
    <row r="3" spans="1:21" s="4" customFormat="1" ht="29" customHeight="1">
      <c r="A3" s="10" t="s">
        <v>6</v>
      </c>
      <c r="B3" s="11" t="s">
        <v>669</v>
      </c>
      <c r="C3" s="12" t="s">
        <v>173</v>
      </c>
      <c r="D3" s="12" t="s">
        <v>670</v>
      </c>
      <c r="E3" s="38" t="s">
        <v>671</v>
      </c>
      <c r="F3" s="38" t="s">
        <v>672</v>
      </c>
      <c r="G3" s="12" t="s">
        <v>673</v>
      </c>
      <c r="H3" s="12" t="s">
        <v>632</v>
      </c>
      <c r="I3" s="12" t="s">
        <v>499</v>
      </c>
      <c r="J3" s="27" t="s">
        <v>674</v>
      </c>
      <c r="K3" s="27" t="s">
        <v>675</v>
      </c>
      <c r="L3" s="27" t="s">
        <v>676</v>
      </c>
      <c r="M3" s="12" t="s">
        <v>65</v>
      </c>
      <c r="N3" s="12" t="s">
        <v>677</v>
      </c>
      <c r="O3" s="12" t="s">
        <v>678</v>
      </c>
      <c r="P3" s="13" t="s">
        <v>10</v>
      </c>
      <c r="Q3" s="12" t="s">
        <v>11</v>
      </c>
      <c r="R3" s="13" t="s">
        <v>12</v>
      </c>
      <c r="S3" s="12" t="s">
        <v>13</v>
      </c>
      <c r="T3" s="14" t="s">
        <v>14</v>
      </c>
      <c r="U3" s="14" t="s">
        <v>15</v>
      </c>
    </row>
    <row r="4" spans="1:21" s="4" customFormat="1">
      <c r="A4" s="10" t="s">
        <v>16</v>
      </c>
      <c r="B4" s="11" t="s">
        <v>679</v>
      </c>
      <c r="C4" s="12" t="s">
        <v>680</v>
      </c>
      <c r="D4" s="12" t="s">
        <v>681</v>
      </c>
      <c r="E4" s="39" t="s">
        <v>682</v>
      </c>
      <c r="F4" s="39" t="s">
        <v>683</v>
      </c>
      <c r="G4" s="12" t="s">
        <v>684</v>
      </c>
      <c r="H4" s="12" t="s">
        <v>685</v>
      </c>
      <c r="I4" s="12" t="s">
        <v>686</v>
      </c>
      <c r="J4" s="28" t="s">
        <v>687</v>
      </c>
      <c r="K4" s="28" t="s">
        <v>688</v>
      </c>
      <c r="L4" s="28" t="s">
        <v>689</v>
      </c>
      <c r="M4" s="12" t="s">
        <v>690</v>
      </c>
      <c r="N4" s="12" t="s">
        <v>691</v>
      </c>
      <c r="O4" s="12" t="s">
        <v>692</v>
      </c>
      <c r="P4" s="15" t="s">
        <v>20</v>
      </c>
      <c r="Q4" s="12" t="s">
        <v>21</v>
      </c>
      <c r="R4" s="15" t="s">
        <v>22</v>
      </c>
      <c r="S4" s="12" t="s">
        <v>23</v>
      </c>
      <c r="T4" s="16"/>
      <c r="U4" s="16"/>
    </row>
    <row r="5" spans="1:21" s="4" customFormat="1">
      <c r="A5" s="10" t="s">
        <v>24</v>
      </c>
      <c r="B5" s="11" t="s">
        <v>693</v>
      </c>
      <c r="C5" s="12" t="s">
        <v>75</v>
      </c>
      <c r="D5" s="12" t="s">
        <v>75</v>
      </c>
      <c r="E5" s="38" t="s">
        <v>694</v>
      </c>
      <c r="F5" s="38" t="s">
        <v>694</v>
      </c>
      <c r="G5" s="12" t="s">
        <v>695</v>
      </c>
      <c r="H5" s="12" t="s">
        <v>519</v>
      </c>
      <c r="I5" s="12" t="s">
        <v>522</v>
      </c>
      <c r="J5" s="27" t="s">
        <v>696</v>
      </c>
      <c r="K5" s="27" t="s">
        <v>696</v>
      </c>
      <c r="L5" s="27" t="s">
        <v>696</v>
      </c>
      <c r="M5" s="12" t="s">
        <v>75</v>
      </c>
      <c r="N5" s="12" t="s">
        <v>519</v>
      </c>
      <c r="O5" s="12" t="s">
        <v>697</v>
      </c>
      <c r="P5" s="13" t="s">
        <v>27</v>
      </c>
      <c r="Q5" s="12" t="s">
        <v>28</v>
      </c>
      <c r="R5" s="13" t="s">
        <v>27</v>
      </c>
      <c r="S5" s="12" t="s">
        <v>28</v>
      </c>
      <c r="T5" s="16"/>
      <c r="U5" s="16"/>
    </row>
    <row r="6" spans="1:21" s="4" customFormat="1">
      <c r="A6" s="5" t="s">
        <v>29</v>
      </c>
      <c r="B6" s="11" t="s">
        <v>30</v>
      </c>
      <c r="C6" s="12" t="s">
        <v>31</v>
      </c>
      <c r="D6" s="12" t="s">
        <v>31</v>
      </c>
      <c r="E6" s="38" t="s">
        <v>31</v>
      </c>
      <c r="F6" s="38" t="s">
        <v>31</v>
      </c>
      <c r="G6" s="12" t="s">
        <v>32</v>
      </c>
      <c r="H6" s="12" t="s">
        <v>33</v>
      </c>
      <c r="I6" s="12" t="s">
        <v>33</v>
      </c>
      <c r="J6" s="27" t="s">
        <v>32</v>
      </c>
      <c r="K6" s="27" t="s">
        <v>32</v>
      </c>
      <c r="L6" s="27" t="s">
        <v>32</v>
      </c>
      <c r="M6" s="12" t="s">
        <v>31</v>
      </c>
      <c r="N6" s="12" t="s">
        <v>33</v>
      </c>
      <c r="O6" s="12" t="s">
        <v>32</v>
      </c>
      <c r="P6" s="13" t="s">
        <v>33</v>
      </c>
      <c r="Q6" s="12" t="s">
        <v>31</v>
      </c>
      <c r="R6" s="13" t="s">
        <v>33</v>
      </c>
      <c r="S6" s="12" t="s">
        <v>31</v>
      </c>
      <c r="T6" s="16"/>
      <c r="U6" s="16"/>
    </row>
    <row r="7" spans="1:21">
      <c r="A7" s="17" t="s">
        <v>34</v>
      </c>
      <c r="B7" s="18" t="s">
        <v>35</v>
      </c>
      <c r="C7" s="19" t="s">
        <v>35</v>
      </c>
      <c r="D7" s="19" t="s">
        <v>35</v>
      </c>
      <c r="E7" s="40" t="s">
        <v>35</v>
      </c>
      <c r="F7" s="40" t="s">
        <v>35</v>
      </c>
      <c r="G7" s="19" t="s">
        <v>35</v>
      </c>
      <c r="H7" s="19" t="s">
        <v>35</v>
      </c>
      <c r="I7" s="19" t="s">
        <v>35</v>
      </c>
      <c r="J7" s="29" t="s">
        <v>35</v>
      </c>
      <c r="K7" s="29" t="s">
        <v>35</v>
      </c>
      <c r="L7" s="29" t="s">
        <v>35</v>
      </c>
      <c r="M7" s="19" t="s">
        <v>35</v>
      </c>
      <c r="N7" s="19" t="s">
        <v>35</v>
      </c>
      <c r="O7" s="19" t="s">
        <v>35</v>
      </c>
      <c r="P7" s="20" t="s">
        <v>35</v>
      </c>
      <c r="Q7" s="19" t="s">
        <v>35</v>
      </c>
      <c r="R7" s="20" t="s">
        <v>35</v>
      </c>
      <c r="S7" s="19" t="s">
        <v>35</v>
      </c>
      <c r="T7" s="21"/>
      <c r="U7" s="21"/>
    </row>
    <row r="8" spans="1:21" ht="29" customHeight="1">
      <c r="B8" s="2" t="s">
        <v>698</v>
      </c>
      <c r="C8" s="2" t="s">
        <v>199</v>
      </c>
      <c r="D8" s="2" t="s">
        <v>199</v>
      </c>
      <c r="E8" s="41">
        <v>1</v>
      </c>
      <c r="F8" s="42">
        <v>1</v>
      </c>
      <c r="G8" s="2" t="s">
        <v>699</v>
      </c>
      <c r="H8" s="2" t="s">
        <v>700</v>
      </c>
      <c r="I8" s="2" t="s">
        <v>701</v>
      </c>
      <c r="J8" s="43" t="s">
        <v>702</v>
      </c>
      <c r="K8" s="30" t="e">
        <f>SUMIF([1]quotation_details!C:C,B8,[1]quotation_details!K:K)</f>
        <v>#VALUE!</v>
      </c>
      <c r="L8" s="43" t="s">
        <v>702</v>
      </c>
      <c r="M8" s="2" t="s">
        <v>703</v>
      </c>
      <c r="N8" s="2" t="s">
        <v>630</v>
      </c>
      <c r="O8" s="2" t="s">
        <v>704</v>
      </c>
      <c r="P8" s="3">
        <v>46126.375</v>
      </c>
      <c r="Q8" s="2" t="s">
        <v>703</v>
      </c>
      <c r="R8" s="3">
        <v>46146.375</v>
      </c>
      <c r="S8" s="2" t="s">
        <v>703</v>
      </c>
      <c r="T8" s="34"/>
      <c r="U8" s="1" t="s">
        <v>31</v>
      </c>
    </row>
    <row r="9" spans="1:21" ht="29" customHeight="1">
      <c r="B9" s="2" t="s">
        <v>705</v>
      </c>
      <c r="C9" s="2" t="s">
        <v>211</v>
      </c>
      <c r="D9" s="2" t="s">
        <v>211</v>
      </c>
      <c r="E9" s="41">
        <v>1</v>
      </c>
      <c r="F9" s="42">
        <v>1</v>
      </c>
      <c r="G9" s="2" t="s">
        <v>706</v>
      </c>
      <c r="H9" s="2" t="s">
        <v>623</v>
      </c>
      <c r="I9" s="2" t="s">
        <v>701</v>
      </c>
      <c r="J9" s="43" t="s">
        <v>702</v>
      </c>
      <c r="K9" s="30" t="e">
        <f>SUMIF([1]quotation_details!C:C,B9,[1]quotation_details!K:K)</f>
        <v>#VALUE!</v>
      </c>
      <c r="L9" s="43" t="s">
        <v>702</v>
      </c>
      <c r="M9" s="2" t="s">
        <v>707</v>
      </c>
      <c r="N9" s="2" t="s">
        <v>623</v>
      </c>
      <c r="O9" s="2" t="s">
        <v>708</v>
      </c>
      <c r="P9" s="3">
        <v>46126.511805555601</v>
      </c>
      <c r="Q9" s="2" t="s">
        <v>707</v>
      </c>
      <c r="R9" s="3">
        <v>46146.511805555601</v>
      </c>
      <c r="S9" s="2" t="s">
        <v>707</v>
      </c>
      <c r="T9" s="34"/>
      <c r="U9" s="1" t="s">
        <v>31</v>
      </c>
    </row>
    <row r="10" spans="1:21" ht="29" customHeight="1">
      <c r="B10" s="2" t="s">
        <v>709</v>
      </c>
      <c r="C10" s="2" t="s">
        <v>221</v>
      </c>
      <c r="D10" s="2" t="s">
        <v>221</v>
      </c>
      <c r="E10" s="41">
        <v>1</v>
      </c>
      <c r="F10" s="42">
        <v>1</v>
      </c>
      <c r="G10" s="2" t="s">
        <v>710</v>
      </c>
      <c r="H10" s="2" t="s">
        <v>623</v>
      </c>
      <c r="I10" s="2" t="s">
        <v>701</v>
      </c>
      <c r="J10" s="43" t="s">
        <v>702</v>
      </c>
      <c r="K10" s="30" t="e">
        <f>SUMIF([1]quotation_details!C:C,B10,[1]quotation_details!K:K)</f>
        <v>#VALUE!</v>
      </c>
      <c r="L10" s="43" t="s">
        <v>702</v>
      </c>
      <c r="M10" s="2" t="s">
        <v>711</v>
      </c>
      <c r="N10" s="2" t="s">
        <v>700</v>
      </c>
      <c r="O10" s="2" t="s">
        <v>712</v>
      </c>
      <c r="P10" s="3">
        <v>46127.648611111101</v>
      </c>
      <c r="Q10" s="2" t="s">
        <v>711</v>
      </c>
      <c r="R10" s="3">
        <v>46147.648611111101</v>
      </c>
      <c r="S10" s="2" t="s">
        <v>711</v>
      </c>
      <c r="T10" s="34"/>
      <c r="U10" s="1" t="s">
        <v>31</v>
      </c>
    </row>
    <row r="11" spans="1:21" ht="29" customHeight="1">
      <c r="B11" s="2" t="s">
        <v>713</v>
      </c>
      <c r="C11" s="2" t="s">
        <v>231</v>
      </c>
      <c r="D11" s="2" t="s">
        <v>231</v>
      </c>
      <c r="E11" s="41">
        <v>1</v>
      </c>
      <c r="F11" s="42">
        <v>1</v>
      </c>
      <c r="G11" s="2" t="s">
        <v>714</v>
      </c>
      <c r="H11" s="2" t="s">
        <v>700</v>
      </c>
      <c r="I11" s="2" t="s">
        <v>701</v>
      </c>
      <c r="J11" s="43" t="s">
        <v>702</v>
      </c>
      <c r="K11" s="30" t="e">
        <f>SUMIF([1]quotation_details!C:C,B11,[1]quotation_details!K:K)</f>
        <v>#VALUE!</v>
      </c>
      <c r="L11" s="43" t="s">
        <v>702</v>
      </c>
      <c r="M11" s="2" t="s">
        <v>715</v>
      </c>
      <c r="N11" s="2" t="s">
        <v>716</v>
      </c>
      <c r="O11" s="2" t="s">
        <v>717</v>
      </c>
      <c r="P11" s="3">
        <v>46127.410416666702</v>
      </c>
      <c r="Q11" s="2" t="s">
        <v>715</v>
      </c>
      <c r="R11" s="3">
        <v>46147.410416666702</v>
      </c>
      <c r="S11" s="2" t="s">
        <v>715</v>
      </c>
      <c r="T11" s="34"/>
      <c r="U11" s="1" t="s">
        <v>31</v>
      </c>
    </row>
    <row r="12" spans="1:21" ht="29" customHeight="1">
      <c r="B12" s="2" t="s">
        <v>718</v>
      </c>
      <c r="C12" s="2" t="s">
        <v>241</v>
      </c>
      <c r="D12" s="2" t="s">
        <v>241</v>
      </c>
      <c r="E12" s="41">
        <v>1</v>
      </c>
      <c r="F12" s="42">
        <v>1</v>
      </c>
      <c r="G12" s="2" t="s">
        <v>699</v>
      </c>
      <c r="H12" s="2" t="s">
        <v>700</v>
      </c>
      <c r="I12" s="2" t="s">
        <v>701</v>
      </c>
      <c r="J12" s="43" t="s">
        <v>702</v>
      </c>
      <c r="K12" s="30" t="e">
        <f>SUMIF([1]quotation_details!C:C,B12,[1]quotation_details!K:K)</f>
        <v>#VALUE!</v>
      </c>
      <c r="L12" s="43" t="s">
        <v>702</v>
      </c>
      <c r="M12" s="2" t="s">
        <v>719</v>
      </c>
      <c r="N12" s="2" t="s">
        <v>630</v>
      </c>
      <c r="O12" s="2" t="s">
        <v>720</v>
      </c>
      <c r="P12" s="3">
        <v>46128.505555555603</v>
      </c>
      <c r="Q12" s="2" t="s">
        <v>719</v>
      </c>
      <c r="R12" s="3">
        <v>46148.505555555603</v>
      </c>
      <c r="S12" s="2" t="s">
        <v>719</v>
      </c>
      <c r="T12" s="34"/>
      <c r="U12" s="1" t="s">
        <v>31</v>
      </c>
    </row>
    <row r="13" spans="1:21" ht="43.5" customHeight="1">
      <c r="B13" s="2" t="s">
        <v>721</v>
      </c>
      <c r="C13" s="2" t="s">
        <v>251</v>
      </c>
      <c r="D13" s="2" t="s">
        <v>251</v>
      </c>
      <c r="E13" s="41">
        <v>1</v>
      </c>
      <c r="F13" s="42">
        <v>1</v>
      </c>
      <c r="G13" s="2" t="s">
        <v>706</v>
      </c>
      <c r="H13" s="2" t="s">
        <v>623</v>
      </c>
      <c r="I13" s="2" t="s">
        <v>701</v>
      </c>
      <c r="J13" s="43" t="s">
        <v>702</v>
      </c>
      <c r="K13" s="30" t="e">
        <f>SUMIF([1]quotation_details!C:C,B13,[1]quotation_details!K:K)</f>
        <v>#VALUE!</v>
      </c>
      <c r="L13" s="43" t="s">
        <v>702</v>
      </c>
      <c r="M13" s="2" t="s">
        <v>722</v>
      </c>
      <c r="N13" s="2" t="s">
        <v>623</v>
      </c>
      <c r="O13" s="2" t="s">
        <v>723</v>
      </c>
      <c r="P13" s="3">
        <v>46128.642361111102</v>
      </c>
      <c r="Q13" s="2" t="s">
        <v>722</v>
      </c>
      <c r="R13" s="3">
        <v>46148.642361111102</v>
      </c>
      <c r="S13" s="2" t="s">
        <v>722</v>
      </c>
      <c r="T13" s="34"/>
      <c r="U13" s="1" t="s">
        <v>31</v>
      </c>
    </row>
    <row r="14" spans="1:21" ht="29" customHeight="1">
      <c r="B14" s="2" t="s">
        <v>724</v>
      </c>
      <c r="C14" s="2" t="s">
        <v>261</v>
      </c>
      <c r="D14" s="2" t="s">
        <v>261</v>
      </c>
      <c r="E14" s="41">
        <v>1</v>
      </c>
      <c r="F14" s="42">
        <v>1</v>
      </c>
      <c r="G14" s="2" t="s">
        <v>710</v>
      </c>
      <c r="H14" s="2" t="s">
        <v>623</v>
      </c>
      <c r="I14" s="2" t="s">
        <v>701</v>
      </c>
      <c r="J14" s="43" t="s">
        <v>702</v>
      </c>
      <c r="K14" s="30" t="e">
        <f>SUMIF([1]quotation_details!C:C,B14,[1]quotation_details!K:K)</f>
        <v>#VALUE!</v>
      </c>
      <c r="L14" s="43" t="s">
        <v>702</v>
      </c>
      <c r="M14" s="2" t="s">
        <v>725</v>
      </c>
      <c r="N14" s="2" t="s">
        <v>700</v>
      </c>
      <c r="O14" s="2" t="s">
        <v>726</v>
      </c>
      <c r="P14" s="3">
        <v>46129.404166666704</v>
      </c>
      <c r="Q14" s="2" t="s">
        <v>725</v>
      </c>
      <c r="R14" s="3">
        <v>46149.404166666704</v>
      </c>
      <c r="S14" s="2" t="s">
        <v>725</v>
      </c>
      <c r="T14" s="34"/>
      <c r="U14" s="1" t="s">
        <v>31</v>
      </c>
    </row>
    <row r="15" spans="1:21" ht="29" customHeight="1">
      <c r="B15" s="2" t="s">
        <v>727</v>
      </c>
      <c r="C15" s="2" t="s">
        <v>272</v>
      </c>
      <c r="D15" s="2" t="s">
        <v>272</v>
      </c>
      <c r="E15" s="41">
        <v>1</v>
      </c>
      <c r="F15" s="42">
        <v>1</v>
      </c>
      <c r="G15" s="2" t="s">
        <v>714</v>
      </c>
      <c r="H15" s="2" t="s">
        <v>700</v>
      </c>
      <c r="I15" s="2" t="s">
        <v>701</v>
      </c>
      <c r="J15" s="43" t="s">
        <v>702</v>
      </c>
      <c r="K15" s="30" t="e">
        <f>SUMIF([1]quotation_details!C:C,B15,[1]quotation_details!K:K)</f>
        <v>#VALUE!</v>
      </c>
      <c r="L15" s="43" t="s">
        <v>702</v>
      </c>
      <c r="M15" s="2" t="s">
        <v>728</v>
      </c>
      <c r="N15" s="2" t="s">
        <v>716</v>
      </c>
      <c r="O15" s="2" t="s">
        <v>729</v>
      </c>
      <c r="P15" s="3">
        <v>46129.540972222203</v>
      </c>
      <c r="Q15" s="2" t="s">
        <v>728</v>
      </c>
      <c r="R15" s="3">
        <v>46149.540972222203</v>
      </c>
      <c r="S15" s="2" t="s">
        <v>728</v>
      </c>
      <c r="T15" s="34"/>
      <c r="U15" s="1" t="s">
        <v>31</v>
      </c>
    </row>
    <row r="16" spans="1:21" ht="29" customHeight="1">
      <c r="B16" s="2" t="s">
        <v>730</v>
      </c>
      <c r="C16" s="2" t="s">
        <v>281</v>
      </c>
      <c r="D16" s="2" t="s">
        <v>281</v>
      </c>
      <c r="E16" s="41">
        <v>1</v>
      </c>
      <c r="F16" s="42">
        <v>1</v>
      </c>
      <c r="G16" s="2" t="s">
        <v>699</v>
      </c>
      <c r="H16" s="2" t="s">
        <v>700</v>
      </c>
      <c r="I16" s="2" t="s">
        <v>701</v>
      </c>
      <c r="J16" s="43" t="s">
        <v>702</v>
      </c>
      <c r="K16" s="30" t="e">
        <f>SUMIF([1]quotation_details!C:C,B16,[1]quotation_details!K:K)</f>
        <v>#VALUE!</v>
      </c>
      <c r="L16" s="43" t="s">
        <v>702</v>
      </c>
      <c r="M16" s="2" t="s">
        <v>731</v>
      </c>
      <c r="N16" s="2" t="s">
        <v>630</v>
      </c>
      <c r="O16" s="2" t="s">
        <v>732</v>
      </c>
      <c r="P16" s="3">
        <v>46130.636111111096</v>
      </c>
      <c r="Q16" s="2" t="s">
        <v>731</v>
      </c>
      <c r="R16" s="3">
        <v>46150.636111111096</v>
      </c>
      <c r="S16" s="2" t="s">
        <v>731</v>
      </c>
      <c r="T16" s="34"/>
      <c r="U16" s="1" t="s">
        <v>31</v>
      </c>
    </row>
    <row r="17" spans="2:21" ht="29" customHeight="1">
      <c r="B17" s="2" t="s">
        <v>733</v>
      </c>
      <c r="C17" s="2" t="s">
        <v>291</v>
      </c>
      <c r="D17" s="2" t="s">
        <v>291</v>
      </c>
      <c r="E17" s="41">
        <v>1</v>
      </c>
      <c r="F17" s="42">
        <v>1</v>
      </c>
      <c r="G17" s="2" t="s">
        <v>706</v>
      </c>
      <c r="H17" s="2" t="s">
        <v>623</v>
      </c>
      <c r="I17" s="2" t="s">
        <v>701</v>
      </c>
      <c r="J17" s="43" t="s">
        <v>702</v>
      </c>
      <c r="K17" s="30" t="e">
        <f>SUMIF([1]quotation_details!C:C,B17,[1]quotation_details!K:K)</f>
        <v>#VALUE!</v>
      </c>
      <c r="L17" s="43" t="s">
        <v>702</v>
      </c>
      <c r="M17" s="2" t="s">
        <v>734</v>
      </c>
      <c r="N17" s="2" t="s">
        <v>623</v>
      </c>
      <c r="O17" s="2" t="s">
        <v>735</v>
      </c>
      <c r="P17" s="3">
        <v>46130.397916666698</v>
      </c>
      <c r="Q17" s="2" t="s">
        <v>734</v>
      </c>
      <c r="R17" s="3">
        <v>46150.397916666698</v>
      </c>
      <c r="S17" s="2" t="s">
        <v>734</v>
      </c>
      <c r="T17" s="34"/>
      <c r="U17" s="1" t="s">
        <v>31</v>
      </c>
    </row>
    <row r="18" spans="2:21" ht="29" customHeight="1">
      <c r="B18" s="2" t="s">
        <v>736</v>
      </c>
      <c r="C18" s="2" t="s">
        <v>300</v>
      </c>
      <c r="D18" s="2" t="s">
        <v>300</v>
      </c>
      <c r="E18" s="41">
        <v>1</v>
      </c>
      <c r="F18" s="42">
        <v>1</v>
      </c>
      <c r="G18" s="2" t="s">
        <v>710</v>
      </c>
      <c r="H18" s="2" t="s">
        <v>623</v>
      </c>
      <c r="I18" s="2" t="s">
        <v>701</v>
      </c>
      <c r="J18" s="43" t="s">
        <v>702</v>
      </c>
      <c r="K18" s="30" t="e">
        <f>SUMIF([1]quotation_details!C:C,B18,[1]quotation_details!K:K)</f>
        <v>#VALUE!</v>
      </c>
      <c r="L18" s="43" t="s">
        <v>702</v>
      </c>
      <c r="M18" s="2" t="s">
        <v>737</v>
      </c>
      <c r="N18" s="2" t="s">
        <v>700</v>
      </c>
      <c r="O18" s="2" t="s">
        <v>738</v>
      </c>
      <c r="P18" s="3">
        <v>46130.534722222197</v>
      </c>
      <c r="Q18" s="2" t="s">
        <v>737</v>
      </c>
      <c r="R18" s="3">
        <v>46150.534722222197</v>
      </c>
      <c r="S18" s="2" t="s">
        <v>737</v>
      </c>
      <c r="T18" s="34"/>
      <c r="U18" s="1" t="s">
        <v>31</v>
      </c>
    </row>
    <row r="19" spans="2:21" ht="29" customHeight="1">
      <c r="B19" s="2" t="s">
        <v>739</v>
      </c>
      <c r="C19" s="2" t="s">
        <v>310</v>
      </c>
      <c r="D19" s="2" t="s">
        <v>310</v>
      </c>
      <c r="E19" s="41">
        <v>1</v>
      </c>
      <c r="F19" s="42">
        <v>1</v>
      </c>
      <c r="G19" s="2" t="s">
        <v>714</v>
      </c>
      <c r="H19" s="2" t="s">
        <v>700</v>
      </c>
      <c r="I19" s="2" t="s">
        <v>701</v>
      </c>
      <c r="J19" s="43" t="s">
        <v>702</v>
      </c>
      <c r="K19" s="30" t="e">
        <f>SUMIF([1]quotation_details!C:C,B19,[1]quotation_details!K:K)</f>
        <v>#VALUE!</v>
      </c>
      <c r="L19" s="43" t="s">
        <v>702</v>
      </c>
      <c r="M19" s="2" t="s">
        <v>92</v>
      </c>
      <c r="N19" s="2" t="s">
        <v>716</v>
      </c>
      <c r="O19" s="2" t="s">
        <v>740</v>
      </c>
      <c r="P19" s="3">
        <v>46131.629861111098</v>
      </c>
      <c r="Q19" s="2" t="s">
        <v>92</v>
      </c>
      <c r="R19" s="3">
        <v>46151.629861111098</v>
      </c>
      <c r="S19" s="2" t="s">
        <v>92</v>
      </c>
      <c r="T19" s="34"/>
      <c r="U19" s="1" t="s">
        <v>31</v>
      </c>
    </row>
    <row r="20" spans="2:21" ht="29" customHeight="1">
      <c r="B20" s="2" t="s">
        <v>741</v>
      </c>
      <c r="C20" s="2" t="s">
        <v>320</v>
      </c>
      <c r="D20" s="2" t="s">
        <v>320</v>
      </c>
      <c r="E20" s="41">
        <v>1</v>
      </c>
      <c r="F20" s="42">
        <v>1</v>
      </c>
      <c r="G20" s="2" t="s">
        <v>699</v>
      </c>
      <c r="H20" s="2" t="s">
        <v>700</v>
      </c>
      <c r="I20" s="2" t="s">
        <v>701</v>
      </c>
      <c r="J20" s="43" t="s">
        <v>702</v>
      </c>
      <c r="K20" s="30" t="e">
        <f>SUMIF([1]quotation_details!C:C,B20,[1]quotation_details!K:K)</f>
        <v>#VALUE!</v>
      </c>
      <c r="L20" s="43" t="s">
        <v>702</v>
      </c>
      <c r="M20" s="2" t="s">
        <v>742</v>
      </c>
      <c r="N20" s="2" t="s">
        <v>630</v>
      </c>
      <c r="O20" s="2" t="s">
        <v>743</v>
      </c>
      <c r="P20" s="3">
        <v>46131.391666666699</v>
      </c>
      <c r="Q20" s="2" t="s">
        <v>742</v>
      </c>
      <c r="R20" s="3">
        <v>46151.391666666699</v>
      </c>
      <c r="S20" s="2" t="s">
        <v>742</v>
      </c>
      <c r="T20" s="34"/>
      <c r="U20" s="1" t="s">
        <v>31</v>
      </c>
    </row>
    <row r="21" spans="2:21" ht="43.5" customHeight="1">
      <c r="B21" s="2" t="s">
        <v>744</v>
      </c>
      <c r="C21" s="2" t="s">
        <v>329</v>
      </c>
      <c r="D21" s="2" t="s">
        <v>329</v>
      </c>
      <c r="E21" s="41">
        <v>1</v>
      </c>
      <c r="F21" s="42">
        <v>1</v>
      </c>
      <c r="G21" s="2" t="s">
        <v>706</v>
      </c>
      <c r="H21" s="2" t="s">
        <v>623</v>
      </c>
      <c r="I21" s="2" t="s">
        <v>701</v>
      </c>
      <c r="J21" s="43" t="s">
        <v>702</v>
      </c>
      <c r="K21" s="30" t="e">
        <f>SUMIF([1]quotation_details!C:C,B21,[1]quotation_details!K:K)</f>
        <v>#VALUE!</v>
      </c>
      <c r="L21" s="43" t="s">
        <v>702</v>
      </c>
      <c r="M21" s="2" t="s">
        <v>745</v>
      </c>
      <c r="N21" s="2" t="s">
        <v>623</v>
      </c>
      <c r="O21" s="2" t="s">
        <v>746</v>
      </c>
      <c r="P21" s="3">
        <v>46132.528472222199</v>
      </c>
      <c r="Q21" s="2" t="s">
        <v>745</v>
      </c>
      <c r="R21" s="3">
        <v>46152.528472222199</v>
      </c>
      <c r="S21" s="2" t="s">
        <v>745</v>
      </c>
      <c r="T21" s="34"/>
      <c r="U21" s="1" t="s">
        <v>31</v>
      </c>
    </row>
    <row r="22" spans="2:21" ht="29" customHeight="1">
      <c r="B22" s="2" t="s">
        <v>747</v>
      </c>
      <c r="C22" s="2" t="s">
        <v>339</v>
      </c>
      <c r="D22" s="2" t="s">
        <v>339</v>
      </c>
      <c r="E22" s="41">
        <v>1</v>
      </c>
      <c r="F22" s="42">
        <v>1</v>
      </c>
      <c r="G22" s="2" t="s">
        <v>710</v>
      </c>
      <c r="H22" s="2" t="s">
        <v>623</v>
      </c>
      <c r="I22" s="2" t="s">
        <v>701</v>
      </c>
      <c r="J22" s="43" t="s">
        <v>702</v>
      </c>
      <c r="K22" s="30" t="e">
        <f>SUMIF([1]quotation_details!C:C,B22,[1]quotation_details!K:K)</f>
        <v>#VALUE!</v>
      </c>
      <c r="L22" s="43" t="s">
        <v>702</v>
      </c>
      <c r="M22" s="2" t="s">
        <v>748</v>
      </c>
      <c r="N22" s="2" t="s">
        <v>700</v>
      </c>
      <c r="O22" s="2" t="s">
        <v>749</v>
      </c>
      <c r="P22" s="3">
        <v>46132.6652777778</v>
      </c>
      <c r="Q22" s="2" t="s">
        <v>748</v>
      </c>
      <c r="R22" s="3">
        <v>46152.6652777778</v>
      </c>
      <c r="S22" s="2" t="s">
        <v>748</v>
      </c>
      <c r="T22" s="34"/>
      <c r="U22" s="1" t="s">
        <v>31</v>
      </c>
    </row>
    <row r="23" spans="2:21" ht="29" customHeight="1">
      <c r="B23" s="2" t="s">
        <v>750</v>
      </c>
      <c r="C23" s="2" t="s">
        <v>348</v>
      </c>
      <c r="D23" s="2" t="s">
        <v>348</v>
      </c>
      <c r="E23" s="41">
        <v>1</v>
      </c>
      <c r="F23" s="42">
        <v>1</v>
      </c>
      <c r="G23" s="2" t="s">
        <v>714</v>
      </c>
      <c r="H23" s="2" t="s">
        <v>700</v>
      </c>
      <c r="I23" s="2" t="s">
        <v>701</v>
      </c>
      <c r="J23" s="43" t="s">
        <v>702</v>
      </c>
      <c r="K23" s="30" t="e">
        <f>SUMIF([1]quotation_details!C:C,B23,[1]quotation_details!K:K)</f>
        <v>#VALUE!</v>
      </c>
      <c r="L23" s="43" t="s">
        <v>702</v>
      </c>
      <c r="M23" s="2" t="s">
        <v>751</v>
      </c>
      <c r="N23" s="2" t="s">
        <v>716</v>
      </c>
      <c r="O23" s="2" t="s">
        <v>752</v>
      </c>
      <c r="P23" s="3">
        <v>46133.385416666701</v>
      </c>
      <c r="Q23" s="2" t="s">
        <v>751</v>
      </c>
      <c r="R23" s="3">
        <v>46153.385416666701</v>
      </c>
      <c r="S23" s="2" t="s">
        <v>751</v>
      </c>
      <c r="T23" s="34"/>
      <c r="U23" s="1" t="s">
        <v>31</v>
      </c>
    </row>
    <row r="24" spans="2:21" ht="29" customHeight="1">
      <c r="B24" s="2" t="s">
        <v>753</v>
      </c>
      <c r="C24" s="2" t="s">
        <v>357</v>
      </c>
      <c r="D24" s="2" t="s">
        <v>357</v>
      </c>
      <c r="E24" s="41">
        <v>1</v>
      </c>
      <c r="F24" s="42">
        <v>1</v>
      </c>
      <c r="G24" s="2" t="s">
        <v>699</v>
      </c>
      <c r="H24" s="2" t="s">
        <v>700</v>
      </c>
      <c r="I24" s="2" t="s">
        <v>701</v>
      </c>
      <c r="J24" s="43" t="s">
        <v>702</v>
      </c>
      <c r="K24" s="30" t="e">
        <f>SUMIF([1]quotation_details!C:C,B24,[1]quotation_details!K:K)</f>
        <v>#VALUE!</v>
      </c>
      <c r="L24" s="43" t="s">
        <v>702</v>
      </c>
      <c r="M24" s="2" t="s">
        <v>754</v>
      </c>
      <c r="N24" s="2" t="s">
        <v>630</v>
      </c>
      <c r="O24" s="2" t="s">
        <v>755</v>
      </c>
      <c r="P24" s="3">
        <v>46133.5222222222</v>
      </c>
      <c r="Q24" s="2" t="s">
        <v>754</v>
      </c>
      <c r="R24" s="3">
        <v>46153.5222222222</v>
      </c>
      <c r="S24" s="2" t="s">
        <v>754</v>
      </c>
      <c r="T24" s="34"/>
      <c r="U24" s="1" t="s">
        <v>31</v>
      </c>
    </row>
    <row r="25" spans="2:21" ht="29" customHeight="1">
      <c r="B25" s="2" t="s">
        <v>756</v>
      </c>
      <c r="C25" s="2" t="s">
        <v>366</v>
      </c>
      <c r="D25" s="2" t="s">
        <v>366</v>
      </c>
      <c r="E25" s="41">
        <v>1</v>
      </c>
      <c r="F25" s="42">
        <v>1</v>
      </c>
      <c r="G25" s="2" t="s">
        <v>706</v>
      </c>
      <c r="H25" s="2" t="s">
        <v>623</v>
      </c>
      <c r="I25" s="2" t="s">
        <v>701</v>
      </c>
      <c r="J25" s="43" t="s">
        <v>702</v>
      </c>
      <c r="K25" s="30" t="e">
        <f>SUMIF([1]quotation_details!C:C,B25,[1]quotation_details!K:K)</f>
        <v>#VALUE!</v>
      </c>
      <c r="L25" s="43" t="s">
        <v>702</v>
      </c>
      <c r="M25" s="2" t="s">
        <v>757</v>
      </c>
      <c r="N25" s="2" t="s">
        <v>623</v>
      </c>
      <c r="O25" s="2" t="s">
        <v>758</v>
      </c>
      <c r="P25" s="3">
        <v>46134.659027777801</v>
      </c>
      <c r="Q25" s="2" t="s">
        <v>757</v>
      </c>
      <c r="R25" s="3">
        <v>46154.659027777801</v>
      </c>
      <c r="S25" s="2" t="s">
        <v>757</v>
      </c>
      <c r="T25" s="34"/>
      <c r="U25" s="1" t="s">
        <v>31</v>
      </c>
    </row>
    <row r="26" spans="2:21" ht="29" customHeight="1">
      <c r="B26" s="2" t="s">
        <v>759</v>
      </c>
      <c r="C26" s="2" t="s">
        <v>376</v>
      </c>
      <c r="D26" s="2" t="s">
        <v>376</v>
      </c>
      <c r="E26" s="41">
        <v>1</v>
      </c>
      <c r="F26" s="42">
        <v>1</v>
      </c>
      <c r="G26" s="2" t="s">
        <v>710</v>
      </c>
      <c r="H26" s="2" t="s">
        <v>623</v>
      </c>
      <c r="I26" s="2" t="s">
        <v>701</v>
      </c>
      <c r="J26" s="43" t="s">
        <v>702</v>
      </c>
      <c r="K26" s="30" t="e">
        <f>SUMIF([1]quotation_details!C:C,B26,[1]quotation_details!K:K)</f>
        <v>#VALUE!</v>
      </c>
      <c r="L26" s="43" t="s">
        <v>702</v>
      </c>
      <c r="M26" s="2" t="s">
        <v>760</v>
      </c>
      <c r="N26" s="2" t="s">
        <v>700</v>
      </c>
      <c r="O26" s="2" t="s">
        <v>761</v>
      </c>
      <c r="P26" s="3">
        <v>46134.379166666702</v>
      </c>
      <c r="Q26" s="2" t="s">
        <v>760</v>
      </c>
      <c r="R26" s="3">
        <v>46154.379166666702</v>
      </c>
      <c r="S26" s="2" t="s">
        <v>760</v>
      </c>
      <c r="T26" s="34"/>
      <c r="U26" s="1" t="s">
        <v>31</v>
      </c>
    </row>
    <row r="27" spans="2:21" ht="29" customHeight="1">
      <c r="B27" s="2" t="s">
        <v>762</v>
      </c>
      <c r="C27" s="2" t="s">
        <v>385</v>
      </c>
      <c r="D27" s="2" t="s">
        <v>385</v>
      </c>
      <c r="E27" s="41">
        <v>1</v>
      </c>
      <c r="F27" s="42">
        <v>1</v>
      </c>
      <c r="G27" s="2" t="s">
        <v>714</v>
      </c>
      <c r="H27" s="2" t="s">
        <v>700</v>
      </c>
      <c r="I27" s="2" t="s">
        <v>701</v>
      </c>
      <c r="J27" s="43" t="s">
        <v>702</v>
      </c>
      <c r="K27" s="30" t="e">
        <f>SUMIF([1]quotation_details!C:C,B27,[1]quotation_details!K:K)</f>
        <v>#VALUE!</v>
      </c>
      <c r="L27" s="43" t="s">
        <v>702</v>
      </c>
      <c r="M27" s="2" t="s">
        <v>763</v>
      </c>
      <c r="N27" s="2" t="s">
        <v>716</v>
      </c>
      <c r="O27" s="2" t="s">
        <v>764</v>
      </c>
      <c r="P27" s="3">
        <v>46135.515972222202</v>
      </c>
      <c r="Q27" s="2" t="s">
        <v>763</v>
      </c>
      <c r="R27" s="3">
        <v>46155.515972222202</v>
      </c>
      <c r="S27" s="2" t="s">
        <v>763</v>
      </c>
      <c r="T27" s="34"/>
      <c r="U27" s="1" t="s">
        <v>31</v>
      </c>
    </row>
    <row r="28" spans="2:21" ht="43.5" customHeight="1">
      <c r="B28" s="2" t="s">
        <v>765</v>
      </c>
      <c r="C28" s="2" t="s">
        <v>395</v>
      </c>
      <c r="D28" s="2" t="s">
        <v>395</v>
      </c>
      <c r="E28" s="41">
        <v>1</v>
      </c>
      <c r="F28" s="42">
        <v>1</v>
      </c>
      <c r="G28" s="2" t="s">
        <v>699</v>
      </c>
      <c r="H28" s="2" t="s">
        <v>700</v>
      </c>
      <c r="I28" s="2" t="s">
        <v>701</v>
      </c>
      <c r="J28" s="43" t="s">
        <v>702</v>
      </c>
      <c r="K28" s="30" t="e">
        <f>SUMIF([1]quotation_details!C:C,B28,[1]quotation_details!K:K)</f>
        <v>#VALUE!</v>
      </c>
      <c r="L28" s="43" t="s">
        <v>702</v>
      </c>
      <c r="M28" s="2" t="s">
        <v>766</v>
      </c>
      <c r="N28" s="2" t="s">
        <v>630</v>
      </c>
      <c r="O28" s="2" t="s">
        <v>767</v>
      </c>
      <c r="P28" s="3">
        <v>46135.652777777803</v>
      </c>
      <c r="Q28" s="2" t="s">
        <v>766</v>
      </c>
      <c r="R28" s="3">
        <v>46155.652777777803</v>
      </c>
      <c r="S28" s="2" t="s">
        <v>766</v>
      </c>
      <c r="T28" s="34"/>
      <c r="U28" s="1" t="s">
        <v>31</v>
      </c>
    </row>
    <row r="29" spans="2:21" ht="43.5" customHeight="1">
      <c r="B29" s="2" t="s">
        <v>768</v>
      </c>
      <c r="C29" s="2" t="s">
        <v>404</v>
      </c>
      <c r="D29" s="2" t="s">
        <v>404</v>
      </c>
      <c r="E29" s="41">
        <v>1</v>
      </c>
      <c r="F29" s="42">
        <v>1</v>
      </c>
      <c r="G29" s="2" t="s">
        <v>706</v>
      </c>
      <c r="H29" s="2" t="s">
        <v>623</v>
      </c>
      <c r="I29" s="2" t="s">
        <v>701</v>
      </c>
      <c r="J29" s="43" t="s">
        <v>702</v>
      </c>
      <c r="K29" s="30" t="e">
        <f>SUMIF([1]quotation_details!C:C,B29,[1]quotation_details!K:K)</f>
        <v>#VALUE!</v>
      </c>
      <c r="L29" s="43" t="s">
        <v>702</v>
      </c>
      <c r="M29" s="2" t="s">
        <v>769</v>
      </c>
      <c r="N29" s="2" t="s">
        <v>623</v>
      </c>
      <c r="O29" s="2" t="s">
        <v>770</v>
      </c>
      <c r="P29" s="3">
        <v>46136.414583333302</v>
      </c>
      <c r="Q29" s="2" t="s">
        <v>769</v>
      </c>
      <c r="R29" s="3">
        <v>46156.414583333302</v>
      </c>
      <c r="S29" s="2" t="s">
        <v>769</v>
      </c>
      <c r="T29" s="34"/>
      <c r="U29" s="1" t="s">
        <v>31</v>
      </c>
    </row>
    <row r="30" spans="2:21" ht="43.5" customHeight="1">
      <c r="B30" s="2" t="s">
        <v>771</v>
      </c>
      <c r="C30" s="2" t="s">
        <v>413</v>
      </c>
      <c r="D30" s="2" t="s">
        <v>413</v>
      </c>
      <c r="E30" s="41">
        <v>1</v>
      </c>
      <c r="F30" s="42">
        <v>1</v>
      </c>
      <c r="G30" s="2" t="s">
        <v>710</v>
      </c>
      <c r="H30" s="2" t="s">
        <v>623</v>
      </c>
      <c r="I30" s="2" t="s">
        <v>701</v>
      </c>
      <c r="J30" s="43" t="s">
        <v>702</v>
      </c>
      <c r="K30" s="30" t="e">
        <f>SUMIF([1]quotation_details!C:C,B30,[1]quotation_details!K:K)</f>
        <v>#VALUE!</v>
      </c>
      <c r="L30" s="43" t="s">
        <v>702</v>
      </c>
      <c r="M30" s="2" t="s">
        <v>772</v>
      </c>
      <c r="N30" s="2" t="s">
        <v>700</v>
      </c>
      <c r="O30" s="2" t="s">
        <v>773</v>
      </c>
      <c r="P30" s="3">
        <v>46136.509722222203</v>
      </c>
      <c r="Q30" s="2" t="s">
        <v>772</v>
      </c>
      <c r="R30" s="3">
        <v>46156.509722222203</v>
      </c>
      <c r="S30" s="2" t="s">
        <v>772</v>
      </c>
      <c r="T30" s="34"/>
      <c r="U30" s="1" t="s">
        <v>31</v>
      </c>
    </row>
    <row r="31" spans="2:21" ht="43.5" customHeight="1">
      <c r="B31" s="2" t="s">
        <v>774</v>
      </c>
      <c r="C31" s="2" t="s">
        <v>423</v>
      </c>
      <c r="D31" s="2" t="s">
        <v>423</v>
      </c>
      <c r="E31" s="41">
        <v>1</v>
      </c>
      <c r="F31" s="42">
        <v>1</v>
      </c>
      <c r="G31" s="2" t="s">
        <v>714</v>
      </c>
      <c r="H31" s="2" t="s">
        <v>700</v>
      </c>
      <c r="I31" s="2" t="s">
        <v>701</v>
      </c>
      <c r="J31" s="43" t="s">
        <v>702</v>
      </c>
      <c r="K31" s="30" t="e">
        <f>SUMIF([1]quotation_details!C:C,B31,[1]quotation_details!K:K)</f>
        <v>#VALUE!</v>
      </c>
      <c r="L31" s="43" t="s">
        <v>702</v>
      </c>
      <c r="M31" s="2" t="s">
        <v>775</v>
      </c>
      <c r="N31" s="2" t="s">
        <v>716</v>
      </c>
      <c r="O31" s="2" t="s">
        <v>776</v>
      </c>
      <c r="P31" s="3">
        <v>46136.646527777797</v>
      </c>
      <c r="Q31" s="2" t="s">
        <v>775</v>
      </c>
      <c r="R31" s="3">
        <v>46156.646527777797</v>
      </c>
      <c r="S31" s="2" t="s">
        <v>775</v>
      </c>
      <c r="T31" s="34"/>
      <c r="U31" s="1" t="s">
        <v>31</v>
      </c>
    </row>
    <row r="32" spans="2:21" ht="29" customHeight="1">
      <c r="B32" s="2" t="s">
        <v>777</v>
      </c>
      <c r="C32" s="2" t="s">
        <v>432</v>
      </c>
      <c r="D32" s="2" t="s">
        <v>432</v>
      </c>
      <c r="E32" s="41">
        <v>1</v>
      </c>
      <c r="F32" s="42">
        <v>1</v>
      </c>
      <c r="G32" s="2" t="s">
        <v>699</v>
      </c>
      <c r="H32" s="2" t="s">
        <v>700</v>
      </c>
      <c r="I32" s="2" t="s">
        <v>701</v>
      </c>
      <c r="J32" s="43" t="s">
        <v>702</v>
      </c>
      <c r="K32" s="30" t="e">
        <f>SUMIF([1]quotation_details!C:C,B32,[1]quotation_details!K:K)</f>
        <v>#VALUE!</v>
      </c>
      <c r="L32" s="43" t="s">
        <v>702</v>
      </c>
      <c r="M32" s="2" t="s">
        <v>150</v>
      </c>
      <c r="N32" s="2" t="s">
        <v>630</v>
      </c>
      <c r="O32" s="2" t="s">
        <v>778</v>
      </c>
      <c r="P32" s="3">
        <v>46137.408333333296</v>
      </c>
      <c r="Q32" s="2" t="s">
        <v>150</v>
      </c>
      <c r="R32" s="3">
        <v>46157.408333333296</v>
      </c>
      <c r="S32" s="2" t="s">
        <v>150</v>
      </c>
      <c r="T32" s="34"/>
      <c r="U32" s="1" t="s">
        <v>31</v>
      </c>
    </row>
    <row r="33" spans="2:21" ht="43.5" customHeight="1">
      <c r="B33" s="2" t="s">
        <v>779</v>
      </c>
      <c r="C33" s="2" t="s">
        <v>440</v>
      </c>
      <c r="D33" s="2" t="s">
        <v>440</v>
      </c>
      <c r="E33" s="41">
        <v>1</v>
      </c>
      <c r="F33" s="42">
        <v>1</v>
      </c>
      <c r="G33" s="2" t="s">
        <v>706</v>
      </c>
      <c r="H33" s="2" t="s">
        <v>623</v>
      </c>
      <c r="I33" s="2" t="s">
        <v>701</v>
      </c>
      <c r="J33" s="43" t="s">
        <v>702</v>
      </c>
      <c r="K33" s="30" t="e">
        <f>SUMIF([1]quotation_details!C:C,B33,[1]quotation_details!K:K)</f>
        <v>#VALUE!</v>
      </c>
      <c r="L33" s="43" t="s">
        <v>702</v>
      </c>
      <c r="M33" s="2" t="s">
        <v>154</v>
      </c>
      <c r="N33" s="2" t="s">
        <v>623</v>
      </c>
      <c r="O33" s="2" t="s">
        <v>780</v>
      </c>
      <c r="P33" s="3">
        <v>46137.503472222197</v>
      </c>
      <c r="Q33" s="2" t="s">
        <v>154</v>
      </c>
      <c r="R33" s="3">
        <v>46157.503472222197</v>
      </c>
      <c r="S33" s="2" t="s">
        <v>154</v>
      </c>
      <c r="T33" s="34"/>
      <c r="U33" s="1" t="s">
        <v>31</v>
      </c>
    </row>
    <row r="34" spans="2:21" ht="43.5" customHeight="1">
      <c r="B34" s="2" t="s">
        <v>781</v>
      </c>
      <c r="C34" s="2" t="s">
        <v>449</v>
      </c>
      <c r="D34" s="2" t="s">
        <v>449</v>
      </c>
      <c r="E34" s="41">
        <v>1</v>
      </c>
      <c r="F34" s="42">
        <v>1</v>
      </c>
      <c r="G34" s="2" t="s">
        <v>710</v>
      </c>
      <c r="H34" s="2" t="s">
        <v>623</v>
      </c>
      <c r="I34" s="2" t="s">
        <v>701</v>
      </c>
      <c r="J34" s="43" t="s">
        <v>702</v>
      </c>
      <c r="K34" s="30" t="e">
        <f>SUMIF([1]quotation_details!C:C,B34,[1]quotation_details!K:K)</f>
        <v>#VALUE!</v>
      </c>
      <c r="L34" s="43" t="s">
        <v>702</v>
      </c>
      <c r="M34" s="2" t="s">
        <v>782</v>
      </c>
      <c r="N34" s="2" t="s">
        <v>700</v>
      </c>
      <c r="O34" s="2" t="s">
        <v>783</v>
      </c>
      <c r="P34" s="3">
        <v>46138.640277777798</v>
      </c>
      <c r="Q34" s="2" t="s">
        <v>782</v>
      </c>
      <c r="R34" s="3">
        <v>46158.640277777798</v>
      </c>
      <c r="S34" s="2" t="s">
        <v>782</v>
      </c>
      <c r="T34" s="34"/>
      <c r="U34" s="1" t="s">
        <v>31</v>
      </c>
    </row>
    <row r="35" spans="2:21" ht="29" customHeight="1">
      <c r="B35" s="2" t="s">
        <v>784</v>
      </c>
      <c r="C35" s="2" t="s">
        <v>458</v>
      </c>
      <c r="D35" s="2" t="s">
        <v>458</v>
      </c>
      <c r="E35" s="41">
        <v>1</v>
      </c>
      <c r="F35" s="42">
        <v>1</v>
      </c>
      <c r="G35" s="2" t="s">
        <v>714</v>
      </c>
      <c r="H35" s="2" t="s">
        <v>700</v>
      </c>
      <c r="I35" s="2" t="s">
        <v>701</v>
      </c>
      <c r="J35" s="43" t="s">
        <v>702</v>
      </c>
      <c r="K35" s="30" t="e">
        <f>SUMIF([1]quotation_details!C:C,B35,[1]quotation_details!K:K)</f>
        <v>#VALUE!</v>
      </c>
      <c r="L35" s="43" t="s">
        <v>702</v>
      </c>
      <c r="M35" s="2" t="s">
        <v>785</v>
      </c>
      <c r="N35" s="2" t="s">
        <v>716</v>
      </c>
      <c r="O35" s="2" t="s">
        <v>786</v>
      </c>
      <c r="P35" s="3">
        <v>46138.402083333298</v>
      </c>
      <c r="Q35" s="2" t="s">
        <v>785</v>
      </c>
      <c r="R35" s="3">
        <v>46158.402083333298</v>
      </c>
      <c r="S35" s="2" t="s">
        <v>785</v>
      </c>
      <c r="T35" s="34"/>
      <c r="U35" s="1" t="s">
        <v>31</v>
      </c>
    </row>
    <row r="36" spans="2:21" ht="29" customHeight="1">
      <c r="B36" s="2" t="s">
        <v>787</v>
      </c>
      <c r="C36" s="2" t="s">
        <v>466</v>
      </c>
      <c r="D36" s="2" t="s">
        <v>466</v>
      </c>
      <c r="E36" s="41">
        <v>1</v>
      </c>
      <c r="F36" s="42">
        <v>1</v>
      </c>
      <c r="G36" s="2" t="s">
        <v>699</v>
      </c>
      <c r="H36" s="2" t="s">
        <v>700</v>
      </c>
      <c r="I36" s="2" t="s">
        <v>701</v>
      </c>
      <c r="J36" s="43" t="s">
        <v>702</v>
      </c>
      <c r="K36" s="30" t="e">
        <f>SUMIF([1]quotation_details!C:C,B36,[1]quotation_details!K:K)</f>
        <v>#VALUE!</v>
      </c>
      <c r="L36" s="43" t="s">
        <v>702</v>
      </c>
      <c r="M36" s="2" t="s">
        <v>788</v>
      </c>
      <c r="N36" s="2" t="s">
        <v>630</v>
      </c>
      <c r="O36" s="2" t="s">
        <v>789</v>
      </c>
      <c r="P36" s="3">
        <v>46139.538888888899</v>
      </c>
      <c r="Q36" s="2" t="s">
        <v>788</v>
      </c>
      <c r="R36" s="3">
        <v>46159.538888888899</v>
      </c>
      <c r="S36" s="2" t="s">
        <v>788</v>
      </c>
      <c r="T36" s="34"/>
      <c r="U36" s="1" t="s">
        <v>31</v>
      </c>
    </row>
    <row r="37" spans="2:21" ht="43.5" customHeight="1">
      <c r="B37" s="2" t="s">
        <v>790</v>
      </c>
      <c r="C37" s="2" t="s">
        <v>475</v>
      </c>
      <c r="D37" s="2" t="s">
        <v>475</v>
      </c>
      <c r="E37" s="41">
        <v>1</v>
      </c>
      <c r="F37" s="42">
        <v>1</v>
      </c>
      <c r="G37" s="2" t="s">
        <v>706</v>
      </c>
      <c r="H37" s="2" t="s">
        <v>623</v>
      </c>
      <c r="I37" s="2" t="s">
        <v>701</v>
      </c>
      <c r="J37" s="43" t="s">
        <v>702</v>
      </c>
      <c r="K37" s="30" t="e">
        <f>SUMIF([1]quotation_details!C:C,B37,[1]quotation_details!K:K)</f>
        <v>#VALUE!</v>
      </c>
      <c r="L37" s="43" t="s">
        <v>702</v>
      </c>
      <c r="M37" s="2" t="s">
        <v>791</v>
      </c>
      <c r="N37" s="2" t="s">
        <v>623</v>
      </c>
      <c r="O37" s="2" t="s">
        <v>792</v>
      </c>
      <c r="P37" s="3">
        <v>46139.6340277778</v>
      </c>
      <c r="Q37" s="2" t="s">
        <v>791</v>
      </c>
      <c r="R37" s="3">
        <v>46159.6340277778</v>
      </c>
      <c r="S37" s="2" t="s">
        <v>791</v>
      </c>
      <c r="T37" s="34"/>
      <c r="U37" s="1" t="s">
        <v>31</v>
      </c>
    </row>
    <row r="38" spans="2:21" ht="29" customHeight="1">
      <c r="B38" s="2" t="s">
        <v>793</v>
      </c>
      <c r="C38" s="2" t="s">
        <v>794</v>
      </c>
      <c r="D38" s="2" t="s">
        <v>794</v>
      </c>
      <c r="E38" s="41">
        <v>1</v>
      </c>
      <c r="F38" s="42">
        <v>1</v>
      </c>
      <c r="G38" s="2" t="s">
        <v>710</v>
      </c>
      <c r="H38" s="2" t="s">
        <v>623</v>
      </c>
      <c r="I38" s="2" t="s">
        <v>701</v>
      </c>
      <c r="J38" s="43" t="s">
        <v>702</v>
      </c>
      <c r="K38" s="30" t="e">
        <f>SUMIF([1]quotation_details!C:C,B38,[1]quotation_details!K:K)</f>
        <v>#VALUE!</v>
      </c>
      <c r="L38" s="43" t="s">
        <v>702</v>
      </c>
      <c r="M38" s="2" t="s">
        <v>795</v>
      </c>
      <c r="N38" s="2" t="s">
        <v>700</v>
      </c>
      <c r="O38" s="2" t="s">
        <v>796</v>
      </c>
      <c r="P38" s="3">
        <v>46140.395833333299</v>
      </c>
      <c r="Q38" s="2" t="s">
        <v>795</v>
      </c>
      <c r="R38" s="3">
        <v>46160.395833333299</v>
      </c>
      <c r="S38" s="2" t="s">
        <v>795</v>
      </c>
      <c r="T38" s="34"/>
      <c r="U38" s="1" t="s">
        <v>31</v>
      </c>
    </row>
    <row r="39" spans="2:21" ht="43.5" customHeight="1">
      <c r="B39" s="2" t="s">
        <v>797</v>
      </c>
      <c r="C39" s="2" t="s">
        <v>798</v>
      </c>
      <c r="D39" s="2" t="s">
        <v>798</v>
      </c>
      <c r="E39" s="41">
        <v>1</v>
      </c>
      <c r="F39" s="42">
        <v>1</v>
      </c>
      <c r="G39" s="2" t="s">
        <v>714</v>
      </c>
      <c r="H39" s="2" t="s">
        <v>700</v>
      </c>
      <c r="I39" s="2" t="s">
        <v>701</v>
      </c>
      <c r="J39" s="43" t="s">
        <v>702</v>
      </c>
      <c r="K39" s="30" t="e">
        <f>SUMIF([1]quotation_details!C:C,B39,[1]quotation_details!K:K)</f>
        <v>#VALUE!</v>
      </c>
      <c r="L39" s="43" t="s">
        <v>702</v>
      </c>
      <c r="M39" s="2" t="s">
        <v>799</v>
      </c>
      <c r="N39" s="2" t="s">
        <v>716</v>
      </c>
      <c r="O39" s="2" t="s">
        <v>800</v>
      </c>
      <c r="P39" s="3">
        <v>46140.532638888901</v>
      </c>
      <c r="Q39" s="2" t="s">
        <v>799</v>
      </c>
      <c r="R39" s="3">
        <v>46160.532638888901</v>
      </c>
      <c r="S39" s="2" t="s">
        <v>799</v>
      </c>
      <c r="T39" s="34"/>
      <c r="U39" s="1" t="s">
        <v>31</v>
      </c>
    </row>
    <row r="40" spans="2:21" ht="29" customHeight="1">
      <c r="B40" s="2" t="s">
        <v>801</v>
      </c>
      <c r="C40" s="2" t="s">
        <v>802</v>
      </c>
      <c r="D40" s="2" t="s">
        <v>802</v>
      </c>
      <c r="E40" s="41">
        <v>1</v>
      </c>
      <c r="F40" s="42">
        <v>1</v>
      </c>
      <c r="G40" s="2" t="s">
        <v>699</v>
      </c>
      <c r="H40" s="2" t="s">
        <v>700</v>
      </c>
      <c r="I40" s="2" t="s">
        <v>701</v>
      </c>
      <c r="J40" s="43" t="s">
        <v>702</v>
      </c>
      <c r="K40" s="30" t="e">
        <f>SUMIF([1]quotation_details!C:C,B40,[1]quotation_details!K:K)</f>
        <v>#VALUE!</v>
      </c>
      <c r="L40" s="43" t="s">
        <v>702</v>
      </c>
      <c r="M40" s="2" t="s">
        <v>803</v>
      </c>
      <c r="N40" s="2" t="s">
        <v>630</v>
      </c>
      <c r="O40" s="2" t="s">
        <v>804</v>
      </c>
      <c r="P40" s="3">
        <v>46141.627777777801</v>
      </c>
      <c r="Q40" s="2" t="s">
        <v>803</v>
      </c>
      <c r="R40" s="3">
        <v>46161.627777777801</v>
      </c>
      <c r="S40" s="2" t="s">
        <v>803</v>
      </c>
      <c r="T40" s="34"/>
      <c r="U40" s="1" t="s">
        <v>31</v>
      </c>
    </row>
    <row r="41" spans="2:21" ht="43.5" customHeight="1">
      <c r="B41" s="2" t="s">
        <v>805</v>
      </c>
      <c r="C41" s="2" t="s">
        <v>806</v>
      </c>
      <c r="D41" s="2" t="s">
        <v>806</v>
      </c>
      <c r="E41" s="41">
        <v>1</v>
      </c>
      <c r="F41" s="42">
        <v>1</v>
      </c>
      <c r="G41" s="2" t="s">
        <v>706</v>
      </c>
      <c r="H41" s="2" t="s">
        <v>623</v>
      </c>
      <c r="I41" s="2" t="s">
        <v>701</v>
      </c>
      <c r="J41" s="43" t="s">
        <v>702</v>
      </c>
      <c r="K41" s="30" t="e">
        <f>SUMIF([1]quotation_details!C:C,B41,[1]quotation_details!K:K)</f>
        <v>#VALUE!</v>
      </c>
      <c r="L41" s="43" t="s">
        <v>702</v>
      </c>
      <c r="M41" s="2" t="s">
        <v>807</v>
      </c>
      <c r="N41" s="2" t="s">
        <v>623</v>
      </c>
      <c r="O41" s="2" t="s">
        <v>808</v>
      </c>
      <c r="P41" s="3">
        <v>46141.389583333301</v>
      </c>
      <c r="Q41" s="2" t="s">
        <v>807</v>
      </c>
      <c r="R41" s="3">
        <v>46161.389583333301</v>
      </c>
      <c r="S41" s="2" t="s">
        <v>807</v>
      </c>
      <c r="T41" s="34"/>
      <c r="U41" s="1" t="s">
        <v>31</v>
      </c>
    </row>
    <row r="42" spans="2:21" ht="43.5" customHeight="1">
      <c r="B42" s="2" t="s">
        <v>809</v>
      </c>
      <c r="C42" s="2" t="s">
        <v>810</v>
      </c>
      <c r="D42" s="2" t="s">
        <v>810</v>
      </c>
      <c r="E42" s="41">
        <v>1</v>
      </c>
      <c r="F42" s="42">
        <v>1</v>
      </c>
      <c r="G42" s="2" t="s">
        <v>710</v>
      </c>
      <c r="H42" s="2" t="s">
        <v>623</v>
      </c>
      <c r="I42" s="2" t="s">
        <v>701</v>
      </c>
      <c r="J42" s="43" t="s">
        <v>702</v>
      </c>
      <c r="K42" s="30" t="e">
        <f>SUMIF([1]quotation_details!C:C,B42,[1]quotation_details!K:K)</f>
        <v>#VALUE!</v>
      </c>
      <c r="L42" s="43" t="s">
        <v>702</v>
      </c>
      <c r="M42" s="2" t="s">
        <v>811</v>
      </c>
      <c r="N42" s="2" t="s">
        <v>700</v>
      </c>
      <c r="O42" s="2" t="s">
        <v>812</v>
      </c>
      <c r="P42" s="3">
        <v>46141.526388888902</v>
      </c>
      <c r="Q42" s="2" t="s">
        <v>811</v>
      </c>
      <c r="R42" s="3">
        <v>46161.526388888902</v>
      </c>
      <c r="S42" s="2" t="s">
        <v>811</v>
      </c>
      <c r="T42" s="34"/>
      <c r="U42" s="1" t="s">
        <v>31</v>
      </c>
    </row>
    <row r="43" spans="2:21" ht="43.5" customHeight="1">
      <c r="B43" s="2" t="s">
        <v>813</v>
      </c>
      <c r="C43" s="2" t="s">
        <v>814</v>
      </c>
      <c r="D43" s="2" t="s">
        <v>814</v>
      </c>
      <c r="E43" s="41">
        <v>1</v>
      </c>
      <c r="F43" s="42">
        <v>1</v>
      </c>
      <c r="G43" s="2" t="s">
        <v>714</v>
      </c>
      <c r="H43" s="2" t="s">
        <v>700</v>
      </c>
      <c r="I43" s="2" t="s">
        <v>701</v>
      </c>
      <c r="J43" s="43" t="s">
        <v>702</v>
      </c>
      <c r="K43" s="30" t="e">
        <f>SUMIF([1]quotation_details!C:C,B43,[1]quotation_details!K:K)</f>
        <v>#VALUE!</v>
      </c>
      <c r="L43" s="43" t="s">
        <v>702</v>
      </c>
      <c r="M43" s="2" t="s">
        <v>815</v>
      </c>
      <c r="N43" s="2" t="s">
        <v>716</v>
      </c>
      <c r="O43" s="2" t="s">
        <v>816</v>
      </c>
      <c r="P43" s="3">
        <v>46142.663194444402</v>
      </c>
      <c r="Q43" s="2" t="s">
        <v>815</v>
      </c>
      <c r="R43" s="3">
        <v>46162.663194444402</v>
      </c>
      <c r="S43" s="2" t="s">
        <v>815</v>
      </c>
      <c r="T43" s="34"/>
      <c r="U43" s="1" t="s">
        <v>31</v>
      </c>
    </row>
    <row r="44" spans="2:21" ht="43.5" customHeight="1">
      <c r="B44" s="2" t="s">
        <v>817</v>
      </c>
      <c r="C44" s="2" t="s">
        <v>818</v>
      </c>
      <c r="D44" s="2" t="s">
        <v>818</v>
      </c>
      <c r="E44" s="41">
        <v>1</v>
      </c>
      <c r="F44" s="42">
        <v>1</v>
      </c>
      <c r="G44" s="2" t="s">
        <v>699</v>
      </c>
      <c r="H44" s="2" t="s">
        <v>700</v>
      </c>
      <c r="I44" s="2" t="s">
        <v>701</v>
      </c>
      <c r="J44" s="43" t="s">
        <v>702</v>
      </c>
      <c r="K44" s="30" t="e">
        <f>SUMIF([1]quotation_details!C:C,B44,[1]quotation_details!K:K)</f>
        <v>#VALUE!</v>
      </c>
      <c r="L44" s="43" t="s">
        <v>702</v>
      </c>
      <c r="M44" s="2" t="s">
        <v>86</v>
      </c>
      <c r="N44" s="2" t="s">
        <v>630</v>
      </c>
      <c r="O44" s="2" t="s">
        <v>819</v>
      </c>
      <c r="P44" s="3">
        <v>46142.383333333302</v>
      </c>
      <c r="Q44" s="2" t="s">
        <v>86</v>
      </c>
      <c r="R44" s="3">
        <v>46162.383333333302</v>
      </c>
      <c r="S44" s="2" t="s">
        <v>86</v>
      </c>
      <c r="T44" s="34"/>
      <c r="U44" s="1" t="s">
        <v>31</v>
      </c>
    </row>
    <row r="45" spans="2:21" ht="29" customHeight="1">
      <c r="B45" s="2" t="s">
        <v>820</v>
      </c>
      <c r="C45" s="2" t="s">
        <v>821</v>
      </c>
      <c r="D45" s="2" t="s">
        <v>821</v>
      </c>
      <c r="E45" s="41">
        <v>1</v>
      </c>
      <c r="F45" s="42">
        <v>1</v>
      </c>
      <c r="G45" s="2" t="s">
        <v>706</v>
      </c>
      <c r="H45" s="2" t="s">
        <v>623</v>
      </c>
      <c r="I45" s="2" t="s">
        <v>701</v>
      </c>
      <c r="J45" s="43" t="s">
        <v>702</v>
      </c>
      <c r="K45" s="30" t="e">
        <f>SUMIF([1]quotation_details!C:C,B45,[1]quotation_details!K:K)</f>
        <v>#VALUE!</v>
      </c>
      <c r="L45" s="43" t="s">
        <v>702</v>
      </c>
      <c r="M45" s="2" t="s">
        <v>822</v>
      </c>
      <c r="N45" s="2" t="s">
        <v>623</v>
      </c>
      <c r="O45" s="2" t="s">
        <v>823</v>
      </c>
      <c r="P45" s="3">
        <v>46143.520138888904</v>
      </c>
      <c r="Q45" s="2" t="s">
        <v>822</v>
      </c>
      <c r="R45" s="3">
        <v>46163.520138888904</v>
      </c>
      <c r="S45" s="2" t="s">
        <v>822</v>
      </c>
      <c r="T45" s="34"/>
      <c r="U45" s="1" t="s">
        <v>31</v>
      </c>
    </row>
    <row r="46" spans="2:21" ht="43.5" customHeight="1">
      <c r="B46" s="2" t="s">
        <v>824</v>
      </c>
      <c r="C46" s="2" t="s">
        <v>825</v>
      </c>
      <c r="D46" s="2" t="s">
        <v>825</v>
      </c>
      <c r="E46" s="41">
        <v>1</v>
      </c>
      <c r="F46" s="42">
        <v>1</v>
      </c>
      <c r="G46" s="2" t="s">
        <v>710</v>
      </c>
      <c r="H46" s="2" t="s">
        <v>623</v>
      </c>
      <c r="I46" s="2" t="s">
        <v>701</v>
      </c>
      <c r="J46" s="43" t="s">
        <v>702</v>
      </c>
      <c r="K46" s="30" t="e">
        <f>SUMIF([1]quotation_details!C:C,B46,[1]quotation_details!K:K)</f>
        <v>#VALUE!</v>
      </c>
      <c r="L46" s="43" t="s">
        <v>702</v>
      </c>
      <c r="M46" s="2" t="s">
        <v>826</v>
      </c>
      <c r="N46" s="2" t="s">
        <v>700</v>
      </c>
      <c r="O46" s="2" t="s">
        <v>827</v>
      </c>
      <c r="P46" s="3">
        <v>46143.656944444403</v>
      </c>
      <c r="Q46" s="2" t="s">
        <v>826</v>
      </c>
      <c r="R46" s="3">
        <v>46163.656944444403</v>
      </c>
      <c r="S46" s="2" t="s">
        <v>826</v>
      </c>
      <c r="T46" s="34"/>
      <c r="U46" s="1" t="s">
        <v>31</v>
      </c>
    </row>
    <row r="47" spans="2:21" ht="43.5" customHeight="1">
      <c r="B47" s="2" t="s">
        <v>828</v>
      </c>
      <c r="C47" s="2" t="s">
        <v>829</v>
      </c>
      <c r="D47" s="2" t="s">
        <v>829</v>
      </c>
      <c r="E47" s="41">
        <v>1</v>
      </c>
      <c r="F47" s="42">
        <v>1</v>
      </c>
      <c r="G47" s="2" t="s">
        <v>714</v>
      </c>
      <c r="H47" s="2" t="s">
        <v>700</v>
      </c>
      <c r="I47" s="2" t="s">
        <v>701</v>
      </c>
      <c r="J47" s="43" t="s">
        <v>702</v>
      </c>
      <c r="K47" s="30" t="e">
        <f>SUMIF([1]quotation_details!C:C,B47,[1]quotation_details!K:K)</f>
        <v>#VALUE!</v>
      </c>
      <c r="L47" s="43" t="s">
        <v>702</v>
      </c>
      <c r="M47" s="2" t="s">
        <v>830</v>
      </c>
      <c r="N47" s="2" t="s">
        <v>716</v>
      </c>
      <c r="O47" s="2" t="s">
        <v>831</v>
      </c>
      <c r="P47" s="3">
        <v>46144.377083333296</v>
      </c>
      <c r="Q47" s="2" t="s">
        <v>830</v>
      </c>
      <c r="R47" s="3">
        <v>46164.377083333296</v>
      </c>
      <c r="S47" s="2" t="s">
        <v>830</v>
      </c>
      <c r="T47" s="34"/>
      <c r="U47" s="1" t="s">
        <v>31</v>
      </c>
    </row>
    <row r="48" spans="2:21" ht="43.5" customHeight="1">
      <c r="B48" s="2" t="s">
        <v>832</v>
      </c>
      <c r="C48" s="2" t="s">
        <v>833</v>
      </c>
      <c r="D48" s="2" t="s">
        <v>833</v>
      </c>
      <c r="E48" s="41">
        <v>1</v>
      </c>
      <c r="F48" s="42">
        <v>1</v>
      </c>
      <c r="G48" s="2" t="s">
        <v>699</v>
      </c>
      <c r="H48" s="2" t="s">
        <v>700</v>
      </c>
      <c r="I48" s="2" t="s">
        <v>701</v>
      </c>
      <c r="J48" s="43" t="s">
        <v>702</v>
      </c>
      <c r="K48" s="30" t="e">
        <f>SUMIF([1]quotation_details!C:C,B48,[1]quotation_details!K:K)</f>
        <v>#VALUE!</v>
      </c>
      <c r="L48" s="43" t="s">
        <v>702</v>
      </c>
      <c r="M48" s="2" t="s">
        <v>834</v>
      </c>
      <c r="N48" s="2" t="s">
        <v>630</v>
      </c>
      <c r="O48" s="2" t="s">
        <v>835</v>
      </c>
      <c r="P48" s="3">
        <v>46144.513888888898</v>
      </c>
      <c r="Q48" s="2" t="s">
        <v>834</v>
      </c>
      <c r="R48" s="3">
        <v>46164.513888888898</v>
      </c>
      <c r="S48" s="2" t="s">
        <v>834</v>
      </c>
      <c r="T48" s="34"/>
      <c r="U48" s="1" t="s">
        <v>31</v>
      </c>
    </row>
    <row r="49" spans="2:21" ht="43.5" customHeight="1">
      <c r="B49" s="2" t="s">
        <v>836</v>
      </c>
      <c r="C49" s="2" t="s">
        <v>837</v>
      </c>
      <c r="D49" s="2" t="s">
        <v>837</v>
      </c>
      <c r="E49" s="41">
        <v>1</v>
      </c>
      <c r="F49" s="42">
        <v>1</v>
      </c>
      <c r="G49" s="2" t="s">
        <v>706</v>
      </c>
      <c r="H49" s="2" t="s">
        <v>623</v>
      </c>
      <c r="I49" s="2" t="s">
        <v>701</v>
      </c>
      <c r="J49" s="43" t="s">
        <v>702</v>
      </c>
      <c r="K49" s="30" t="e">
        <f>SUMIF([1]quotation_details!C:C,B49,[1]quotation_details!K:K)</f>
        <v>#VALUE!</v>
      </c>
      <c r="L49" s="43" t="s">
        <v>702</v>
      </c>
      <c r="M49" s="2" t="s">
        <v>838</v>
      </c>
      <c r="N49" s="2" t="s">
        <v>623</v>
      </c>
      <c r="O49" s="2" t="s">
        <v>839</v>
      </c>
      <c r="P49" s="3">
        <v>46145.650694444397</v>
      </c>
      <c r="Q49" s="2" t="s">
        <v>838</v>
      </c>
      <c r="R49" s="3">
        <v>46165.650694444397</v>
      </c>
      <c r="S49" s="2" t="s">
        <v>838</v>
      </c>
      <c r="T49" s="34"/>
      <c r="U49" s="1" t="s">
        <v>31</v>
      </c>
    </row>
    <row r="50" spans="2:21" ht="43.5" customHeight="1">
      <c r="B50" s="2" t="s">
        <v>840</v>
      </c>
      <c r="C50" s="2" t="s">
        <v>841</v>
      </c>
      <c r="D50" s="2" t="s">
        <v>841</v>
      </c>
      <c r="E50" s="41">
        <v>1</v>
      </c>
      <c r="F50" s="42">
        <v>1</v>
      </c>
      <c r="G50" s="2" t="s">
        <v>710</v>
      </c>
      <c r="H50" s="2" t="s">
        <v>623</v>
      </c>
      <c r="I50" s="2" t="s">
        <v>701</v>
      </c>
      <c r="J50" s="43" t="s">
        <v>702</v>
      </c>
      <c r="K50" s="30" t="e">
        <f>SUMIF([1]quotation_details!C:C,B50,[1]quotation_details!K:K)</f>
        <v>#VALUE!</v>
      </c>
      <c r="L50" s="43" t="s">
        <v>702</v>
      </c>
      <c r="M50" s="2" t="s">
        <v>842</v>
      </c>
      <c r="N50" s="2" t="s">
        <v>700</v>
      </c>
      <c r="O50" s="2" t="s">
        <v>843</v>
      </c>
      <c r="P50" s="3">
        <v>46145.412499999999</v>
      </c>
      <c r="Q50" s="2" t="s">
        <v>842</v>
      </c>
      <c r="R50" s="3">
        <v>46165.412499999999</v>
      </c>
      <c r="S50" s="2" t="s">
        <v>842</v>
      </c>
      <c r="T50" s="34"/>
      <c r="U50" s="1" t="s">
        <v>31</v>
      </c>
    </row>
    <row r="51" spans="2:21" ht="43.5" customHeight="1">
      <c r="B51" s="2" t="s">
        <v>844</v>
      </c>
      <c r="C51" s="2" t="s">
        <v>845</v>
      </c>
      <c r="D51" s="2" t="s">
        <v>845</v>
      </c>
      <c r="E51" s="41">
        <v>1</v>
      </c>
      <c r="F51" s="42">
        <v>1</v>
      </c>
      <c r="G51" s="2" t="s">
        <v>714</v>
      </c>
      <c r="H51" s="2" t="s">
        <v>700</v>
      </c>
      <c r="I51" s="2" t="s">
        <v>701</v>
      </c>
      <c r="J51" s="43" t="s">
        <v>702</v>
      </c>
      <c r="K51" s="30" t="e">
        <f>SUMIF([1]quotation_details!C:C,B51,[1]quotation_details!K:K)</f>
        <v>#VALUE!</v>
      </c>
      <c r="L51" s="43" t="s">
        <v>702</v>
      </c>
      <c r="M51" s="2" t="s">
        <v>846</v>
      </c>
      <c r="N51" s="2" t="s">
        <v>716</v>
      </c>
      <c r="O51" s="2" t="s">
        <v>847</v>
      </c>
      <c r="P51" s="3">
        <v>46146.507638888899</v>
      </c>
      <c r="Q51" s="2" t="s">
        <v>846</v>
      </c>
      <c r="R51" s="3">
        <v>46166.507638888899</v>
      </c>
      <c r="S51" s="2" t="s">
        <v>846</v>
      </c>
      <c r="T51" s="34"/>
      <c r="U51" s="1" t="s">
        <v>31</v>
      </c>
    </row>
    <row r="52" spans="2:21" ht="29" customHeight="1">
      <c r="B52" s="2" t="s">
        <v>848</v>
      </c>
      <c r="C52" s="2" t="s">
        <v>849</v>
      </c>
      <c r="D52" s="2" t="s">
        <v>849</v>
      </c>
      <c r="E52" s="41">
        <v>1</v>
      </c>
      <c r="F52" s="42">
        <v>1</v>
      </c>
      <c r="G52" s="2" t="s">
        <v>699</v>
      </c>
      <c r="H52" s="2" t="s">
        <v>700</v>
      </c>
      <c r="I52" s="2" t="s">
        <v>701</v>
      </c>
      <c r="J52" s="43" t="s">
        <v>702</v>
      </c>
      <c r="K52" s="30" t="e">
        <f>SUMIF([1]quotation_details!C:C,B52,[1]quotation_details!K:K)</f>
        <v>#VALUE!</v>
      </c>
      <c r="L52" s="43" t="s">
        <v>702</v>
      </c>
      <c r="M52" s="2" t="s">
        <v>850</v>
      </c>
      <c r="N52" s="2" t="s">
        <v>630</v>
      </c>
      <c r="O52" s="2" t="s">
        <v>851</v>
      </c>
      <c r="P52" s="3">
        <v>46146.644444444399</v>
      </c>
      <c r="Q52" s="2" t="s">
        <v>850</v>
      </c>
      <c r="R52" s="3">
        <v>46166.644444444399</v>
      </c>
      <c r="S52" s="2" t="s">
        <v>850</v>
      </c>
      <c r="T52" s="34"/>
      <c r="U52" s="1" t="s">
        <v>31</v>
      </c>
    </row>
    <row r="53" spans="2:21" ht="43.5" customHeight="1">
      <c r="B53" s="2" t="s">
        <v>852</v>
      </c>
      <c r="C53" s="2" t="s">
        <v>853</v>
      </c>
      <c r="D53" s="2" t="s">
        <v>853</v>
      </c>
      <c r="E53" s="41">
        <v>1</v>
      </c>
      <c r="F53" s="42">
        <v>1</v>
      </c>
      <c r="G53" s="2" t="s">
        <v>706</v>
      </c>
      <c r="H53" s="2" t="s">
        <v>623</v>
      </c>
      <c r="I53" s="2" t="s">
        <v>701</v>
      </c>
      <c r="J53" s="43" t="s">
        <v>702</v>
      </c>
      <c r="K53" s="30" t="e">
        <f>SUMIF([1]quotation_details!C:C,B53,[1]quotation_details!K:K)</f>
        <v>#VALUE!</v>
      </c>
      <c r="L53" s="43" t="s">
        <v>702</v>
      </c>
      <c r="M53" s="2" t="s">
        <v>854</v>
      </c>
      <c r="N53" s="2" t="s">
        <v>623</v>
      </c>
      <c r="O53" s="2" t="s">
        <v>855</v>
      </c>
      <c r="P53" s="3">
        <v>46147.40625</v>
      </c>
      <c r="Q53" s="2" t="s">
        <v>854</v>
      </c>
      <c r="R53" s="3">
        <v>46167.40625</v>
      </c>
      <c r="S53" s="2" t="s">
        <v>854</v>
      </c>
      <c r="T53" s="34"/>
      <c r="U53" s="1" t="s">
        <v>31</v>
      </c>
    </row>
    <row r="54" spans="2:21" ht="29" customHeight="1">
      <c r="B54" s="2" t="s">
        <v>856</v>
      </c>
      <c r="C54" s="2" t="s">
        <v>857</v>
      </c>
      <c r="D54" s="2" t="s">
        <v>857</v>
      </c>
      <c r="E54" s="41">
        <v>1</v>
      </c>
      <c r="F54" s="42">
        <v>1</v>
      </c>
      <c r="G54" s="2" t="s">
        <v>710</v>
      </c>
      <c r="H54" s="2" t="s">
        <v>623</v>
      </c>
      <c r="I54" s="2" t="s">
        <v>701</v>
      </c>
      <c r="J54" s="43" t="s">
        <v>702</v>
      </c>
      <c r="K54" s="30" t="e">
        <f>SUMIF([1]quotation_details!C:C,B54,[1]quotation_details!K:K)</f>
        <v>#VALUE!</v>
      </c>
      <c r="L54" s="43" t="s">
        <v>702</v>
      </c>
      <c r="M54" s="2" t="s">
        <v>858</v>
      </c>
      <c r="N54" s="2" t="s">
        <v>700</v>
      </c>
      <c r="O54" s="2" t="s">
        <v>859</v>
      </c>
      <c r="P54" s="3">
        <v>46147.501388888901</v>
      </c>
      <c r="Q54" s="2" t="s">
        <v>858</v>
      </c>
      <c r="R54" s="3">
        <v>46167.501388888901</v>
      </c>
      <c r="S54" s="2" t="s">
        <v>858</v>
      </c>
      <c r="T54" s="34"/>
      <c r="U54" s="1" t="s">
        <v>31</v>
      </c>
    </row>
    <row r="55" spans="2:21" ht="43.5" customHeight="1">
      <c r="B55" s="2" t="s">
        <v>860</v>
      </c>
      <c r="C55" s="2" t="s">
        <v>861</v>
      </c>
      <c r="D55" s="2" t="s">
        <v>861</v>
      </c>
      <c r="E55" s="41">
        <v>1</v>
      </c>
      <c r="F55" s="42">
        <v>1</v>
      </c>
      <c r="G55" s="2" t="s">
        <v>714</v>
      </c>
      <c r="H55" s="2" t="s">
        <v>700</v>
      </c>
      <c r="I55" s="2" t="s">
        <v>701</v>
      </c>
      <c r="J55" s="43" t="s">
        <v>702</v>
      </c>
      <c r="K55" s="30" t="e">
        <f>SUMIF([1]quotation_details!C:C,B55,[1]quotation_details!K:K)</f>
        <v>#VALUE!</v>
      </c>
      <c r="L55" s="43" t="s">
        <v>702</v>
      </c>
      <c r="M55" s="2" t="s">
        <v>862</v>
      </c>
      <c r="N55" s="2" t="s">
        <v>716</v>
      </c>
      <c r="O55" s="2" t="s">
        <v>863</v>
      </c>
      <c r="P55" s="3">
        <v>46147.6381944444</v>
      </c>
      <c r="Q55" s="2" t="s">
        <v>862</v>
      </c>
      <c r="R55" s="3">
        <v>46167.6381944444</v>
      </c>
      <c r="S55" s="2" t="s">
        <v>862</v>
      </c>
      <c r="T55" s="34"/>
      <c r="U55" s="1" t="s">
        <v>31</v>
      </c>
    </row>
    <row r="56" spans="2:21" ht="43.5" customHeight="1">
      <c r="B56" s="2" t="s">
        <v>864</v>
      </c>
      <c r="C56" s="2" t="s">
        <v>865</v>
      </c>
      <c r="D56" s="2" t="s">
        <v>865</v>
      </c>
      <c r="E56" s="41">
        <v>1</v>
      </c>
      <c r="F56" s="42">
        <v>1</v>
      </c>
      <c r="G56" s="2" t="s">
        <v>699</v>
      </c>
      <c r="H56" s="2" t="s">
        <v>700</v>
      </c>
      <c r="I56" s="2" t="s">
        <v>701</v>
      </c>
      <c r="J56" s="43" t="s">
        <v>702</v>
      </c>
      <c r="K56" s="30" t="e">
        <f>SUMIF([1]quotation_details!C:C,B56,[1]quotation_details!K:K)</f>
        <v>#VALUE!</v>
      </c>
      <c r="L56" s="43" t="s">
        <v>702</v>
      </c>
      <c r="M56" s="2" t="s">
        <v>97</v>
      </c>
      <c r="N56" s="2" t="s">
        <v>630</v>
      </c>
      <c r="O56" s="2" t="s">
        <v>866</v>
      </c>
      <c r="P56" s="3">
        <v>46148.4</v>
      </c>
      <c r="Q56" s="2" t="s">
        <v>97</v>
      </c>
      <c r="R56" s="3">
        <v>46168.4</v>
      </c>
      <c r="S56" s="2" t="s">
        <v>97</v>
      </c>
      <c r="T56" s="34"/>
      <c r="U56" s="1" t="s">
        <v>31</v>
      </c>
    </row>
    <row r="57" spans="2:21" ht="43.5" customHeight="1">
      <c r="B57" s="2" t="s">
        <v>867</v>
      </c>
      <c r="C57" s="2" t="s">
        <v>868</v>
      </c>
      <c r="D57" s="2" t="s">
        <v>868</v>
      </c>
      <c r="E57" s="41">
        <v>1</v>
      </c>
      <c r="F57" s="42">
        <v>1</v>
      </c>
      <c r="G57" s="2" t="s">
        <v>706</v>
      </c>
      <c r="H57" s="2" t="s">
        <v>623</v>
      </c>
      <c r="I57" s="2" t="s">
        <v>701</v>
      </c>
      <c r="J57" s="43" t="s">
        <v>702</v>
      </c>
      <c r="K57" s="30" t="e">
        <f>SUMIF([1]quotation_details!C:C,B57,[1]quotation_details!K:K)</f>
        <v>#VALUE!</v>
      </c>
      <c r="L57" s="43" t="s">
        <v>702</v>
      </c>
      <c r="M57" s="2" t="s">
        <v>869</v>
      </c>
      <c r="N57" s="2" t="s">
        <v>623</v>
      </c>
      <c r="O57" s="2" t="s">
        <v>870</v>
      </c>
      <c r="P57" s="3">
        <v>46148.536805555603</v>
      </c>
      <c r="Q57" s="2" t="s">
        <v>869</v>
      </c>
      <c r="R57" s="3">
        <v>46168.536805555603</v>
      </c>
      <c r="S57" s="2" t="s">
        <v>869</v>
      </c>
      <c r="T57" s="34"/>
      <c r="U57" s="1" t="s">
        <v>31</v>
      </c>
    </row>
    <row r="58" spans="2:21" ht="43.5" customHeight="1">
      <c r="B58" s="2" t="s">
        <v>871</v>
      </c>
      <c r="C58" s="2" t="s">
        <v>872</v>
      </c>
      <c r="D58" s="2" t="s">
        <v>872</v>
      </c>
      <c r="E58" s="41">
        <v>1</v>
      </c>
      <c r="F58" s="42">
        <v>1</v>
      </c>
      <c r="G58" s="2" t="s">
        <v>710</v>
      </c>
      <c r="H58" s="2" t="s">
        <v>623</v>
      </c>
      <c r="I58" s="2" t="s">
        <v>701</v>
      </c>
      <c r="J58" s="43" t="s">
        <v>702</v>
      </c>
      <c r="K58" s="30" t="e">
        <f>SUMIF([1]quotation_details!C:C,B58,[1]quotation_details!K:K)</f>
        <v>#VALUE!</v>
      </c>
      <c r="L58" s="43" t="s">
        <v>702</v>
      </c>
      <c r="M58" s="2" t="s">
        <v>873</v>
      </c>
      <c r="N58" s="2" t="s">
        <v>700</v>
      </c>
      <c r="O58" s="2" t="s">
        <v>874</v>
      </c>
      <c r="P58" s="3">
        <v>46149.631944444402</v>
      </c>
      <c r="Q58" s="2" t="s">
        <v>873</v>
      </c>
      <c r="R58" s="3">
        <v>46169.631944444402</v>
      </c>
      <c r="S58" s="2" t="s">
        <v>873</v>
      </c>
      <c r="T58" s="34"/>
      <c r="U58" s="1" t="s">
        <v>31</v>
      </c>
    </row>
    <row r="59" spans="2:21" ht="29" customHeight="1">
      <c r="B59" s="2" t="s">
        <v>875</v>
      </c>
      <c r="C59" s="2" t="s">
        <v>876</v>
      </c>
      <c r="D59" s="2" t="s">
        <v>876</v>
      </c>
      <c r="E59" s="41">
        <v>1</v>
      </c>
      <c r="F59" s="42">
        <v>1</v>
      </c>
      <c r="G59" s="2" t="s">
        <v>714</v>
      </c>
      <c r="H59" s="2" t="s">
        <v>700</v>
      </c>
      <c r="I59" s="2" t="s">
        <v>701</v>
      </c>
      <c r="J59" s="43" t="s">
        <v>702</v>
      </c>
      <c r="K59" s="30" t="e">
        <f>SUMIF([1]quotation_details!C:C,B59,[1]quotation_details!K:K)</f>
        <v>#VALUE!</v>
      </c>
      <c r="L59" s="43" t="s">
        <v>702</v>
      </c>
      <c r="M59" s="2" t="s">
        <v>877</v>
      </c>
      <c r="N59" s="2" t="s">
        <v>716</v>
      </c>
      <c r="O59" s="2" t="s">
        <v>878</v>
      </c>
      <c r="P59" s="3">
        <v>46149.393750000003</v>
      </c>
      <c r="Q59" s="2" t="s">
        <v>877</v>
      </c>
      <c r="R59" s="3">
        <v>46169.393750000003</v>
      </c>
      <c r="S59" s="2" t="s">
        <v>877</v>
      </c>
      <c r="T59" s="34"/>
      <c r="U59" s="1" t="s">
        <v>31</v>
      </c>
    </row>
    <row r="60" spans="2:21" ht="29" customHeight="1">
      <c r="B60" s="2" t="s">
        <v>879</v>
      </c>
      <c r="C60" s="2" t="s">
        <v>880</v>
      </c>
      <c r="D60" s="2" t="s">
        <v>880</v>
      </c>
      <c r="E60" s="41">
        <v>1</v>
      </c>
      <c r="F60" s="42">
        <v>1</v>
      </c>
      <c r="G60" s="2" t="s">
        <v>699</v>
      </c>
      <c r="H60" s="2" t="s">
        <v>700</v>
      </c>
      <c r="I60" s="2" t="s">
        <v>701</v>
      </c>
      <c r="J60" s="43" t="s">
        <v>702</v>
      </c>
      <c r="K60" s="30" t="e">
        <f>SUMIF([1]quotation_details!C:C,B60,[1]quotation_details!K:K)</f>
        <v>#VALUE!</v>
      </c>
      <c r="L60" s="43" t="s">
        <v>702</v>
      </c>
      <c r="M60" s="2" t="s">
        <v>881</v>
      </c>
      <c r="N60" s="2" t="s">
        <v>630</v>
      </c>
      <c r="O60" s="2" t="s">
        <v>882</v>
      </c>
      <c r="P60" s="3">
        <v>46150.530555555597</v>
      </c>
      <c r="Q60" s="2" t="s">
        <v>881</v>
      </c>
      <c r="R60" s="3">
        <v>46170.530555555597</v>
      </c>
      <c r="S60" s="2" t="s">
        <v>881</v>
      </c>
      <c r="T60" s="34"/>
      <c r="U60" s="1" t="s">
        <v>31</v>
      </c>
    </row>
    <row r="61" spans="2:21" ht="43.5" customHeight="1">
      <c r="B61" s="2" t="s">
        <v>883</v>
      </c>
      <c r="C61" s="2" t="s">
        <v>884</v>
      </c>
      <c r="D61" s="2" t="s">
        <v>884</v>
      </c>
      <c r="E61" s="41">
        <v>1</v>
      </c>
      <c r="F61" s="42">
        <v>1</v>
      </c>
      <c r="G61" s="2" t="s">
        <v>706</v>
      </c>
      <c r="H61" s="2" t="s">
        <v>623</v>
      </c>
      <c r="I61" s="2" t="s">
        <v>701</v>
      </c>
      <c r="J61" s="43" t="s">
        <v>702</v>
      </c>
      <c r="K61" s="30" t="e">
        <f>SUMIF([1]quotation_details!C:C,B61,[1]quotation_details!K:K)</f>
        <v>#VALUE!</v>
      </c>
      <c r="L61" s="43" t="s">
        <v>702</v>
      </c>
      <c r="M61" s="2" t="s">
        <v>885</v>
      </c>
      <c r="N61" s="2" t="s">
        <v>623</v>
      </c>
      <c r="O61" s="2" t="s">
        <v>886</v>
      </c>
      <c r="P61" s="3">
        <v>46150.625694444403</v>
      </c>
      <c r="Q61" s="2" t="s">
        <v>885</v>
      </c>
      <c r="R61" s="3">
        <v>46170.625694444403</v>
      </c>
      <c r="S61" s="2" t="s">
        <v>885</v>
      </c>
      <c r="T61" s="34"/>
      <c r="U61" s="1" t="s">
        <v>31</v>
      </c>
    </row>
    <row r="62" spans="2:21" ht="43.5" customHeight="1">
      <c r="B62" s="2" t="s">
        <v>887</v>
      </c>
      <c r="C62" s="2" t="s">
        <v>888</v>
      </c>
      <c r="D62" s="2" t="s">
        <v>888</v>
      </c>
      <c r="E62" s="41">
        <v>1</v>
      </c>
      <c r="F62" s="42">
        <v>1</v>
      </c>
      <c r="G62" s="2" t="s">
        <v>710</v>
      </c>
      <c r="H62" s="2" t="s">
        <v>623</v>
      </c>
      <c r="I62" s="2" t="s">
        <v>701</v>
      </c>
      <c r="J62" s="43" t="s">
        <v>702</v>
      </c>
      <c r="K62" s="30" t="e">
        <f>SUMIF([1]quotation_details!C:C,B62,[1]quotation_details!K:K)</f>
        <v>#VALUE!</v>
      </c>
      <c r="L62" s="43" t="s">
        <v>702</v>
      </c>
      <c r="M62" s="2" t="s">
        <v>889</v>
      </c>
      <c r="N62" s="2" t="s">
        <v>700</v>
      </c>
      <c r="O62" s="2" t="s">
        <v>890</v>
      </c>
      <c r="P62" s="3">
        <v>46151.387499999997</v>
      </c>
      <c r="Q62" s="2" t="s">
        <v>889</v>
      </c>
      <c r="R62" s="3">
        <v>46171.387499999997</v>
      </c>
      <c r="S62" s="2" t="s">
        <v>889</v>
      </c>
      <c r="T62" s="34"/>
      <c r="U62" s="1" t="s">
        <v>31</v>
      </c>
    </row>
    <row r="63" spans="2:21" ht="43.5" customHeight="1">
      <c r="B63" s="2" t="s">
        <v>891</v>
      </c>
      <c r="C63" s="2" t="s">
        <v>892</v>
      </c>
      <c r="D63" s="2" t="s">
        <v>892</v>
      </c>
      <c r="E63" s="41">
        <v>1</v>
      </c>
      <c r="F63" s="42">
        <v>1</v>
      </c>
      <c r="G63" s="2" t="s">
        <v>714</v>
      </c>
      <c r="H63" s="2" t="s">
        <v>700</v>
      </c>
      <c r="I63" s="2" t="s">
        <v>701</v>
      </c>
      <c r="J63" s="43" t="s">
        <v>702</v>
      </c>
      <c r="K63" s="30" t="e">
        <f>SUMIF([1]quotation_details!C:C,B63,[1]quotation_details!K:K)</f>
        <v>#VALUE!</v>
      </c>
      <c r="L63" s="43" t="s">
        <v>702</v>
      </c>
      <c r="M63" s="2" t="s">
        <v>893</v>
      </c>
      <c r="N63" s="2" t="s">
        <v>716</v>
      </c>
      <c r="O63" s="2" t="s">
        <v>894</v>
      </c>
      <c r="P63" s="3">
        <v>46151.524305555598</v>
      </c>
      <c r="Q63" s="2" t="s">
        <v>893</v>
      </c>
      <c r="R63" s="3">
        <v>46171.524305555598</v>
      </c>
      <c r="S63" s="2" t="s">
        <v>893</v>
      </c>
      <c r="T63" s="34"/>
      <c r="U63" s="1" t="s">
        <v>31</v>
      </c>
    </row>
    <row r="64" spans="2:21" ht="29" customHeight="1">
      <c r="B64" s="2" t="s">
        <v>895</v>
      </c>
      <c r="C64" s="2" t="s">
        <v>896</v>
      </c>
      <c r="D64" s="2" t="s">
        <v>896</v>
      </c>
      <c r="E64" s="41">
        <v>1</v>
      </c>
      <c r="F64" s="42">
        <v>1</v>
      </c>
      <c r="G64" s="2" t="s">
        <v>699</v>
      </c>
      <c r="H64" s="2" t="s">
        <v>700</v>
      </c>
      <c r="I64" s="2" t="s">
        <v>701</v>
      </c>
      <c r="J64" s="43" t="s">
        <v>702</v>
      </c>
      <c r="K64" s="30" t="e">
        <f>SUMIF([1]quotation_details!C:C,B64,[1]quotation_details!K:K)</f>
        <v>#VALUE!</v>
      </c>
      <c r="L64" s="43" t="s">
        <v>702</v>
      </c>
      <c r="M64" s="2" t="s">
        <v>897</v>
      </c>
      <c r="N64" s="2" t="s">
        <v>630</v>
      </c>
      <c r="O64" s="2" t="s">
        <v>898</v>
      </c>
      <c r="P64" s="3">
        <v>46152.661111111098</v>
      </c>
      <c r="Q64" s="2" t="s">
        <v>897</v>
      </c>
      <c r="R64" s="3">
        <v>46172.661111111098</v>
      </c>
      <c r="S64" s="2" t="s">
        <v>897</v>
      </c>
      <c r="T64" s="34"/>
      <c r="U64" s="1" t="s">
        <v>31</v>
      </c>
    </row>
    <row r="65" spans="2:21" ht="43.5" customHeight="1">
      <c r="B65" s="2" t="s">
        <v>899</v>
      </c>
      <c r="C65" s="2" t="s">
        <v>900</v>
      </c>
      <c r="D65" s="2" t="s">
        <v>900</v>
      </c>
      <c r="E65" s="41">
        <v>1</v>
      </c>
      <c r="F65" s="42">
        <v>1</v>
      </c>
      <c r="G65" s="2" t="s">
        <v>706</v>
      </c>
      <c r="H65" s="2" t="s">
        <v>623</v>
      </c>
      <c r="I65" s="2" t="s">
        <v>701</v>
      </c>
      <c r="J65" s="43" t="s">
        <v>702</v>
      </c>
      <c r="K65" s="30" t="e">
        <f>SUMIF([1]quotation_details!C:C,B65,[1]quotation_details!K:K)</f>
        <v>#VALUE!</v>
      </c>
      <c r="L65" s="43" t="s">
        <v>702</v>
      </c>
      <c r="M65" s="2" t="s">
        <v>901</v>
      </c>
      <c r="N65" s="2" t="s">
        <v>623</v>
      </c>
      <c r="O65" s="2" t="s">
        <v>902</v>
      </c>
      <c r="P65" s="3">
        <v>46152.381249999999</v>
      </c>
      <c r="Q65" s="2" t="s">
        <v>901</v>
      </c>
      <c r="R65" s="3">
        <v>46172.381249999999</v>
      </c>
      <c r="S65" s="2" t="s">
        <v>901</v>
      </c>
      <c r="T65" s="34"/>
      <c r="U65" s="1" t="s">
        <v>31</v>
      </c>
    </row>
    <row r="66" spans="2:21" ht="43.5" customHeight="1">
      <c r="B66" s="2" t="s">
        <v>903</v>
      </c>
      <c r="C66" s="2" t="s">
        <v>904</v>
      </c>
      <c r="D66" s="2" t="s">
        <v>904</v>
      </c>
      <c r="E66" s="41">
        <v>1</v>
      </c>
      <c r="F66" s="42">
        <v>1</v>
      </c>
      <c r="G66" s="2" t="s">
        <v>710</v>
      </c>
      <c r="H66" s="2" t="s">
        <v>623</v>
      </c>
      <c r="I66" s="2" t="s">
        <v>701</v>
      </c>
      <c r="J66" s="43" t="s">
        <v>702</v>
      </c>
      <c r="K66" s="30" t="e">
        <f>SUMIF([1]quotation_details!C:C,B66,[1]quotation_details!K:K)</f>
        <v>#VALUE!</v>
      </c>
      <c r="L66" s="43" t="s">
        <v>702</v>
      </c>
      <c r="M66" s="2" t="s">
        <v>905</v>
      </c>
      <c r="N66" s="2" t="s">
        <v>700</v>
      </c>
      <c r="O66" s="2" t="s">
        <v>906</v>
      </c>
      <c r="P66" s="3">
        <v>46152.5180555556</v>
      </c>
      <c r="Q66" s="2" t="s">
        <v>905</v>
      </c>
      <c r="R66" s="3">
        <v>46172.5180555556</v>
      </c>
      <c r="S66" s="2" t="s">
        <v>905</v>
      </c>
      <c r="T66" s="34"/>
      <c r="U66" s="1" t="s">
        <v>31</v>
      </c>
    </row>
    <row r="67" spans="2:21" ht="43.5" customHeight="1">
      <c r="B67" s="2" t="s">
        <v>907</v>
      </c>
      <c r="C67" s="2" t="s">
        <v>908</v>
      </c>
      <c r="D67" s="2" t="s">
        <v>908</v>
      </c>
      <c r="E67" s="41">
        <v>1</v>
      </c>
      <c r="F67" s="42">
        <v>1</v>
      </c>
      <c r="G67" s="2" t="s">
        <v>714</v>
      </c>
      <c r="H67" s="2" t="s">
        <v>700</v>
      </c>
      <c r="I67" s="2" t="s">
        <v>701</v>
      </c>
      <c r="J67" s="43" t="s">
        <v>702</v>
      </c>
      <c r="K67" s="30" t="e">
        <f>SUMIF([1]quotation_details!C:C,B67,[1]quotation_details!K:K)</f>
        <v>#VALUE!</v>
      </c>
      <c r="L67" s="43" t="s">
        <v>702</v>
      </c>
      <c r="M67" s="2" t="s">
        <v>909</v>
      </c>
      <c r="N67" s="2" t="s">
        <v>716</v>
      </c>
      <c r="O67" s="2" t="s">
        <v>910</v>
      </c>
      <c r="P67" s="3">
        <v>46153.654861111099</v>
      </c>
      <c r="Q67" s="2" t="s">
        <v>909</v>
      </c>
      <c r="R67" s="3">
        <v>46173.654861111099</v>
      </c>
      <c r="S67" s="2" t="s">
        <v>909</v>
      </c>
      <c r="T67" s="34"/>
      <c r="U67" s="1" t="s">
        <v>31</v>
      </c>
    </row>
    <row r="68" spans="2:21" ht="43.5" customHeight="1">
      <c r="B68" s="2" t="s">
        <v>911</v>
      </c>
      <c r="C68" s="2" t="s">
        <v>912</v>
      </c>
      <c r="D68" s="2" t="s">
        <v>912</v>
      </c>
      <c r="E68" s="41">
        <v>1</v>
      </c>
      <c r="F68" s="42">
        <v>1</v>
      </c>
      <c r="G68" s="2" t="s">
        <v>699</v>
      </c>
      <c r="H68" s="2" t="s">
        <v>700</v>
      </c>
      <c r="I68" s="2" t="s">
        <v>701</v>
      </c>
      <c r="J68" s="43" t="s">
        <v>702</v>
      </c>
      <c r="K68" s="30" t="e">
        <f>SUMIF([1]quotation_details!C:C,B68,[1]quotation_details!K:K)</f>
        <v>#VALUE!</v>
      </c>
      <c r="L68" s="43" t="s">
        <v>702</v>
      </c>
      <c r="M68" s="2" t="s">
        <v>913</v>
      </c>
      <c r="N68" s="2" t="s">
        <v>630</v>
      </c>
      <c r="O68" s="2" t="s">
        <v>914</v>
      </c>
      <c r="P68" s="3">
        <v>46153.375</v>
      </c>
      <c r="Q68" s="2" t="s">
        <v>913</v>
      </c>
      <c r="R68" s="3">
        <v>46173.375</v>
      </c>
      <c r="S68" s="2" t="s">
        <v>913</v>
      </c>
      <c r="T68" s="34"/>
      <c r="U68" s="1" t="s">
        <v>31</v>
      </c>
    </row>
    <row r="69" spans="2:21" ht="43.5" customHeight="1">
      <c r="B69" s="2" t="s">
        <v>915</v>
      </c>
      <c r="C69" s="2" t="s">
        <v>916</v>
      </c>
      <c r="D69" s="2" t="s">
        <v>916</v>
      </c>
      <c r="E69" s="41">
        <v>1</v>
      </c>
      <c r="F69" s="42">
        <v>1</v>
      </c>
      <c r="G69" s="2" t="s">
        <v>706</v>
      </c>
      <c r="H69" s="2" t="s">
        <v>623</v>
      </c>
      <c r="I69" s="2" t="s">
        <v>701</v>
      </c>
      <c r="J69" s="43" t="s">
        <v>702</v>
      </c>
      <c r="K69" s="30" t="e">
        <f>SUMIF([1]quotation_details!C:C,B69,[1]quotation_details!K:K)</f>
        <v>#VALUE!</v>
      </c>
      <c r="L69" s="43" t="s">
        <v>702</v>
      </c>
      <c r="M69" s="2" t="s">
        <v>917</v>
      </c>
      <c r="N69" s="2" t="s">
        <v>623</v>
      </c>
      <c r="O69" s="2" t="s">
        <v>918</v>
      </c>
      <c r="P69" s="3">
        <v>46154.511805555601</v>
      </c>
      <c r="Q69" s="2" t="s">
        <v>917</v>
      </c>
      <c r="R69" s="3">
        <v>46174.511805555601</v>
      </c>
      <c r="S69" s="2" t="s">
        <v>917</v>
      </c>
      <c r="T69" s="34"/>
      <c r="U69" s="1" t="s">
        <v>31</v>
      </c>
    </row>
    <row r="70" spans="2:21" ht="43.5" customHeight="1">
      <c r="B70" s="2" t="s">
        <v>919</v>
      </c>
      <c r="C70" s="2" t="s">
        <v>920</v>
      </c>
      <c r="D70" s="2" t="s">
        <v>920</v>
      </c>
      <c r="E70" s="41">
        <v>1</v>
      </c>
      <c r="F70" s="42">
        <v>1</v>
      </c>
      <c r="G70" s="2" t="s">
        <v>710</v>
      </c>
      <c r="H70" s="2" t="s">
        <v>623</v>
      </c>
      <c r="I70" s="2" t="s">
        <v>701</v>
      </c>
      <c r="J70" s="43" t="s">
        <v>702</v>
      </c>
      <c r="K70" s="30" t="e">
        <f>SUMIF([1]quotation_details!C:C,B70,[1]quotation_details!K:K)</f>
        <v>#VALUE!</v>
      </c>
      <c r="L70" s="43" t="s">
        <v>702</v>
      </c>
      <c r="M70" s="2" t="s">
        <v>703</v>
      </c>
      <c r="N70" s="2" t="s">
        <v>700</v>
      </c>
      <c r="O70" s="2" t="s">
        <v>921</v>
      </c>
      <c r="P70" s="3">
        <v>46154.648611111101</v>
      </c>
      <c r="Q70" s="2" t="s">
        <v>703</v>
      </c>
      <c r="R70" s="3">
        <v>46174.648611111101</v>
      </c>
      <c r="S70" s="2" t="s">
        <v>703</v>
      </c>
      <c r="T70" s="34"/>
      <c r="U70" s="1" t="s">
        <v>31</v>
      </c>
    </row>
    <row r="71" spans="2:21" ht="43.5" customHeight="1">
      <c r="B71" s="2" t="s">
        <v>922</v>
      </c>
      <c r="C71" s="2" t="s">
        <v>923</v>
      </c>
      <c r="D71" s="2" t="s">
        <v>923</v>
      </c>
      <c r="E71" s="41">
        <v>1</v>
      </c>
      <c r="F71" s="42">
        <v>1</v>
      </c>
      <c r="G71" s="2" t="s">
        <v>714</v>
      </c>
      <c r="H71" s="2" t="s">
        <v>700</v>
      </c>
      <c r="I71" s="2" t="s">
        <v>701</v>
      </c>
      <c r="J71" s="43" t="s">
        <v>702</v>
      </c>
      <c r="K71" s="30" t="e">
        <f>SUMIF([1]quotation_details!C:C,B71,[1]quotation_details!K:K)</f>
        <v>#VALUE!</v>
      </c>
      <c r="L71" s="43" t="s">
        <v>702</v>
      </c>
      <c r="M71" s="2" t="s">
        <v>707</v>
      </c>
      <c r="N71" s="2" t="s">
        <v>716</v>
      </c>
      <c r="O71" s="2" t="s">
        <v>924</v>
      </c>
      <c r="P71" s="3">
        <v>46155.410416666702</v>
      </c>
      <c r="Q71" s="2" t="s">
        <v>707</v>
      </c>
      <c r="R71" s="3">
        <v>46175.410416666702</v>
      </c>
      <c r="S71" s="2" t="s">
        <v>707</v>
      </c>
      <c r="T71" s="34"/>
      <c r="U71" s="1" t="s">
        <v>31</v>
      </c>
    </row>
    <row r="72" spans="2:21" ht="29" customHeight="1">
      <c r="B72" s="2" t="s">
        <v>925</v>
      </c>
      <c r="C72" s="2" t="s">
        <v>926</v>
      </c>
      <c r="D72" s="2" t="s">
        <v>926</v>
      </c>
      <c r="E72" s="41">
        <v>1</v>
      </c>
      <c r="F72" s="42">
        <v>1</v>
      </c>
      <c r="G72" s="2" t="s">
        <v>699</v>
      </c>
      <c r="H72" s="2" t="s">
        <v>700</v>
      </c>
      <c r="I72" s="2" t="s">
        <v>701</v>
      </c>
      <c r="J72" s="43" t="s">
        <v>702</v>
      </c>
      <c r="K72" s="30" t="e">
        <f>SUMIF([1]quotation_details!C:C,B72,[1]quotation_details!K:K)</f>
        <v>#VALUE!</v>
      </c>
      <c r="L72" s="43" t="s">
        <v>702</v>
      </c>
      <c r="M72" s="2" t="s">
        <v>711</v>
      </c>
      <c r="N72" s="2" t="s">
        <v>630</v>
      </c>
      <c r="O72" s="2" t="s">
        <v>927</v>
      </c>
      <c r="P72" s="3">
        <v>46155.505555555603</v>
      </c>
      <c r="Q72" s="2" t="s">
        <v>711</v>
      </c>
      <c r="R72" s="3">
        <v>46175.505555555603</v>
      </c>
      <c r="S72" s="2" t="s">
        <v>711</v>
      </c>
      <c r="T72" s="34"/>
      <c r="U72" s="1" t="s">
        <v>31</v>
      </c>
    </row>
    <row r="73" spans="2:21" ht="43.5" customHeight="1">
      <c r="B73" s="2" t="s">
        <v>928</v>
      </c>
      <c r="C73" s="2" t="s">
        <v>929</v>
      </c>
      <c r="D73" s="2" t="s">
        <v>929</v>
      </c>
      <c r="E73" s="41">
        <v>1</v>
      </c>
      <c r="F73" s="42">
        <v>1</v>
      </c>
      <c r="G73" s="2" t="s">
        <v>706</v>
      </c>
      <c r="H73" s="2" t="s">
        <v>623</v>
      </c>
      <c r="I73" s="2" t="s">
        <v>701</v>
      </c>
      <c r="J73" s="43" t="s">
        <v>702</v>
      </c>
      <c r="K73" s="30" t="e">
        <f>SUMIF([1]quotation_details!C:C,B73,[1]quotation_details!K:K)</f>
        <v>#VALUE!</v>
      </c>
      <c r="L73" s="43" t="s">
        <v>702</v>
      </c>
      <c r="M73" s="2" t="s">
        <v>715</v>
      </c>
      <c r="N73" s="2" t="s">
        <v>623</v>
      </c>
      <c r="O73" s="2" t="s">
        <v>930</v>
      </c>
      <c r="P73" s="3">
        <v>46156.642361111102</v>
      </c>
      <c r="Q73" s="2" t="s">
        <v>715</v>
      </c>
      <c r="R73" s="3">
        <v>46176.642361111102</v>
      </c>
      <c r="S73" s="2" t="s">
        <v>715</v>
      </c>
      <c r="T73" s="34"/>
      <c r="U73" s="1" t="s">
        <v>31</v>
      </c>
    </row>
    <row r="74" spans="2:21" ht="43.5" customHeight="1">
      <c r="B74" s="2" t="s">
        <v>931</v>
      </c>
      <c r="C74" s="2" t="s">
        <v>932</v>
      </c>
      <c r="D74" s="2" t="s">
        <v>932</v>
      </c>
      <c r="E74" s="41">
        <v>1</v>
      </c>
      <c r="F74" s="42">
        <v>1</v>
      </c>
      <c r="G74" s="2" t="s">
        <v>710</v>
      </c>
      <c r="H74" s="2" t="s">
        <v>623</v>
      </c>
      <c r="I74" s="2" t="s">
        <v>701</v>
      </c>
      <c r="J74" s="43" t="s">
        <v>702</v>
      </c>
      <c r="K74" s="30" t="e">
        <f>SUMIF([1]quotation_details!C:C,B74,[1]quotation_details!K:K)</f>
        <v>#VALUE!</v>
      </c>
      <c r="L74" s="43" t="s">
        <v>702</v>
      </c>
      <c r="M74" s="2" t="s">
        <v>719</v>
      </c>
      <c r="N74" s="2" t="s">
        <v>700</v>
      </c>
      <c r="O74" s="2" t="s">
        <v>933</v>
      </c>
      <c r="P74" s="3">
        <v>46156.404166666704</v>
      </c>
      <c r="Q74" s="2" t="s">
        <v>719</v>
      </c>
      <c r="R74" s="3">
        <v>46176.404166666704</v>
      </c>
      <c r="S74" s="2" t="s">
        <v>719</v>
      </c>
      <c r="T74" s="34"/>
      <c r="U74" s="1" t="s">
        <v>31</v>
      </c>
    </row>
    <row r="75" spans="2:21" ht="43.5" customHeight="1">
      <c r="B75" s="2" t="s">
        <v>934</v>
      </c>
      <c r="C75" s="2" t="s">
        <v>935</v>
      </c>
      <c r="D75" s="2" t="s">
        <v>935</v>
      </c>
      <c r="E75" s="41">
        <v>1</v>
      </c>
      <c r="F75" s="42">
        <v>1</v>
      </c>
      <c r="G75" s="2" t="s">
        <v>714</v>
      </c>
      <c r="H75" s="2" t="s">
        <v>700</v>
      </c>
      <c r="I75" s="2" t="s">
        <v>701</v>
      </c>
      <c r="J75" s="43" t="s">
        <v>702</v>
      </c>
      <c r="K75" s="30" t="e">
        <f>SUMIF([1]quotation_details!C:C,B75,[1]quotation_details!K:K)</f>
        <v>#VALUE!</v>
      </c>
      <c r="L75" s="43" t="s">
        <v>702</v>
      </c>
      <c r="M75" s="2" t="s">
        <v>722</v>
      </c>
      <c r="N75" s="2" t="s">
        <v>716</v>
      </c>
      <c r="O75" s="2" t="s">
        <v>936</v>
      </c>
      <c r="P75" s="3">
        <v>46157.540972222203</v>
      </c>
      <c r="Q75" s="2" t="s">
        <v>722</v>
      </c>
      <c r="R75" s="3">
        <v>46177.540972222203</v>
      </c>
      <c r="S75" s="2" t="s">
        <v>722</v>
      </c>
      <c r="T75" s="34"/>
      <c r="U75" s="1" t="s">
        <v>31</v>
      </c>
    </row>
    <row r="76" spans="2:21" ht="43.5" customHeight="1">
      <c r="B76" s="2" t="s">
        <v>937</v>
      </c>
      <c r="C76" s="2" t="s">
        <v>938</v>
      </c>
      <c r="D76" s="2" t="s">
        <v>938</v>
      </c>
      <c r="E76" s="41">
        <v>1</v>
      </c>
      <c r="F76" s="42">
        <v>1</v>
      </c>
      <c r="G76" s="2" t="s">
        <v>699</v>
      </c>
      <c r="H76" s="2" t="s">
        <v>700</v>
      </c>
      <c r="I76" s="2" t="s">
        <v>701</v>
      </c>
      <c r="J76" s="43" t="s">
        <v>702</v>
      </c>
      <c r="K76" s="30" t="e">
        <f>SUMIF([1]quotation_details!C:C,B76,[1]quotation_details!K:K)</f>
        <v>#VALUE!</v>
      </c>
      <c r="L76" s="43" t="s">
        <v>702</v>
      </c>
      <c r="M76" s="2" t="s">
        <v>725</v>
      </c>
      <c r="N76" s="2" t="s">
        <v>630</v>
      </c>
      <c r="O76" s="2" t="s">
        <v>939</v>
      </c>
      <c r="P76" s="3">
        <v>46157.636111111096</v>
      </c>
      <c r="Q76" s="2" t="s">
        <v>725</v>
      </c>
      <c r="R76" s="3">
        <v>46177.636111111096</v>
      </c>
      <c r="S76" s="2" t="s">
        <v>725</v>
      </c>
      <c r="T76" s="34"/>
      <c r="U76" s="1" t="s">
        <v>31</v>
      </c>
    </row>
    <row r="77" spans="2:21" ht="43.5" customHeight="1">
      <c r="B77" s="2" t="s">
        <v>940</v>
      </c>
      <c r="C77" s="2" t="s">
        <v>941</v>
      </c>
      <c r="D77" s="2" t="s">
        <v>941</v>
      </c>
      <c r="E77" s="41">
        <v>1</v>
      </c>
      <c r="F77" s="42">
        <v>1</v>
      </c>
      <c r="G77" s="2" t="s">
        <v>706</v>
      </c>
      <c r="H77" s="2" t="s">
        <v>623</v>
      </c>
      <c r="I77" s="2" t="s">
        <v>701</v>
      </c>
      <c r="J77" s="43" t="s">
        <v>702</v>
      </c>
      <c r="K77" s="30" t="e">
        <f>SUMIF([1]quotation_details!C:C,B77,[1]quotation_details!K:K)</f>
        <v>#VALUE!</v>
      </c>
      <c r="L77" s="43" t="s">
        <v>702</v>
      </c>
      <c r="M77" s="2" t="s">
        <v>728</v>
      </c>
      <c r="N77" s="2" t="s">
        <v>623</v>
      </c>
      <c r="O77" s="2" t="s">
        <v>942</v>
      </c>
      <c r="P77" s="3">
        <v>46158.397916666698</v>
      </c>
      <c r="Q77" s="2" t="s">
        <v>728</v>
      </c>
      <c r="R77" s="3">
        <v>46178.397916666698</v>
      </c>
      <c r="S77" s="2" t="s">
        <v>728</v>
      </c>
      <c r="T77" s="34"/>
      <c r="U77" s="1" t="s">
        <v>31</v>
      </c>
    </row>
    <row r="78" spans="2:21" ht="43.5" customHeight="1">
      <c r="B78" s="2" t="s">
        <v>943</v>
      </c>
      <c r="C78" s="2" t="s">
        <v>944</v>
      </c>
      <c r="D78" s="2" t="s">
        <v>944</v>
      </c>
      <c r="E78" s="41">
        <v>1</v>
      </c>
      <c r="F78" s="42">
        <v>1</v>
      </c>
      <c r="G78" s="2" t="s">
        <v>710</v>
      </c>
      <c r="H78" s="2" t="s">
        <v>623</v>
      </c>
      <c r="I78" s="2" t="s">
        <v>701</v>
      </c>
      <c r="J78" s="43" t="s">
        <v>702</v>
      </c>
      <c r="K78" s="30" t="e">
        <f>SUMIF([1]quotation_details!C:C,B78,[1]quotation_details!K:K)</f>
        <v>#VALUE!</v>
      </c>
      <c r="L78" s="43" t="s">
        <v>702</v>
      </c>
      <c r="M78" s="2" t="s">
        <v>731</v>
      </c>
      <c r="N78" s="2" t="s">
        <v>700</v>
      </c>
      <c r="O78" s="2" t="s">
        <v>945</v>
      </c>
      <c r="P78" s="3">
        <v>46158.534722222197</v>
      </c>
      <c r="Q78" s="2" t="s">
        <v>731</v>
      </c>
      <c r="R78" s="3">
        <v>46178.534722222197</v>
      </c>
      <c r="S78" s="2" t="s">
        <v>731</v>
      </c>
      <c r="T78" s="34"/>
      <c r="U78" s="1" t="s">
        <v>31</v>
      </c>
    </row>
    <row r="79" spans="2:21" ht="29" customHeight="1">
      <c r="B79" s="2" t="s">
        <v>946</v>
      </c>
      <c r="C79" s="2" t="s">
        <v>947</v>
      </c>
      <c r="D79" s="2" t="s">
        <v>947</v>
      </c>
      <c r="E79" s="41">
        <v>1</v>
      </c>
      <c r="F79" s="42">
        <v>1</v>
      </c>
      <c r="G79" s="2" t="s">
        <v>714</v>
      </c>
      <c r="H79" s="2" t="s">
        <v>700</v>
      </c>
      <c r="I79" s="2" t="s">
        <v>701</v>
      </c>
      <c r="J79" s="43" t="s">
        <v>702</v>
      </c>
      <c r="K79" s="30" t="e">
        <f>SUMIF([1]quotation_details!C:C,B79,[1]quotation_details!K:K)</f>
        <v>#VALUE!</v>
      </c>
      <c r="L79" s="43" t="s">
        <v>702</v>
      </c>
      <c r="M79" s="2" t="s">
        <v>734</v>
      </c>
      <c r="N79" s="2" t="s">
        <v>716</v>
      </c>
      <c r="O79" s="2" t="s">
        <v>948</v>
      </c>
      <c r="P79" s="3">
        <v>46158.629861111098</v>
      </c>
      <c r="Q79" s="2" t="s">
        <v>734</v>
      </c>
      <c r="R79" s="3">
        <v>46178.629861111098</v>
      </c>
      <c r="S79" s="2" t="s">
        <v>734</v>
      </c>
      <c r="T79" s="34"/>
      <c r="U79" s="1" t="s">
        <v>31</v>
      </c>
    </row>
    <row r="80" spans="2:21" ht="29" customHeight="1">
      <c r="B80" s="2" t="s">
        <v>949</v>
      </c>
      <c r="C80" s="2" t="s">
        <v>950</v>
      </c>
      <c r="D80" s="2" t="s">
        <v>950</v>
      </c>
      <c r="E80" s="41">
        <v>1</v>
      </c>
      <c r="F80" s="42">
        <v>1</v>
      </c>
      <c r="G80" s="2" t="s">
        <v>699</v>
      </c>
      <c r="H80" s="2" t="s">
        <v>700</v>
      </c>
      <c r="I80" s="2" t="s">
        <v>701</v>
      </c>
      <c r="J80" s="43" t="s">
        <v>702</v>
      </c>
      <c r="K80" s="30" t="e">
        <f>SUMIF([1]quotation_details!C:C,B80,[1]quotation_details!K:K)</f>
        <v>#VALUE!</v>
      </c>
      <c r="L80" s="43" t="s">
        <v>702</v>
      </c>
      <c r="M80" s="2" t="s">
        <v>737</v>
      </c>
      <c r="N80" s="2" t="s">
        <v>630</v>
      </c>
      <c r="O80" s="2" t="s">
        <v>951</v>
      </c>
      <c r="P80" s="3">
        <v>46159.391666666699</v>
      </c>
      <c r="Q80" s="2" t="s">
        <v>737</v>
      </c>
      <c r="R80" s="3">
        <v>46179.391666666699</v>
      </c>
      <c r="S80" s="2" t="s">
        <v>737</v>
      </c>
      <c r="T80" s="34"/>
      <c r="U80" s="1" t="s">
        <v>31</v>
      </c>
    </row>
    <row r="81" spans="2:21" ht="43.5" customHeight="1">
      <c r="B81" s="2" t="s">
        <v>952</v>
      </c>
      <c r="C81" s="2" t="s">
        <v>953</v>
      </c>
      <c r="D81" s="2" t="s">
        <v>953</v>
      </c>
      <c r="E81" s="41">
        <v>1</v>
      </c>
      <c r="F81" s="42">
        <v>1</v>
      </c>
      <c r="G81" s="2" t="s">
        <v>706</v>
      </c>
      <c r="H81" s="2" t="s">
        <v>623</v>
      </c>
      <c r="I81" s="2" t="s">
        <v>701</v>
      </c>
      <c r="J81" s="43" t="s">
        <v>702</v>
      </c>
      <c r="K81" s="30" t="e">
        <f>SUMIF([1]quotation_details!C:C,B81,[1]quotation_details!K:K)</f>
        <v>#VALUE!</v>
      </c>
      <c r="L81" s="43" t="s">
        <v>702</v>
      </c>
      <c r="M81" s="2" t="s">
        <v>92</v>
      </c>
      <c r="N81" s="2" t="s">
        <v>623</v>
      </c>
      <c r="O81" s="2" t="s">
        <v>954</v>
      </c>
      <c r="P81" s="3">
        <v>46159.528472222199</v>
      </c>
      <c r="Q81" s="2" t="s">
        <v>92</v>
      </c>
      <c r="R81" s="3">
        <v>46179.528472222199</v>
      </c>
      <c r="S81" s="2" t="s">
        <v>92</v>
      </c>
      <c r="T81" s="34"/>
      <c r="U81" s="1" t="s">
        <v>31</v>
      </c>
    </row>
    <row r="82" spans="2:21" ht="43.5" customHeight="1">
      <c r="B82" s="2" t="s">
        <v>955</v>
      </c>
      <c r="C82" s="2" t="s">
        <v>956</v>
      </c>
      <c r="D82" s="2" t="s">
        <v>956</v>
      </c>
      <c r="E82" s="41">
        <v>1</v>
      </c>
      <c r="F82" s="42">
        <v>1</v>
      </c>
      <c r="G82" s="2" t="s">
        <v>710</v>
      </c>
      <c r="H82" s="2" t="s">
        <v>623</v>
      </c>
      <c r="I82" s="2" t="s">
        <v>701</v>
      </c>
      <c r="J82" s="43" t="s">
        <v>702</v>
      </c>
      <c r="K82" s="30" t="e">
        <f>SUMIF([1]quotation_details!C:C,B82,[1]quotation_details!K:K)</f>
        <v>#VALUE!</v>
      </c>
      <c r="L82" s="43" t="s">
        <v>702</v>
      </c>
      <c r="M82" s="2" t="s">
        <v>742</v>
      </c>
      <c r="N82" s="2" t="s">
        <v>700</v>
      </c>
      <c r="O82" s="2" t="s">
        <v>957</v>
      </c>
      <c r="P82" s="3">
        <v>46160.6652777778</v>
      </c>
      <c r="Q82" s="2" t="s">
        <v>742</v>
      </c>
      <c r="R82" s="3">
        <v>46180.6652777778</v>
      </c>
      <c r="S82" s="2" t="s">
        <v>742</v>
      </c>
      <c r="T82" s="34"/>
      <c r="U82" s="1" t="s">
        <v>31</v>
      </c>
    </row>
    <row r="83" spans="2:21" ht="43.5" customHeight="1">
      <c r="B83" s="2" t="s">
        <v>958</v>
      </c>
      <c r="C83" s="2" t="s">
        <v>959</v>
      </c>
      <c r="D83" s="2" t="s">
        <v>959</v>
      </c>
      <c r="E83" s="41">
        <v>1</v>
      </c>
      <c r="F83" s="42">
        <v>1</v>
      </c>
      <c r="G83" s="2" t="s">
        <v>714</v>
      </c>
      <c r="H83" s="2" t="s">
        <v>700</v>
      </c>
      <c r="I83" s="2" t="s">
        <v>701</v>
      </c>
      <c r="J83" s="43" t="s">
        <v>702</v>
      </c>
      <c r="K83" s="30" t="e">
        <f>SUMIF([1]quotation_details!C:C,B83,[1]quotation_details!K:K)</f>
        <v>#VALUE!</v>
      </c>
      <c r="L83" s="43" t="s">
        <v>702</v>
      </c>
      <c r="M83" s="2" t="s">
        <v>745</v>
      </c>
      <c r="N83" s="2" t="s">
        <v>716</v>
      </c>
      <c r="O83" s="2" t="s">
        <v>960</v>
      </c>
      <c r="P83" s="3">
        <v>46160.385416666701</v>
      </c>
      <c r="Q83" s="2" t="s">
        <v>745</v>
      </c>
      <c r="R83" s="3">
        <v>46180.385416666701</v>
      </c>
      <c r="S83" s="2" t="s">
        <v>745</v>
      </c>
      <c r="T83" s="34"/>
      <c r="U83" s="1" t="s">
        <v>31</v>
      </c>
    </row>
    <row r="84" spans="2:21" ht="43.5" customHeight="1">
      <c r="B84" s="2" t="s">
        <v>961</v>
      </c>
      <c r="C84" s="2" t="s">
        <v>962</v>
      </c>
      <c r="D84" s="2" t="s">
        <v>962</v>
      </c>
      <c r="E84" s="41">
        <v>1</v>
      </c>
      <c r="F84" s="42">
        <v>1</v>
      </c>
      <c r="G84" s="2" t="s">
        <v>699</v>
      </c>
      <c r="H84" s="2" t="s">
        <v>700</v>
      </c>
      <c r="I84" s="2" t="s">
        <v>701</v>
      </c>
      <c r="J84" s="43" t="s">
        <v>702</v>
      </c>
      <c r="K84" s="30" t="e">
        <f>SUMIF([1]quotation_details!C:C,B84,[1]quotation_details!K:K)</f>
        <v>#VALUE!</v>
      </c>
      <c r="L84" s="43" t="s">
        <v>702</v>
      </c>
      <c r="M84" s="2" t="s">
        <v>748</v>
      </c>
      <c r="N84" s="2" t="s">
        <v>630</v>
      </c>
      <c r="O84" s="2" t="s">
        <v>963</v>
      </c>
      <c r="P84" s="3">
        <v>46161.5222222222</v>
      </c>
      <c r="Q84" s="2" t="s">
        <v>748</v>
      </c>
      <c r="R84" s="3">
        <v>46181.5222222222</v>
      </c>
      <c r="S84" s="2" t="s">
        <v>748</v>
      </c>
      <c r="T84" s="34"/>
      <c r="U84" s="1" t="s">
        <v>31</v>
      </c>
    </row>
    <row r="85" spans="2:21" ht="43.5" customHeight="1">
      <c r="B85" s="2" t="s">
        <v>964</v>
      </c>
      <c r="C85" s="2" t="s">
        <v>965</v>
      </c>
      <c r="D85" s="2" t="s">
        <v>965</v>
      </c>
      <c r="E85" s="41">
        <v>1</v>
      </c>
      <c r="F85" s="42">
        <v>1</v>
      </c>
      <c r="G85" s="2" t="s">
        <v>706</v>
      </c>
      <c r="H85" s="2" t="s">
        <v>623</v>
      </c>
      <c r="I85" s="2" t="s">
        <v>701</v>
      </c>
      <c r="J85" s="43" t="s">
        <v>702</v>
      </c>
      <c r="K85" s="30" t="e">
        <f>SUMIF([1]quotation_details!C:C,B85,[1]quotation_details!K:K)</f>
        <v>#VALUE!</v>
      </c>
      <c r="L85" s="43" t="s">
        <v>702</v>
      </c>
      <c r="M85" s="2" t="s">
        <v>751</v>
      </c>
      <c r="N85" s="2" t="s">
        <v>623</v>
      </c>
      <c r="O85" s="2" t="s">
        <v>966</v>
      </c>
      <c r="P85" s="3">
        <v>46161.659027777801</v>
      </c>
      <c r="Q85" s="2" t="s">
        <v>751</v>
      </c>
      <c r="R85" s="3">
        <v>46181.659027777801</v>
      </c>
      <c r="S85" s="2" t="s">
        <v>751</v>
      </c>
      <c r="T85" s="34"/>
      <c r="U85" s="1" t="s">
        <v>31</v>
      </c>
    </row>
    <row r="86" spans="2:21" ht="43.5" customHeight="1">
      <c r="B86" s="2" t="s">
        <v>967</v>
      </c>
      <c r="C86" s="2" t="s">
        <v>968</v>
      </c>
      <c r="D86" s="2" t="s">
        <v>968</v>
      </c>
      <c r="E86" s="41">
        <v>1</v>
      </c>
      <c r="F86" s="42">
        <v>1</v>
      </c>
      <c r="G86" s="2" t="s">
        <v>710</v>
      </c>
      <c r="H86" s="2" t="s">
        <v>623</v>
      </c>
      <c r="I86" s="2" t="s">
        <v>701</v>
      </c>
      <c r="J86" s="43" t="s">
        <v>702</v>
      </c>
      <c r="K86" s="30" t="e">
        <f>SUMIF([1]quotation_details!C:C,B86,[1]quotation_details!K:K)</f>
        <v>#VALUE!</v>
      </c>
      <c r="L86" s="43" t="s">
        <v>702</v>
      </c>
      <c r="M86" s="2" t="s">
        <v>754</v>
      </c>
      <c r="N86" s="2" t="s">
        <v>700</v>
      </c>
      <c r="O86" s="2" t="s">
        <v>969</v>
      </c>
      <c r="P86" s="3">
        <v>46162.379166666702</v>
      </c>
      <c r="Q86" s="2" t="s">
        <v>754</v>
      </c>
      <c r="R86" s="3">
        <v>46182.379166666702</v>
      </c>
      <c r="S86" s="2" t="s">
        <v>754</v>
      </c>
      <c r="T86" s="34"/>
      <c r="U86" s="1" t="s">
        <v>31</v>
      </c>
    </row>
    <row r="87" spans="2:21" ht="43.5" customHeight="1">
      <c r="B87" s="2" t="s">
        <v>970</v>
      </c>
      <c r="C87" s="2" t="s">
        <v>971</v>
      </c>
      <c r="D87" s="2" t="s">
        <v>971</v>
      </c>
      <c r="E87" s="41">
        <v>1</v>
      </c>
      <c r="F87" s="42">
        <v>1</v>
      </c>
      <c r="G87" s="2" t="s">
        <v>714</v>
      </c>
      <c r="H87" s="2" t="s">
        <v>700</v>
      </c>
      <c r="I87" s="2" t="s">
        <v>701</v>
      </c>
      <c r="J87" s="43" t="s">
        <v>702</v>
      </c>
      <c r="K87" s="30" t="e">
        <f>SUMIF([1]quotation_details!C:C,B87,[1]quotation_details!K:K)</f>
        <v>#VALUE!</v>
      </c>
      <c r="L87" s="43" t="s">
        <v>702</v>
      </c>
      <c r="M87" s="2" t="s">
        <v>757</v>
      </c>
      <c r="N87" s="2" t="s">
        <v>716</v>
      </c>
      <c r="O87" s="2" t="s">
        <v>972</v>
      </c>
      <c r="P87" s="3">
        <v>46162.515972222202</v>
      </c>
      <c r="Q87" s="2" t="s">
        <v>757</v>
      </c>
      <c r="R87" s="3">
        <v>46182.515972222202</v>
      </c>
      <c r="S87" s="2" t="s">
        <v>757</v>
      </c>
      <c r="T87" s="34"/>
      <c r="U87" s="1" t="s">
        <v>31</v>
      </c>
    </row>
    <row r="88" spans="2:21" ht="29" customHeight="1">
      <c r="B88" s="2" t="s">
        <v>973</v>
      </c>
      <c r="C88" s="2" t="s">
        <v>974</v>
      </c>
      <c r="D88" s="2" t="s">
        <v>974</v>
      </c>
      <c r="E88" s="41">
        <v>1</v>
      </c>
      <c r="F88" s="42">
        <v>1</v>
      </c>
      <c r="G88" s="2" t="s">
        <v>699</v>
      </c>
      <c r="H88" s="2" t="s">
        <v>700</v>
      </c>
      <c r="I88" s="2" t="s">
        <v>701</v>
      </c>
      <c r="J88" s="43" t="s">
        <v>702</v>
      </c>
      <c r="K88" s="30" t="e">
        <f>SUMIF([1]quotation_details!C:C,B88,[1]quotation_details!K:K)</f>
        <v>#VALUE!</v>
      </c>
      <c r="L88" s="43" t="s">
        <v>702</v>
      </c>
      <c r="M88" s="2" t="s">
        <v>760</v>
      </c>
      <c r="N88" s="2" t="s">
        <v>630</v>
      </c>
      <c r="O88" s="2" t="s">
        <v>975</v>
      </c>
      <c r="P88" s="3">
        <v>46163.652777777803</v>
      </c>
      <c r="Q88" s="2" t="s">
        <v>760</v>
      </c>
      <c r="R88" s="3">
        <v>46183.652777777803</v>
      </c>
      <c r="S88" s="2" t="s">
        <v>760</v>
      </c>
      <c r="T88" s="34"/>
      <c r="U88" s="1" t="s">
        <v>31</v>
      </c>
    </row>
    <row r="89" spans="2:21" ht="29" customHeight="1">
      <c r="B89" s="2" t="s">
        <v>976</v>
      </c>
      <c r="C89" s="2" t="s">
        <v>977</v>
      </c>
      <c r="D89" s="2" t="s">
        <v>977</v>
      </c>
      <c r="E89" s="41">
        <v>1</v>
      </c>
      <c r="F89" s="42">
        <v>1</v>
      </c>
      <c r="G89" s="2" t="s">
        <v>706</v>
      </c>
      <c r="H89" s="2" t="s">
        <v>623</v>
      </c>
      <c r="I89" s="2" t="s">
        <v>701</v>
      </c>
      <c r="J89" s="43" t="s">
        <v>702</v>
      </c>
      <c r="K89" s="30" t="e">
        <f>SUMIF([1]quotation_details!C:C,B89,[1]quotation_details!K:K)</f>
        <v>#VALUE!</v>
      </c>
      <c r="L89" s="43" t="s">
        <v>702</v>
      </c>
      <c r="M89" s="2" t="s">
        <v>763</v>
      </c>
      <c r="N89" s="2" t="s">
        <v>623</v>
      </c>
      <c r="O89" s="2" t="s">
        <v>978</v>
      </c>
      <c r="P89" s="3">
        <v>46163.414583333302</v>
      </c>
      <c r="Q89" s="2" t="s">
        <v>763</v>
      </c>
      <c r="R89" s="3">
        <v>46183.414583333302</v>
      </c>
      <c r="S89" s="2" t="s">
        <v>763</v>
      </c>
      <c r="T89" s="34"/>
      <c r="U89" s="1" t="s">
        <v>31</v>
      </c>
    </row>
    <row r="90" spans="2:21" ht="43.5" customHeight="1">
      <c r="B90" s="2" t="s">
        <v>979</v>
      </c>
      <c r="C90" s="2" t="s">
        <v>980</v>
      </c>
      <c r="D90" s="2" t="s">
        <v>980</v>
      </c>
      <c r="E90" s="41">
        <v>1</v>
      </c>
      <c r="F90" s="42">
        <v>1</v>
      </c>
      <c r="G90" s="2" t="s">
        <v>710</v>
      </c>
      <c r="H90" s="2" t="s">
        <v>623</v>
      </c>
      <c r="I90" s="2" t="s">
        <v>701</v>
      </c>
      <c r="J90" s="43" t="s">
        <v>702</v>
      </c>
      <c r="K90" s="30" t="e">
        <f>SUMIF([1]quotation_details!C:C,B90,[1]quotation_details!K:K)</f>
        <v>#VALUE!</v>
      </c>
      <c r="L90" s="43" t="s">
        <v>702</v>
      </c>
      <c r="M90" s="2" t="s">
        <v>766</v>
      </c>
      <c r="N90" s="2" t="s">
        <v>700</v>
      </c>
      <c r="O90" s="2" t="s">
        <v>981</v>
      </c>
      <c r="P90" s="3">
        <v>46163.509722222203</v>
      </c>
      <c r="Q90" s="2" t="s">
        <v>766</v>
      </c>
      <c r="R90" s="3">
        <v>46183.509722222203</v>
      </c>
      <c r="S90" s="2" t="s">
        <v>766</v>
      </c>
      <c r="T90" s="34"/>
      <c r="U90" s="1" t="s">
        <v>31</v>
      </c>
    </row>
    <row r="91" spans="2:21" ht="43.5" customHeight="1">
      <c r="B91" s="2" t="s">
        <v>982</v>
      </c>
      <c r="C91" s="2" t="s">
        <v>983</v>
      </c>
      <c r="D91" s="2" t="s">
        <v>983</v>
      </c>
      <c r="E91" s="41">
        <v>1</v>
      </c>
      <c r="F91" s="42">
        <v>1</v>
      </c>
      <c r="G91" s="2" t="s">
        <v>714</v>
      </c>
      <c r="H91" s="2" t="s">
        <v>700</v>
      </c>
      <c r="I91" s="2" t="s">
        <v>701</v>
      </c>
      <c r="J91" s="43" t="s">
        <v>702</v>
      </c>
      <c r="K91" s="30" t="e">
        <f>SUMIF([1]quotation_details!C:C,B91,[1]quotation_details!K:K)</f>
        <v>#VALUE!</v>
      </c>
      <c r="L91" s="43" t="s">
        <v>702</v>
      </c>
      <c r="M91" s="2" t="s">
        <v>769</v>
      </c>
      <c r="N91" s="2" t="s">
        <v>716</v>
      </c>
      <c r="O91" s="2" t="s">
        <v>984</v>
      </c>
      <c r="P91" s="3">
        <v>46164.646527777797</v>
      </c>
      <c r="Q91" s="2" t="s">
        <v>769</v>
      </c>
      <c r="R91" s="3">
        <v>46184.646527777797</v>
      </c>
      <c r="S91" s="2" t="s">
        <v>769</v>
      </c>
      <c r="T91" s="34"/>
      <c r="U91" s="1" t="s">
        <v>31</v>
      </c>
    </row>
    <row r="92" spans="2:21" ht="43.5" customHeight="1">
      <c r="B92" s="2" t="s">
        <v>985</v>
      </c>
      <c r="C92" s="2" t="s">
        <v>986</v>
      </c>
      <c r="D92" s="2" t="s">
        <v>986</v>
      </c>
      <c r="E92" s="41">
        <v>1</v>
      </c>
      <c r="F92" s="42">
        <v>1</v>
      </c>
      <c r="G92" s="2" t="s">
        <v>699</v>
      </c>
      <c r="H92" s="2" t="s">
        <v>700</v>
      </c>
      <c r="I92" s="2" t="s">
        <v>701</v>
      </c>
      <c r="J92" s="43" t="s">
        <v>702</v>
      </c>
      <c r="K92" s="30" t="e">
        <f>SUMIF([1]quotation_details!C:C,B92,[1]quotation_details!K:K)</f>
        <v>#VALUE!</v>
      </c>
      <c r="L92" s="43" t="s">
        <v>702</v>
      </c>
      <c r="M92" s="2" t="s">
        <v>772</v>
      </c>
      <c r="N92" s="2" t="s">
        <v>630</v>
      </c>
      <c r="O92" s="2" t="s">
        <v>987</v>
      </c>
      <c r="P92" s="3">
        <v>46164.408333333296</v>
      </c>
      <c r="Q92" s="2" t="s">
        <v>772</v>
      </c>
      <c r="R92" s="3">
        <v>46184.408333333296</v>
      </c>
      <c r="S92" s="2" t="s">
        <v>772</v>
      </c>
      <c r="T92" s="34"/>
      <c r="U92" s="1" t="s">
        <v>31</v>
      </c>
    </row>
    <row r="93" spans="2:21" ht="43.5" customHeight="1">
      <c r="B93" s="2" t="s">
        <v>988</v>
      </c>
      <c r="C93" s="2" t="s">
        <v>989</v>
      </c>
      <c r="D93" s="2" t="s">
        <v>989</v>
      </c>
      <c r="E93" s="41">
        <v>1</v>
      </c>
      <c r="F93" s="42">
        <v>1</v>
      </c>
      <c r="G93" s="2" t="s">
        <v>706</v>
      </c>
      <c r="H93" s="2" t="s">
        <v>623</v>
      </c>
      <c r="I93" s="2" t="s">
        <v>701</v>
      </c>
      <c r="J93" s="43" t="s">
        <v>702</v>
      </c>
      <c r="K93" s="30" t="e">
        <f>SUMIF([1]quotation_details!C:C,B93,[1]quotation_details!K:K)</f>
        <v>#VALUE!</v>
      </c>
      <c r="L93" s="43" t="s">
        <v>702</v>
      </c>
      <c r="M93" s="2" t="s">
        <v>775</v>
      </c>
      <c r="N93" s="2" t="s">
        <v>623</v>
      </c>
      <c r="O93" s="2" t="s">
        <v>990</v>
      </c>
      <c r="P93" s="3">
        <v>46165.503472222197</v>
      </c>
      <c r="Q93" s="2" t="s">
        <v>775</v>
      </c>
      <c r="R93" s="3">
        <v>46185.503472222197</v>
      </c>
      <c r="S93" s="2" t="s">
        <v>775</v>
      </c>
      <c r="T93" s="34"/>
      <c r="U93" s="1" t="s">
        <v>31</v>
      </c>
    </row>
    <row r="94" spans="2:21" ht="43.5" customHeight="1">
      <c r="B94" s="2" t="s">
        <v>991</v>
      </c>
      <c r="C94" s="2" t="s">
        <v>992</v>
      </c>
      <c r="D94" s="2" t="s">
        <v>992</v>
      </c>
      <c r="E94" s="41">
        <v>1</v>
      </c>
      <c r="F94" s="42">
        <v>1</v>
      </c>
      <c r="G94" s="2" t="s">
        <v>710</v>
      </c>
      <c r="H94" s="2" t="s">
        <v>623</v>
      </c>
      <c r="I94" s="2" t="s">
        <v>701</v>
      </c>
      <c r="J94" s="43" t="s">
        <v>702</v>
      </c>
      <c r="K94" s="30" t="e">
        <f>SUMIF([1]quotation_details!C:C,B94,[1]quotation_details!K:K)</f>
        <v>#VALUE!</v>
      </c>
      <c r="L94" s="43" t="s">
        <v>702</v>
      </c>
      <c r="M94" s="2" t="s">
        <v>150</v>
      </c>
      <c r="N94" s="2" t="s">
        <v>700</v>
      </c>
      <c r="O94" s="2" t="s">
        <v>993</v>
      </c>
      <c r="P94" s="3">
        <v>46165.640277777798</v>
      </c>
      <c r="Q94" s="2" t="s">
        <v>150</v>
      </c>
      <c r="R94" s="3">
        <v>46185.640277777798</v>
      </c>
      <c r="S94" s="2" t="s">
        <v>150</v>
      </c>
      <c r="T94" s="34"/>
      <c r="U94" s="1" t="s">
        <v>31</v>
      </c>
    </row>
    <row r="95" spans="2:21" ht="43.5" customHeight="1">
      <c r="B95" s="2" t="s">
        <v>994</v>
      </c>
      <c r="C95" s="2" t="s">
        <v>995</v>
      </c>
      <c r="D95" s="2" t="s">
        <v>995</v>
      </c>
      <c r="E95" s="41">
        <v>1</v>
      </c>
      <c r="F95" s="42">
        <v>1</v>
      </c>
      <c r="G95" s="2" t="s">
        <v>714</v>
      </c>
      <c r="H95" s="2" t="s">
        <v>700</v>
      </c>
      <c r="I95" s="2" t="s">
        <v>701</v>
      </c>
      <c r="J95" s="43" t="s">
        <v>702</v>
      </c>
      <c r="K95" s="30" t="e">
        <f>SUMIF([1]quotation_details!C:C,B95,[1]quotation_details!K:K)</f>
        <v>#VALUE!</v>
      </c>
      <c r="L95" s="43" t="s">
        <v>702</v>
      </c>
      <c r="M95" s="2" t="s">
        <v>154</v>
      </c>
      <c r="N95" s="2" t="s">
        <v>716</v>
      </c>
      <c r="O95" s="2" t="s">
        <v>996</v>
      </c>
      <c r="P95" s="3">
        <v>46166.402083333298</v>
      </c>
      <c r="Q95" s="2" t="s">
        <v>154</v>
      </c>
      <c r="R95" s="3">
        <v>46186.402083333298</v>
      </c>
      <c r="S95" s="2" t="s">
        <v>154</v>
      </c>
      <c r="T95" s="34"/>
      <c r="U95" s="1" t="s">
        <v>31</v>
      </c>
    </row>
    <row r="96" spans="2:21" ht="43.5" customHeight="1">
      <c r="B96" s="2" t="s">
        <v>997</v>
      </c>
      <c r="C96" s="2" t="s">
        <v>998</v>
      </c>
      <c r="D96" s="2" t="s">
        <v>998</v>
      </c>
      <c r="E96" s="41">
        <v>1</v>
      </c>
      <c r="F96" s="42">
        <v>1</v>
      </c>
      <c r="G96" s="2" t="s">
        <v>699</v>
      </c>
      <c r="H96" s="2" t="s">
        <v>700</v>
      </c>
      <c r="I96" s="2" t="s">
        <v>701</v>
      </c>
      <c r="J96" s="43" t="s">
        <v>702</v>
      </c>
      <c r="K96" s="30" t="e">
        <f>SUMIF([1]quotation_details!C:C,B96,[1]quotation_details!K:K)</f>
        <v>#VALUE!</v>
      </c>
      <c r="L96" s="43" t="s">
        <v>702</v>
      </c>
      <c r="M96" s="2" t="s">
        <v>782</v>
      </c>
      <c r="N96" s="2" t="s">
        <v>630</v>
      </c>
      <c r="O96" s="2" t="s">
        <v>999</v>
      </c>
      <c r="P96" s="3">
        <v>46166.538888888899</v>
      </c>
      <c r="Q96" s="2" t="s">
        <v>782</v>
      </c>
      <c r="R96" s="3">
        <v>46186.538888888899</v>
      </c>
      <c r="S96" s="2" t="s">
        <v>782</v>
      </c>
      <c r="T96" s="34"/>
      <c r="U96" s="1" t="s">
        <v>31</v>
      </c>
    </row>
    <row r="97" spans="2:21" ht="29" customHeight="1">
      <c r="B97" s="2" t="s">
        <v>1000</v>
      </c>
      <c r="C97" s="2" t="s">
        <v>1001</v>
      </c>
      <c r="D97" s="2" t="s">
        <v>1001</v>
      </c>
      <c r="E97" s="41">
        <v>1</v>
      </c>
      <c r="F97" s="42">
        <v>1</v>
      </c>
      <c r="G97" s="2" t="s">
        <v>706</v>
      </c>
      <c r="H97" s="2" t="s">
        <v>623</v>
      </c>
      <c r="I97" s="2" t="s">
        <v>701</v>
      </c>
      <c r="J97" s="43" t="s">
        <v>702</v>
      </c>
      <c r="K97" s="30" t="e">
        <f>SUMIF([1]quotation_details!C:C,B97,[1]quotation_details!K:K)</f>
        <v>#VALUE!</v>
      </c>
      <c r="L97" s="43" t="s">
        <v>702</v>
      </c>
      <c r="M97" s="2" t="s">
        <v>785</v>
      </c>
      <c r="N97" s="2" t="s">
        <v>623</v>
      </c>
      <c r="O97" s="2" t="s">
        <v>1002</v>
      </c>
      <c r="P97" s="3">
        <v>46167.6340277778</v>
      </c>
      <c r="Q97" s="2" t="s">
        <v>785</v>
      </c>
      <c r="R97" s="3">
        <v>46187.6340277778</v>
      </c>
      <c r="S97" s="2" t="s">
        <v>785</v>
      </c>
      <c r="T97" s="34"/>
      <c r="U97" s="1" t="s">
        <v>31</v>
      </c>
    </row>
    <row r="98" spans="2:21" ht="29" customHeight="1">
      <c r="B98" s="2" t="s">
        <v>1003</v>
      </c>
      <c r="C98" s="2" t="s">
        <v>1004</v>
      </c>
      <c r="D98" s="2" t="s">
        <v>1004</v>
      </c>
      <c r="E98" s="41">
        <v>1</v>
      </c>
      <c r="F98" s="42">
        <v>1</v>
      </c>
      <c r="G98" s="2" t="s">
        <v>710</v>
      </c>
      <c r="H98" s="2" t="s">
        <v>623</v>
      </c>
      <c r="I98" s="2" t="s">
        <v>701</v>
      </c>
      <c r="J98" s="43" t="s">
        <v>702</v>
      </c>
      <c r="K98" s="30" t="e">
        <f>SUMIF([1]quotation_details!C:C,B98,[1]quotation_details!K:K)</f>
        <v>#VALUE!</v>
      </c>
      <c r="L98" s="43" t="s">
        <v>702</v>
      </c>
      <c r="M98" s="2" t="s">
        <v>788</v>
      </c>
      <c r="N98" s="2" t="s">
        <v>700</v>
      </c>
      <c r="O98" s="2" t="s">
        <v>1005</v>
      </c>
      <c r="P98" s="3">
        <v>46167.395833333299</v>
      </c>
      <c r="Q98" s="2" t="s">
        <v>788</v>
      </c>
      <c r="R98" s="3">
        <v>46187.395833333299</v>
      </c>
      <c r="S98" s="2" t="s">
        <v>788</v>
      </c>
      <c r="T98" s="34"/>
      <c r="U98" s="1" t="s">
        <v>31</v>
      </c>
    </row>
    <row r="99" spans="2:21" ht="29" customHeight="1">
      <c r="B99" s="2" t="s">
        <v>1006</v>
      </c>
      <c r="C99" s="2" t="s">
        <v>1007</v>
      </c>
      <c r="D99" s="2" t="s">
        <v>1007</v>
      </c>
      <c r="E99" s="41">
        <v>1</v>
      </c>
      <c r="F99" s="42">
        <v>1</v>
      </c>
      <c r="G99" s="2" t="s">
        <v>714</v>
      </c>
      <c r="H99" s="2" t="s">
        <v>700</v>
      </c>
      <c r="I99" s="2" t="s">
        <v>701</v>
      </c>
      <c r="J99" s="43" t="s">
        <v>702</v>
      </c>
      <c r="K99" s="30" t="e">
        <f>SUMIF([1]quotation_details!C:C,B99,[1]quotation_details!K:K)</f>
        <v>#VALUE!</v>
      </c>
      <c r="L99" s="43" t="s">
        <v>702</v>
      </c>
      <c r="M99" s="2" t="s">
        <v>791</v>
      </c>
      <c r="N99" s="2" t="s">
        <v>716</v>
      </c>
      <c r="O99" s="2" t="s">
        <v>1008</v>
      </c>
      <c r="P99" s="3">
        <v>46168.532638888901</v>
      </c>
      <c r="Q99" s="2" t="s">
        <v>791</v>
      </c>
      <c r="R99" s="3">
        <v>46188.532638888901</v>
      </c>
      <c r="S99" s="2" t="s">
        <v>791</v>
      </c>
      <c r="T99" s="34"/>
      <c r="U99" s="1" t="s">
        <v>31</v>
      </c>
    </row>
    <row r="100" spans="2:21" ht="29" customHeight="1">
      <c r="B100" s="2" t="s">
        <v>1009</v>
      </c>
      <c r="C100" s="2" t="s">
        <v>1010</v>
      </c>
      <c r="D100" s="2" t="s">
        <v>1010</v>
      </c>
      <c r="E100" s="41">
        <v>1</v>
      </c>
      <c r="F100" s="42">
        <v>1</v>
      </c>
      <c r="G100" s="2" t="s">
        <v>699</v>
      </c>
      <c r="H100" s="2" t="s">
        <v>700</v>
      </c>
      <c r="I100" s="2" t="s">
        <v>701</v>
      </c>
      <c r="J100" s="43" t="s">
        <v>702</v>
      </c>
      <c r="K100" s="30" t="e">
        <f>SUMIF([1]quotation_details!C:C,B100,[1]quotation_details!K:K)</f>
        <v>#VALUE!</v>
      </c>
      <c r="L100" s="43" t="s">
        <v>702</v>
      </c>
      <c r="M100" s="2" t="s">
        <v>795</v>
      </c>
      <c r="N100" s="2" t="s">
        <v>630</v>
      </c>
      <c r="O100" s="2" t="s">
        <v>1011</v>
      </c>
      <c r="P100" s="3">
        <v>46168.627777777801</v>
      </c>
      <c r="Q100" s="2" t="s">
        <v>795</v>
      </c>
      <c r="R100" s="3">
        <v>46188.627777777801</v>
      </c>
      <c r="S100" s="2" t="s">
        <v>795</v>
      </c>
      <c r="T100" s="34"/>
      <c r="U100" s="1" t="s">
        <v>31</v>
      </c>
    </row>
    <row r="101" spans="2:21" ht="43.5" customHeight="1">
      <c r="B101" s="2" t="s">
        <v>1012</v>
      </c>
      <c r="C101" s="2" t="s">
        <v>1013</v>
      </c>
      <c r="D101" s="2" t="s">
        <v>1013</v>
      </c>
      <c r="E101" s="41">
        <v>1</v>
      </c>
      <c r="F101" s="42">
        <v>1</v>
      </c>
      <c r="G101" s="2" t="s">
        <v>706</v>
      </c>
      <c r="H101" s="2" t="s">
        <v>623</v>
      </c>
      <c r="I101" s="2" t="s">
        <v>701</v>
      </c>
      <c r="J101" s="43" t="s">
        <v>702</v>
      </c>
      <c r="K101" s="30" t="e">
        <f>SUMIF([1]quotation_details!C:C,B101,[1]quotation_details!K:K)</f>
        <v>#VALUE!</v>
      </c>
      <c r="L101" s="43" t="s">
        <v>702</v>
      </c>
      <c r="M101" s="2" t="s">
        <v>799</v>
      </c>
      <c r="N101" s="2" t="s">
        <v>623</v>
      </c>
      <c r="O101" s="2" t="s">
        <v>1014</v>
      </c>
      <c r="P101" s="3">
        <v>46169.389583333301</v>
      </c>
      <c r="Q101" s="2" t="s">
        <v>799</v>
      </c>
      <c r="R101" s="3">
        <v>46189.389583333301</v>
      </c>
      <c r="S101" s="2" t="s">
        <v>799</v>
      </c>
      <c r="T101" s="34"/>
      <c r="U101" s="1" t="s">
        <v>31</v>
      </c>
    </row>
    <row r="102" spans="2:21" ht="43.5" customHeight="1">
      <c r="B102" s="2" t="s">
        <v>1015</v>
      </c>
      <c r="C102" s="2" t="s">
        <v>1016</v>
      </c>
      <c r="D102" s="2" t="s">
        <v>1016</v>
      </c>
      <c r="E102" s="41">
        <v>1</v>
      </c>
      <c r="F102" s="42">
        <v>1</v>
      </c>
      <c r="G102" s="2" t="s">
        <v>710</v>
      </c>
      <c r="H102" s="2" t="s">
        <v>623</v>
      </c>
      <c r="I102" s="2" t="s">
        <v>701</v>
      </c>
      <c r="J102" s="43" t="s">
        <v>702</v>
      </c>
      <c r="K102" s="30" t="e">
        <f>SUMIF([1]quotation_details!C:C,B102,[1]quotation_details!K:K)</f>
        <v>#VALUE!</v>
      </c>
      <c r="L102" s="43" t="s">
        <v>702</v>
      </c>
      <c r="M102" s="2" t="s">
        <v>803</v>
      </c>
      <c r="N102" s="2" t="s">
        <v>700</v>
      </c>
      <c r="O102" s="2" t="s">
        <v>1017</v>
      </c>
      <c r="P102" s="3">
        <v>46169.526388888902</v>
      </c>
      <c r="Q102" s="2" t="s">
        <v>803</v>
      </c>
      <c r="R102" s="3">
        <v>46189.526388888902</v>
      </c>
      <c r="S102" s="2" t="s">
        <v>803</v>
      </c>
      <c r="T102" s="34"/>
      <c r="U102" s="1" t="s">
        <v>31</v>
      </c>
    </row>
    <row r="103" spans="2:21" ht="43.5" customHeight="1">
      <c r="B103" s="2" t="s">
        <v>1018</v>
      </c>
      <c r="C103" s="2" t="s">
        <v>1019</v>
      </c>
      <c r="D103" s="2" t="s">
        <v>1019</v>
      </c>
      <c r="E103" s="41">
        <v>1</v>
      </c>
      <c r="F103" s="42">
        <v>1</v>
      </c>
      <c r="G103" s="2" t="s">
        <v>714</v>
      </c>
      <c r="H103" s="2" t="s">
        <v>700</v>
      </c>
      <c r="I103" s="2" t="s">
        <v>701</v>
      </c>
      <c r="J103" s="43" t="s">
        <v>702</v>
      </c>
      <c r="K103" s="30" t="e">
        <f>SUMIF([1]quotation_details!C:C,B103,[1]quotation_details!K:K)</f>
        <v>#VALUE!</v>
      </c>
      <c r="L103" s="43" t="s">
        <v>702</v>
      </c>
      <c r="M103" s="2" t="s">
        <v>807</v>
      </c>
      <c r="N103" s="2" t="s">
        <v>716</v>
      </c>
      <c r="O103" s="2" t="s">
        <v>1020</v>
      </c>
      <c r="P103" s="3">
        <v>46169.663194444402</v>
      </c>
      <c r="Q103" s="2" t="s">
        <v>807</v>
      </c>
      <c r="R103" s="3">
        <v>46189.663194444402</v>
      </c>
      <c r="S103" s="2" t="s">
        <v>807</v>
      </c>
      <c r="T103" s="34"/>
      <c r="U103" s="1" t="s">
        <v>31</v>
      </c>
    </row>
    <row r="104" spans="2:21" ht="43.5" customHeight="1">
      <c r="B104" s="2" t="s">
        <v>1021</v>
      </c>
      <c r="C104" s="2" t="s">
        <v>1022</v>
      </c>
      <c r="D104" s="2" t="s">
        <v>1022</v>
      </c>
      <c r="E104" s="41">
        <v>1</v>
      </c>
      <c r="F104" s="42">
        <v>1</v>
      </c>
      <c r="G104" s="2" t="s">
        <v>699</v>
      </c>
      <c r="H104" s="2" t="s">
        <v>700</v>
      </c>
      <c r="I104" s="2" t="s">
        <v>701</v>
      </c>
      <c r="J104" s="43" t="s">
        <v>702</v>
      </c>
      <c r="K104" s="30" t="e">
        <f>SUMIF([1]quotation_details!C:C,B104,[1]quotation_details!K:K)</f>
        <v>#VALUE!</v>
      </c>
      <c r="L104" s="43" t="s">
        <v>702</v>
      </c>
      <c r="M104" s="2" t="s">
        <v>811</v>
      </c>
      <c r="N104" s="2" t="s">
        <v>630</v>
      </c>
      <c r="O104" s="2" t="s">
        <v>1023</v>
      </c>
      <c r="P104" s="3">
        <v>46170.383333333302</v>
      </c>
      <c r="Q104" s="2" t="s">
        <v>811</v>
      </c>
      <c r="R104" s="3">
        <v>46190.383333333302</v>
      </c>
      <c r="S104" s="2" t="s">
        <v>811</v>
      </c>
      <c r="T104" s="34"/>
      <c r="U104" s="1" t="s">
        <v>31</v>
      </c>
    </row>
    <row r="105" spans="2:21" ht="43.5" customHeight="1">
      <c r="B105" s="2" t="s">
        <v>1024</v>
      </c>
      <c r="C105" s="2" t="s">
        <v>1025</v>
      </c>
      <c r="D105" s="2" t="s">
        <v>1025</v>
      </c>
      <c r="E105" s="41">
        <v>1</v>
      </c>
      <c r="F105" s="42">
        <v>1</v>
      </c>
      <c r="G105" s="2" t="s">
        <v>706</v>
      </c>
      <c r="H105" s="2" t="s">
        <v>623</v>
      </c>
      <c r="I105" s="2" t="s">
        <v>701</v>
      </c>
      <c r="J105" s="43" t="s">
        <v>702</v>
      </c>
      <c r="K105" s="30" t="e">
        <f>SUMIF([1]quotation_details!C:C,B105,[1]quotation_details!K:K)</f>
        <v>#VALUE!</v>
      </c>
      <c r="L105" s="43" t="s">
        <v>702</v>
      </c>
      <c r="M105" s="2" t="s">
        <v>815</v>
      </c>
      <c r="N105" s="2" t="s">
        <v>623</v>
      </c>
      <c r="O105" s="2" t="s">
        <v>1026</v>
      </c>
      <c r="P105" s="3">
        <v>46170.520138888904</v>
      </c>
      <c r="Q105" s="2" t="s">
        <v>815</v>
      </c>
      <c r="R105" s="3">
        <v>46190.520138888904</v>
      </c>
      <c r="S105" s="2" t="s">
        <v>815</v>
      </c>
      <c r="T105" s="34"/>
      <c r="U105" s="1" t="s">
        <v>31</v>
      </c>
    </row>
    <row r="106" spans="2:21" ht="43.5" customHeight="1">
      <c r="B106" s="2" t="s">
        <v>1027</v>
      </c>
      <c r="C106" s="2" t="s">
        <v>1028</v>
      </c>
      <c r="D106" s="2" t="s">
        <v>1028</v>
      </c>
      <c r="E106" s="41">
        <v>1</v>
      </c>
      <c r="F106" s="42">
        <v>1</v>
      </c>
      <c r="G106" s="2" t="s">
        <v>710</v>
      </c>
      <c r="H106" s="2" t="s">
        <v>623</v>
      </c>
      <c r="I106" s="2" t="s">
        <v>701</v>
      </c>
      <c r="J106" s="43" t="s">
        <v>702</v>
      </c>
      <c r="K106" s="30" t="e">
        <f>SUMIF([1]quotation_details!C:C,B106,[1]quotation_details!K:K)</f>
        <v>#VALUE!</v>
      </c>
      <c r="L106" s="43" t="s">
        <v>702</v>
      </c>
      <c r="M106" s="2" t="s">
        <v>86</v>
      </c>
      <c r="N106" s="2" t="s">
        <v>700</v>
      </c>
      <c r="O106" s="2" t="s">
        <v>1029</v>
      </c>
      <c r="P106" s="3">
        <v>46171.656944444403</v>
      </c>
      <c r="Q106" s="2" t="s">
        <v>86</v>
      </c>
      <c r="R106" s="3">
        <v>46191.656944444403</v>
      </c>
      <c r="S106" s="2" t="s">
        <v>86</v>
      </c>
      <c r="T106" s="34"/>
      <c r="U106" s="1" t="s">
        <v>31</v>
      </c>
    </row>
    <row r="107" spans="2:21" ht="29" customHeight="1">
      <c r="B107" s="2" t="s">
        <v>1030</v>
      </c>
      <c r="C107" s="2" t="s">
        <v>1031</v>
      </c>
      <c r="D107" s="2" t="s">
        <v>1031</v>
      </c>
      <c r="E107" s="41">
        <v>1</v>
      </c>
      <c r="F107" s="42">
        <v>1</v>
      </c>
      <c r="G107" s="2" t="s">
        <v>714</v>
      </c>
      <c r="H107" s="2" t="s">
        <v>700</v>
      </c>
      <c r="I107" s="2" t="s">
        <v>701</v>
      </c>
      <c r="J107" s="43" t="s">
        <v>702</v>
      </c>
      <c r="K107" s="30" t="e">
        <f>SUMIF([1]quotation_details!C:C,B107,[1]quotation_details!K:K)</f>
        <v>#VALUE!</v>
      </c>
      <c r="L107" s="43" t="s">
        <v>702</v>
      </c>
      <c r="M107" s="2" t="s">
        <v>822</v>
      </c>
      <c r="N107" s="2" t="s">
        <v>716</v>
      </c>
      <c r="O107" s="2" t="s">
        <v>1032</v>
      </c>
      <c r="P107" s="3">
        <v>46171.377083333296</v>
      </c>
      <c r="Q107" s="2" t="s">
        <v>822</v>
      </c>
      <c r="R107" s="3">
        <v>46191.377083333296</v>
      </c>
      <c r="S107" s="2" t="s">
        <v>822</v>
      </c>
      <c r="T107" s="34"/>
      <c r="U107" s="1" t="s">
        <v>31</v>
      </c>
    </row>
    <row r="108" spans="2:21" ht="29" customHeight="1">
      <c r="B108" s="2" t="s">
        <v>1033</v>
      </c>
      <c r="C108" s="2" t="s">
        <v>199</v>
      </c>
      <c r="D108" s="2" t="s">
        <v>199</v>
      </c>
      <c r="E108" s="41">
        <v>1</v>
      </c>
      <c r="F108" s="42">
        <v>1</v>
      </c>
      <c r="G108" s="2" t="s">
        <v>699</v>
      </c>
      <c r="H108" s="2" t="s">
        <v>700</v>
      </c>
      <c r="I108" s="2" t="s">
        <v>701</v>
      </c>
      <c r="J108" s="43" t="s">
        <v>702</v>
      </c>
      <c r="K108" s="30" t="e">
        <f>SUMIF([1]quotation_details!C:C,B108,[1]quotation_details!K:K)</f>
        <v>#VALUE!</v>
      </c>
      <c r="L108" s="43" t="s">
        <v>702</v>
      </c>
      <c r="M108" s="2" t="s">
        <v>826</v>
      </c>
      <c r="N108" s="2" t="s">
        <v>630</v>
      </c>
      <c r="O108" s="2" t="s">
        <v>1034</v>
      </c>
      <c r="P108" s="3">
        <v>46172.513888888898</v>
      </c>
      <c r="Q108" s="2" t="s">
        <v>826</v>
      </c>
      <c r="R108" s="3">
        <v>46192.513888888898</v>
      </c>
      <c r="S108" s="2" t="s">
        <v>826</v>
      </c>
      <c r="T108" s="34"/>
      <c r="U108" s="1" t="s">
        <v>31</v>
      </c>
    </row>
    <row r="109" spans="2:21" ht="29" customHeight="1">
      <c r="B109" s="2" t="s">
        <v>1035</v>
      </c>
      <c r="C109" s="2" t="s">
        <v>211</v>
      </c>
      <c r="D109" s="2" t="s">
        <v>211</v>
      </c>
      <c r="E109" s="41">
        <v>1</v>
      </c>
      <c r="F109" s="42">
        <v>1</v>
      </c>
      <c r="G109" s="2" t="s">
        <v>706</v>
      </c>
      <c r="H109" s="2" t="s">
        <v>623</v>
      </c>
      <c r="I109" s="2" t="s">
        <v>701</v>
      </c>
      <c r="J109" s="43" t="s">
        <v>702</v>
      </c>
      <c r="K109" s="30" t="e">
        <f>SUMIF([1]quotation_details!C:C,B109,[1]quotation_details!K:K)</f>
        <v>#VALUE!</v>
      </c>
      <c r="L109" s="43" t="s">
        <v>702</v>
      </c>
      <c r="M109" s="2" t="s">
        <v>830</v>
      </c>
      <c r="N109" s="2" t="s">
        <v>623</v>
      </c>
      <c r="O109" s="2" t="s">
        <v>1036</v>
      </c>
      <c r="P109" s="3">
        <v>46172.650694444397</v>
      </c>
      <c r="Q109" s="2" t="s">
        <v>830</v>
      </c>
      <c r="R109" s="3">
        <v>46192.650694444397</v>
      </c>
      <c r="S109" s="2" t="s">
        <v>830</v>
      </c>
      <c r="T109" s="34"/>
      <c r="U109" s="1" t="s">
        <v>31</v>
      </c>
    </row>
    <row r="110" spans="2:21" ht="43.5" customHeight="1">
      <c r="B110" s="2" t="s">
        <v>1037</v>
      </c>
      <c r="C110" s="2" t="s">
        <v>221</v>
      </c>
      <c r="D110" s="2" t="s">
        <v>221</v>
      </c>
      <c r="E110" s="41">
        <v>1</v>
      </c>
      <c r="F110" s="42">
        <v>1</v>
      </c>
      <c r="G110" s="2" t="s">
        <v>710</v>
      </c>
      <c r="H110" s="2" t="s">
        <v>623</v>
      </c>
      <c r="I110" s="2" t="s">
        <v>701</v>
      </c>
      <c r="J110" s="43" t="s">
        <v>702</v>
      </c>
      <c r="K110" s="30" t="e">
        <f>SUMIF([1]quotation_details!C:C,B110,[1]quotation_details!K:K)</f>
        <v>#VALUE!</v>
      </c>
      <c r="L110" s="43" t="s">
        <v>702</v>
      </c>
      <c r="M110" s="2" t="s">
        <v>834</v>
      </c>
      <c r="N110" s="2" t="s">
        <v>700</v>
      </c>
      <c r="O110" s="2" t="s">
        <v>1038</v>
      </c>
      <c r="P110" s="3">
        <v>46173.412499999999</v>
      </c>
      <c r="Q110" s="2" t="s">
        <v>834</v>
      </c>
      <c r="R110" s="3">
        <v>46193.412499999999</v>
      </c>
      <c r="S110" s="2" t="s">
        <v>834</v>
      </c>
      <c r="T110" s="34"/>
      <c r="U110" s="1" t="s">
        <v>31</v>
      </c>
    </row>
    <row r="111" spans="2:21" ht="29" customHeight="1">
      <c r="B111" s="2" t="s">
        <v>1039</v>
      </c>
      <c r="C111" s="2" t="s">
        <v>231</v>
      </c>
      <c r="D111" s="2" t="s">
        <v>231</v>
      </c>
      <c r="E111" s="41">
        <v>1</v>
      </c>
      <c r="F111" s="42">
        <v>1</v>
      </c>
      <c r="G111" s="2" t="s">
        <v>714</v>
      </c>
      <c r="H111" s="2" t="s">
        <v>700</v>
      </c>
      <c r="I111" s="2" t="s">
        <v>701</v>
      </c>
      <c r="J111" s="43" t="s">
        <v>702</v>
      </c>
      <c r="K111" s="30" t="e">
        <f>SUMIF([1]quotation_details!C:C,B111,[1]quotation_details!K:K)</f>
        <v>#VALUE!</v>
      </c>
      <c r="L111" s="43" t="s">
        <v>702</v>
      </c>
      <c r="M111" s="2" t="s">
        <v>838</v>
      </c>
      <c r="N111" s="2" t="s">
        <v>716</v>
      </c>
      <c r="O111" s="2" t="s">
        <v>1040</v>
      </c>
      <c r="P111" s="3">
        <v>46173.507638888899</v>
      </c>
      <c r="Q111" s="2" t="s">
        <v>838</v>
      </c>
      <c r="R111" s="3">
        <v>46193.507638888899</v>
      </c>
      <c r="S111" s="2" t="s">
        <v>838</v>
      </c>
      <c r="T111" s="34"/>
      <c r="U111" s="1" t="s">
        <v>31</v>
      </c>
    </row>
    <row r="112" spans="2:21" ht="29" customHeight="1">
      <c r="B112" s="2" t="s">
        <v>1041</v>
      </c>
      <c r="C112" s="2" t="s">
        <v>241</v>
      </c>
      <c r="D112" s="2" t="s">
        <v>241</v>
      </c>
      <c r="E112" s="41">
        <v>1</v>
      </c>
      <c r="F112" s="42">
        <v>1</v>
      </c>
      <c r="G112" s="2" t="s">
        <v>699</v>
      </c>
      <c r="H112" s="2" t="s">
        <v>700</v>
      </c>
      <c r="I112" s="2" t="s">
        <v>701</v>
      </c>
      <c r="J112" s="43" t="s">
        <v>702</v>
      </c>
      <c r="K112" s="30" t="e">
        <f>SUMIF([1]quotation_details!C:C,B112,[1]quotation_details!K:K)</f>
        <v>#VALUE!</v>
      </c>
      <c r="L112" s="43" t="s">
        <v>702</v>
      </c>
      <c r="M112" s="2" t="s">
        <v>842</v>
      </c>
      <c r="N112" s="2" t="s">
        <v>630</v>
      </c>
      <c r="O112" s="2" t="s">
        <v>1042</v>
      </c>
      <c r="P112" s="3">
        <v>46174.644444444399</v>
      </c>
      <c r="Q112" s="2" t="s">
        <v>842</v>
      </c>
      <c r="R112" s="3">
        <v>46194.644444444399</v>
      </c>
      <c r="S112" s="2" t="s">
        <v>842</v>
      </c>
      <c r="T112" s="34"/>
      <c r="U112" s="1" t="s">
        <v>31</v>
      </c>
    </row>
    <row r="113" spans="2:21" ht="43.5" customHeight="1">
      <c r="B113" s="2" t="s">
        <v>1043</v>
      </c>
      <c r="C113" s="2" t="s">
        <v>251</v>
      </c>
      <c r="D113" s="2" t="s">
        <v>251</v>
      </c>
      <c r="E113" s="41">
        <v>1</v>
      </c>
      <c r="F113" s="42">
        <v>1</v>
      </c>
      <c r="G113" s="2" t="s">
        <v>706</v>
      </c>
      <c r="H113" s="2" t="s">
        <v>623</v>
      </c>
      <c r="I113" s="2" t="s">
        <v>701</v>
      </c>
      <c r="J113" s="43" t="s">
        <v>702</v>
      </c>
      <c r="K113" s="30" t="e">
        <f>SUMIF([1]quotation_details!C:C,B113,[1]quotation_details!K:K)</f>
        <v>#VALUE!</v>
      </c>
      <c r="L113" s="43" t="s">
        <v>702</v>
      </c>
      <c r="M113" s="2" t="s">
        <v>846</v>
      </c>
      <c r="N113" s="2" t="s">
        <v>623</v>
      </c>
      <c r="O113" s="2" t="s">
        <v>1044</v>
      </c>
      <c r="P113" s="3">
        <v>46174.40625</v>
      </c>
      <c r="Q113" s="2" t="s">
        <v>846</v>
      </c>
      <c r="R113" s="3">
        <v>46194.40625</v>
      </c>
      <c r="S113" s="2" t="s">
        <v>846</v>
      </c>
      <c r="T113" s="34"/>
      <c r="U113" s="1" t="s">
        <v>31</v>
      </c>
    </row>
    <row r="114" spans="2:21" ht="29" customHeight="1">
      <c r="B114" s="2" t="s">
        <v>1045</v>
      </c>
      <c r="C114" s="2" t="s">
        <v>261</v>
      </c>
      <c r="D114" s="2" t="s">
        <v>261</v>
      </c>
      <c r="E114" s="41">
        <v>1</v>
      </c>
      <c r="F114" s="42">
        <v>1</v>
      </c>
      <c r="G114" s="2" t="s">
        <v>710</v>
      </c>
      <c r="H114" s="2" t="s">
        <v>623</v>
      </c>
      <c r="I114" s="2" t="s">
        <v>701</v>
      </c>
      <c r="J114" s="43" t="s">
        <v>702</v>
      </c>
      <c r="K114" s="30" t="e">
        <f>SUMIF([1]quotation_details!C:C,B114,[1]quotation_details!K:K)</f>
        <v>#VALUE!</v>
      </c>
      <c r="L114" s="43" t="s">
        <v>702</v>
      </c>
      <c r="M114" s="2" t="s">
        <v>850</v>
      </c>
      <c r="N114" s="2" t="s">
        <v>700</v>
      </c>
      <c r="O114" s="2" t="s">
        <v>1046</v>
      </c>
      <c r="P114" s="3">
        <v>46174.501388888901</v>
      </c>
      <c r="Q114" s="2" t="s">
        <v>850</v>
      </c>
      <c r="R114" s="3">
        <v>46194.501388888901</v>
      </c>
      <c r="S114" s="2" t="s">
        <v>850</v>
      </c>
      <c r="T114" s="34"/>
      <c r="U114" s="1" t="s">
        <v>31</v>
      </c>
    </row>
    <row r="115" spans="2:21" ht="29" customHeight="1">
      <c r="B115" s="2" t="s">
        <v>1047</v>
      </c>
      <c r="C115" s="2" t="s">
        <v>272</v>
      </c>
      <c r="D115" s="2" t="s">
        <v>272</v>
      </c>
      <c r="E115" s="41">
        <v>1</v>
      </c>
      <c r="F115" s="42">
        <v>1</v>
      </c>
      <c r="G115" s="2" t="s">
        <v>714</v>
      </c>
      <c r="H115" s="2" t="s">
        <v>700</v>
      </c>
      <c r="I115" s="2" t="s">
        <v>701</v>
      </c>
      <c r="J115" s="43" t="s">
        <v>702</v>
      </c>
      <c r="K115" s="30" t="e">
        <f>SUMIF([1]quotation_details!C:C,B115,[1]quotation_details!K:K)</f>
        <v>#VALUE!</v>
      </c>
      <c r="L115" s="43" t="s">
        <v>702</v>
      </c>
      <c r="M115" s="2" t="s">
        <v>854</v>
      </c>
      <c r="N115" s="2" t="s">
        <v>716</v>
      </c>
      <c r="O115" s="2" t="s">
        <v>1048</v>
      </c>
      <c r="P115" s="3">
        <v>46175.6381944444</v>
      </c>
      <c r="Q115" s="2" t="s">
        <v>854</v>
      </c>
      <c r="R115" s="3">
        <v>46195.6381944444</v>
      </c>
      <c r="S115" s="2" t="s">
        <v>854</v>
      </c>
      <c r="T115" s="34"/>
      <c r="U115" s="1" t="s">
        <v>31</v>
      </c>
    </row>
    <row r="116" spans="2:21" ht="29" customHeight="1">
      <c r="B116" s="2" t="s">
        <v>1049</v>
      </c>
      <c r="C116" s="2" t="s">
        <v>281</v>
      </c>
      <c r="D116" s="2" t="s">
        <v>281</v>
      </c>
      <c r="E116" s="41">
        <v>1</v>
      </c>
      <c r="F116" s="42">
        <v>1</v>
      </c>
      <c r="G116" s="2" t="s">
        <v>699</v>
      </c>
      <c r="H116" s="2" t="s">
        <v>700</v>
      </c>
      <c r="I116" s="2" t="s">
        <v>701</v>
      </c>
      <c r="J116" s="43" t="s">
        <v>702</v>
      </c>
      <c r="K116" s="30" t="e">
        <f>SUMIF([1]quotation_details!C:C,B116,[1]quotation_details!K:K)</f>
        <v>#VALUE!</v>
      </c>
      <c r="L116" s="43" t="s">
        <v>702</v>
      </c>
      <c r="M116" s="2" t="s">
        <v>858</v>
      </c>
      <c r="N116" s="2" t="s">
        <v>630</v>
      </c>
      <c r="O116" s="2" t="s">
        <v>1050</v>
      </c>
      <c r="P116" s="3">
        <v>46175.4</v>
      </c>
      <c r="Q116" s="2" t="s">
        <v>858</v>
      </c>
      <c r="R116" s="3">
        <v>46195.4</v>
      </c>
      <c r="S116" s="2" t="s">
        <v>858</v>
      </c>
      <c r="T116" s="34"/>
      <c r="U116" s="1" t="s">
        <v>31</v>
      </c>
    </row>
    <row r="117" spans="2:21" ht="29" customHeight="1">
      <c r="B117" s="2" t="s">
        <v>1051</v>
      </c>
      <c r="C117" s="2" t="s">
        <v>291</v>
      </c>
      <c r="D117" s="2" t="s">
        <v>291</v>
      </c>
      <c r="E117" s="41">
        <v>1</v>
      </c>
      <c r="F117" s="42">
        <v>1</v>
      </c>
      <c r="G117" s="2" t="s">
        <v>706</v>
      </c>
      <c r="H117" s="2" t="s">
        <v>623</v>
      </c>
      <c r="I117" s="2" t="s">
        <v>701</v>
      </c>
      <c r="J117" s="43" t="s">
        <v>702</v>
      </c>
      <c r="K117" s="30" t="e">
        <f>SUMIF([1]quotation_details!C:C,B117,[1]quotation_details!K:K)</f>
        <v>#VALUE!</v>
      </c>
      <c r="L117" s="43" t="s">
        <v>702</v>
      </c>
      <c r="M117" s="2" t="s">
        <v>862</v>
      </c>
      <c r="N117" s="2" t="s">
        <v>623</v>
      </c>
      <c r="O117" s="2" t="s">
        <v>1052</v>
      </c>
      <c r="P117" s="3">
        <v>46176.536805555603</v>
      </c>
      <c r="Q117" s="2" t="s">
        <v>862</v>
      </c>
      <c r="R117" s="3">
        <v>46196.536805555603</v>
      </c>
      <c r="S117" s="2" t="s">
        <v>862</v>
      </c>
      <c r="T117" s="34"/>
      <c r="U117" s="1" t="s">
        <v>31</v>
      </c>
    </row>
    <row r="118" spans="2:21" ht="29" customHeight="1">
      <c r="B118" s="2" t="s">
        <v>1053</v>
      </c>
      <c r="C118" s="2" t="s">
        <v>300</v>
      </c>
      <c r="D118" s="2" t="s">
        <v>300</v>
      </c>
      <c r="E118" s="41">
        <v>1</v>
      </c>
      <c r="F118" s="42">
        <v>1</v>
      </c>
      <c r="G118" s="2" t="s">
        <v>710</v>
      </c>
      <c r="H118" s="2" t="s">
        <v>623</v>
      </c>
      <c r="I118" s="2" t="s">
        <v>701</v>
      </c>
      <c r="J118" s="43" t="s">
        <v>702</v>
      </c>
      <c r="K118" s="30" t="e">
        <f>SUMIF([1]quotation_details!C:C,B118,[1]quotation_details!K:K)</f>
        <v>#VALUE!</v>
      </c>
      <c r="L118" s="43" t="s">
        <v>702</v>
      </c>
      <c r="M118" s="2" t="s">
        <v>97</v>
      </c>
      <c r="N118" s="2" t="s">
        <v>700</v>
      </c>
      <c r="O118" s="2" t="s">
        <v>1054</v>
      </c>
      <c r="P118" s="3">
        <v>46176.631944444402</v>
      </c>
      <c r="Q118" s="2" t="s">
        <v>97</v>
      </c>
      <c r="R118" s="3">
        <v>46196.631944444402</v>
      </c>
      <c r="S118" s="2" t="s">
        <v>97</v>
      </c>
      <c r="T118" s="34"/>
      <c r="U118" s="1" t="s">
        <v>31</v>
      </c>
    </row>
    <row r="119" spans="2:21" ht="29" customHeight="1">
      <c r="B119" s="2" t="s">
        <v>1055</v>
      </c>
      <c r="C119" s="2" t="s">
        <v>310</v>
      </c>
      <c r="D119" s="2" t="s">
        <v>310</v>
      </c>
      <c r="E119" s="41">
        <v>1</v>
      </c>
      <c r="F119" s="42">
        <v>1</v>
      </c>
      <c r="G119" s="2" t="s">
        <v>714</v>
      </c>
      <c r="H119" s="2" t="s">
        <v>700</v>
      </c>
      <c r="I119" s="2" t="s">
        <v>701</v>
      </c>
      <c r="J119" s="43" t="s">
        <v>702</v>
      </c>
      <c r="K119" s="30" t="e">
        <f>SUMIF([1]quotation_details!C:C,B119,[1]quotation_details!K:K)</f>
        <v>#VALUE!</v>
      </c>
      <c r="L119" s="43" t="s">
        <v>702</v>
      </c>
      <c r="M119" s="2" t="s">
        <v>869</v>
      </c>
      <c r="N119" s="2" t="s">
        <v>716</v>
      </c>
      <c r="O119" s="2" t="s">
        <v>1056</v>
      </c>
      <c r="P119" s="3">
        <v>46177.393750000003</v>
      </c>
      <c r="Q119" s="2" t="s">
        <v>869</v>
      </c>
      <c r="R119" s="3">
        <v>46197.393750000003</v>
      </c>
      <c r="S119" s="2" t="s">
        <v>869</v>
      </c>
      <c r="T119" s="34"/>
      <c r="U119" s="1" t="s">
        <v>31</v>
      </c>
    </row>
    <row r="120" spans="2:21" ht="29" customHeight="1">
      <c r="B120" s="2" t="s">
        <v>1057</v>
      </c>
      <c r="C120" s="2" t="s">
        <v>320</v>
      </c>
      <c r="D120" s="2" t="s">
        <v>320</v>
      </c>
      <c r="E120" s="41">
        <v>1</v>
      </c>
      <c r="F120" s="42">
        <v>1</v>
      </c>
      <c r="G120" s="2" t="s">
        <v>699</v>
      </c>
      <c r="H120" s="2" t="s">
        <v>700</v>
      </c>
      <c r="I120" s="2" t="s">
        <v>701</v>
      </c>
      <c r="J120" s="43" t="s">
        <v>702</v>
      </c>
      <c r="K120" s="30" t="e">
        <f>SUMIF([1]quotation_details!C:C,B120,[1]quotation_details!K:K)</f>
        <v>#VALUE!</v>
      </c>
      <c r="L120" s="43" t="s">
        <v>702</v>
      </c>
      <c r="M120" s="2" t="s">
        <v>873</v>
      </c>
      <c r="N120" s="2" t="s">
        <v>630</v>
      </c>
      <c r="O120" s="2" t="s">
        <v>1058</v>
      </c>
      <c r="P120" s="3">
        <v>46177.530555555597</v>
      </c>
      <c r="Q120" s="2" t="s">
        <v>873</v>
      </c>
      <c r="R120" s="3">
        <v>46197.530555555597</v>
      </c>
      <c r="S120" s="2" t="s">
        <v>873</v>
      </c>
      <c r="T120" s="34"/>
      <c r="U120" s="1" t="s">
        <v>31</v>
      </c>
    </row>
    <row r="121" spans="2:21" ht="29" customHeight="1">
      <c r="B121" s="2" t="s">
        <v>1059</v>
      </c>
      <c r="C121" s="2" t="s">
        <v>329</v>
      </c>
      <c r="D121" s="2" t="s">
        <v>329</v>
      </c>
      <c r="E121" s="41">
        <v>1</v>
      </c>
      <c r="F121" s="42">
        <v>1</v>
      </c>
      <c r="G121" s="2" t="s">
        <v>706</v>
      </c>
      <c r="H121" s="2" t="s">
        <v>623</v>
      </c>
      <c r="I121" s="2" t="s">
        <v>701</v>
      </c>
      <c r="J121" s="43" t="s">
        <v>702</v>
      </c>
      <c r="K121" s="30" t="e">
        <f>SUMIF([1]quotation_details!C:C,B121,[1]quotation_details!K:K)</f>
        <v>#VALUE!</v>
      </c>
      <c r="L121" s="43" t="s">
        <v>702</v>
      </c>
      <c r="M121" s="2" t="s">
        <v>877</v>
      </c>
      <c r="N121" s="2" t="s">
        <v>623</v>
      </c>
      <c r="O121" s="2" t="s">
        <v>1060</v>
      </c>
      <c r="P121" s="3">
        <v>46178.625694444403</v>
      </c>
      <c r="Q121" s="2" t="s">
        <v>877</v>
      </c>
      <c r="R121" s="3">
        <v>46198.625694444403</v>
      </c>
      <c r="S121" s="2" t="s">
        <v>877</v>
      </c>
      <c r="T121" s="34"/>
      <c r="U121" s="1" t="s">
        <v>31</v>
      </c>
    </row>
    <row r="122" spans="2:21" ht="29" customHeight="1">
      <c r="B122" s="2" t="s">
        <v>1061</v>
      </c>
      <c r="C122" s="2" t="s">
        <v>339</v>
      </c>
      <c r="D122" s="2" t="s">
        <v>339</v>
      </c>
      <c r="E122" s="41">
        <v>1</v>
      </c>
      <c r="F122" s="42">
        <v>1</v>
      </c>
      <c r="G122" s="2" t="s">
        <v>710</v>
      </c>
      <c r="H122" s="2" t="s">
        <v>623</v>
      </c>
      <c r="I122" s="2" t="s">
        <v>701</v>
      </c>
      <c r="J122" s="43" t="s">
        <v>702</v>
      </c>
      <c r="K122" s="30" t="e">
        <f>SUMIF([1]quotation_details!C:C,B122,[1]quotation_details!K:K)</f>
        <v>#VALUE!</v>
      </c>
      <c r="L122" s="43" t="s">
        <v>702</v>
      </c>
      <c r="M122" s="2" t="s">
        <v>881</v>
      </c>
      <c r="N122" s="2" t="s">
        <v>700</v>
      </c>
      <c r="O122" s="2" t="s">
        <v>1062</v>
      </c>
      <c r="P122" s="3">
        <v>46178.387499999997</v>
      </c>
      <c r="Q122" s="2" t="s">
        <v>881</v>
      </c>
      <c r="R122" s="3">
        <v>46198.387499999997</v>
      </c>
      <c r="S122" s="2" t="s">
        <v>881</v>
      </c>
      <c r="T122" s="34"/>
      <c r="U122" s="1" t="s">
        <v>31</v>
      </c>
    </row>
    <row r="123" spans="2:21" ht="29" customHeight="1">
      <c r="B123" s="2" t="s">
        <v>1063</v>
      </c>
      <c r="C123" s="2" t="s">
        <v>348</v>
      </c>
      <c r="D123" s="2" t="s">
        <v>348</v>
      </c>
      <c r="E123" s="41">
        <v>1</v>
      </c>
      <c r="F123" s="42">
        <v>1</v>
      </c>
      <c r="G123" s="2" t="s">
        <v>714</v>
      </c>
      <c r="H123" s="2" t="s">
        <v>700</v>
      </c>
      <c r="I123" s="2" t="s">
        <v>701</v>
      </c>
      <c r="J123" s="43" t="s">
        <v>702</v>
      </c>
      <c r="K123" s="30" t="e">
        <f>SUMIF([1]quotation_details!C:C,B123,[1]quotation_details!K:K)</f>
        <v>#VALUE!</v>
      </c>
      <c r="L123" s="43" t="s">
        <v>702</v>
      </c>
      <c r="M123" s="2" t="s">
        <v>885</v>
      </c>
      <c r="N123" s="2" t="s">
        <v>716</v>
      </c>
      <c r="O123" s="2" t="s">
        <v>1064</v>
      </c>
      <c r="P123" s="3">
        <v>46179.524305555598</v>
      </c>
      <c r="Q123" s="2" t="s">
        <v>885</v>
      </c>
      <c r="R123" s="3">
        <v>46199.524305555598</v>
      </c>
      <c r="S123" s="2" t="s">
        <v>885</v>
      </c>
      <c r="T123" s="34"/>
      <c r="U123" s="1" t="s">
        <v>31</v>
      </c>
    </row>
    <row r="124" spans="2:21" ht="29" customHeight="1">
      <c r="B124" s="2" t="s">
        <v>1065</v>
      </c>
      <c r="C124" s="2" t="s">
        <v>357</v>
      </c>
      <c r="D124" s="2" t="s">
        <v>357</v>
      </c>
      <c r="E124" s="41">
        <v>1</v>
      </c>
      <c r="F124" s="42">
        <v>1</v>
      </c>
      <c r="G124" s="2" t="s">
        <v>699</v>
      </c>
      <c r="H124" s="2" t="s">
        <v>700</v>
      </c>
      <c r="I124" s="2" t="s">
        <v>701</v>
      </c>
      <c r="J124" s="43" t="s">
        <v>702</v>
      </c>
      <c r="K124" s="30" t="e">
        <f>SUMIF([1]quotation_details!C:C,B124,[1]quotation_details!K:K)</f>
        <v>#VALUE!</v>
      </c>
      <c r="L124" s="43" t="s">
        <v>702</v>
      </c>
      <c r="M124" s="2" t="s">
        <v>889</v>
      </c>
      <c r="N124" s="2" t="s">
        <v>630</v>
      </c>
      <c r="O124" s="2" t="s">
        <v>1066</v>
      </c>
      <c r="P124" s="3">
        <v>46179.661111111098</v>
      </c>
      <c r="Q124" s="2" t="s">
        <v>889</v>
      </c>
      <c r="R124" s="3">
        <v>46199.661111111098</v>
      </c>
      <c r="S124" s="2" t="s">
        <v>889</v>
      </c>
      <c r="T124" s="34"/>
      <c r="U124" s="1" t="s">
        <v>31</v>
      </c>
    </row>
    <row r="125" spans="2:21" ht="29" customHeight="1">
      <c r="B125" s="2" t="s">
        <v>1067</v>
      </c>
      <c r="C125" s="2" t="s">
        <v>366</v>
      </c>
      <c r="D125" s="2" t="s">
        <v>366</v>
      </c>
      <c r="E125" s="41">
        <v>1</v>
      </c>
      <c r="F125" s="42">
        <v>1</v>
      </c>
      <c r="G125" s="2" t="s">
        <v>706</v>
      </c>
      <c r="H125" s="2" t="s">
        <v>623</v>
      </c>
      <c r="I125" s="2" t="s">
        <v>701</v>
      </c>
      <c r="J125" s="43" t="s">
        <v>702</v>
      </c>
      <c r="K125" s="30" t="e">
        <f>SUMIF([1]quotation_details!C:C,B125,[1]quotation_details!K:K)</f>
        <v>#VALUE!</v>
      </c>
      <c r="L125" s="43" t="s">
        <v>702</v>
      </c>
      <c r="M125" s="2" t="s">
        <v>893</v>
      </c>
      <c r="N125" s="2" t="s">
        <v>623</v>
      </c>
      <c r="O125" s="2" t="s">
        <v>1068</v>
      </c>
      <c r="P125" s="3">
        <v>46180.381249999999</v>
      </c>
      <c r="Q125" s="2" t="s">
        <v>893</v>
      </c>
      <c r="R125" s="3">
        <v>46200.381249999999</v>
      </c>
      <c r="S125" s="2" t="s">
        <v>893</v>
      </c>
      <c r="T125" s="34"/>
      <c r="U125" s="1" t="s">
        <v>31</v>
      </c>
    </row>
    <row r="126" spans="2:21" ht="43.5" customHeight="1">
      <c r="B126" s="2" t="s">
        <v>1069</v>
      </c>
      <c r="C126" s="2" t="s">
        <v>376</v>
      </c>
      <c r="D126" s="2" t="s">
        <v>376</v>
      </c>
      <c r="E126" s="41">
        <v>1</v>
      </c>
      <c r="F126" s="42">
        <v>1</v>
      </c>
      <c r="G126" s="2" t="s">
        <v>710</v>
      </c>
      <c r="H126" s="2" t="s">
        <v>623</v>
      </c>
      <c r="I126" s="2" t="s">
        <v>701</v>
      </c>
      <c r="J126" s="43" t="s">
        <v>702</v>
      </c>
      <c r="K126" s="30" t="e">
        <f>SUMIF([1]quotation_details!C:C,B126,[1]quotation_details!K:K)</f>
        <v>#VALUE!</v>
      </c>
      <c r="L126" s="43" t="s">
        <v>702</v>
      </c>
      <c r="M126" s="2" t="s">
        <v>897</v>
      </c>
      <c r="N126" s="2" t="s">
        <v>700</v>
      </c>
      <c r="O126" s="2" t="s">
        <v>1070</v>
      </c>
      <c r="P126" s="3">
        <v>46180.5180555556</v>
      </c>
      <c r="Q126" s="2" t="s">
        <v>897</v>
      </c>
      <c r="R126" s="3">
        <v>46200.5180555556</v>
      </c>
      <c r="S126" s="2" t="s">
        <v>897</v>
      </c>
      <c r="T126" s="34"/>
      <c r="U126" s="1" t="s">
        <v>31</v>
      </c>
    </row>
    <row r="127" spans="2:21" ht="43.5" customHeight="1">
      <c r="B127" s="2" t="s">
        <v>1071</v>
      </c>
      <c r="C127" s="2" t="s">
        <v>385</v>
      </c>
      <c r="D127" s="2" t="s">
        <v>385</v>
      </c>
      <c r="E127" s="41">
        <v>1</v>
      </c>
      <c r="F127" s="42">
        <v>1</v>
      </c>
      <c r="G127" s="2" t="s">
        <v>714</v>
      </c>
      <c r="H127" s="2" t="s">
        <v>700</v>
      </c>
      <c r="I127" s="2" t="s">
        <v>701</v>
      </c>
      <c r="J127" s="43" t="s">
        <v>702</v>
      </c>
      <c r="K127" s="30" t="e">
        <f>SUMIF([1]quotation_details!C:C,B127,[1]quotation_details!K:K)</f>
        <v>#VALUE!</v>
      </c>
      <c r="L127" s="43" t="s">
        <v>702</v>
      </c>
      <c r="M127" s="2" t="s">
        <v>901</v>
      </c>
      <c r="N127" s="2" t="s">
        <v>716</v>
      </c>
      <c r="O127" s="2" t="s">
        <v>1072</v>
      </c>
      <c r="P127" s="3">
        <v>46180.654861111099</v>
      </c>
      <c r="Q127" s="2" t="s">
        <v>901</v>
      </c>
      <c r="R127" s="3">
        <v>46200.654861111099</v>
      </c>
      <c r="S127" s="2" t="s">
        <v>901</v>
      </c>
      <c r="T127" s="34"/>
      <c r="U127" s="1" t="s">
        <v>31</v>
      </c>
    </row>
    <row r="128" spans="2:21" ht="43.5" customHeight="1">
      <c r="B128" s="2" t="s">
        <v>1073</v>
      </c>
      <c r="C128" s="2" t="s">
        <v>395</v>
      </c>
      <c r="D128" s="2" t="s">
        <v>395</v>
      </c>
      <c r="E128" s="41">
        <v>1</v>
      </c>
      <c r="F128" s="42">
        <v>1</v>
      </c>
      <c r="G128" s="2" t="s">
        <v>699</v>
      </c>
      <c r="H128" s="2" t="s">
        <v>700</v>
      </c>
      <c r="I128" s="2" t="s">
        <v>701</v>
      </c>
      <c r="J128" s="43" t="s">
        <v>702</v>
      </c>
      <c r="K128" s="30" t="e">
        <f>SUMIF([1]quotation_details!C:C,B128,[1]quotation_details!K:K)</f>
        <v>#VALUE!</v>
      </c>
      <c r="L128" s="43" t="s">
        <v>702</v>
      </c>
      <c r="M128" s="2" t="s">
        <v>905</v>
      </c>
      <c r="N128" s="2" t="s">
        <v>630</v>
      </c>
      <c r="O128" s="2" t="s">
        <v>1074</v>
      </c>
      <c r="P128" s="3">
        <v>46181.375</v>
      </c>
      <c r="Q128" s="2" t="s">
        <v>905</v>
      </c>
      <c r="R128" s="3">
        <v>46201.375</v>
      </c>
      <c r="S128" s="2" t="s">
        <v>905</v>
      </c>
      <c r="T128" s="34"/>
      <c r="U128" s="1" t="s">
        <v>31</v>
      </c>
    </row>
    <row r="129" spans="2:21" ht="43.5" customHeight="1">
      <c r="B129" s="2" t="s">
        <v>1075</v>
      </c>
      <c r="C129" s="2" t="s">
        <v>404</v>
      </c>
      <c r="D129" s="2" t="s">
        <v>404</v>
      </c>
      <c r="E129" s="41">
        <v>1</v>
      </c>
      <c r="F129" s="42">
        <v>1</v>
      </c>
      <c r="G129" s="2" t="s">
        <v>706</v>
      </c>
      <c r="H129" s="2" t="s">
        <v>623</v>
      </c>
      <c r="I129" s="2" t="s">
        <v>701</v>
      </c>
      <c r="J129" s="43" t="s">
        <v>702</v>
      </c>
      <c r="K129" s="30" t="e">
        <f>SUMIF([1]quotation_details!C:C,B129,[1]quotation_details!K:K)</f>
        <v>#VALUE!</v>
      </c>
      <c r="L129" s="43" t="s">
        <v>702</v>
      </c>
      <c r="M129" s="2" t="s">
        <v>909</v>
      </c>
      <c r="N129" s="2" t="s">
        <v>623</v>
      </c>
      <c r="O129" s="2" t="s">
        <v>1076</v>
      </c>
      <c r="P129" s="3">
        <v>46181.511805555601</v>
      </c>
      <c r="Q129" s="2" t="s">
        <v>909</v>
      </c>
      <c r="R129" s="3">
        <v>46201.511805555601</v>
      </c>
      <c r="S129" s="2" t="s">
        <v>909</v>
      </c>
      <c r="T129" s="34"/>
      <c r="U129" s="1" t="s">
        <v>31</v>
      </c>
    </row>
    <row r="130" spans="2:21" ht="43.5" customHeight="1">
      <c r="B130" s="2" t="s">
        <v>1077</v>
      </c>
      <c r="C130" s="2" t="s">
        <v>413</v>
      </c>
      <c r="D130" s="2" t="s">
        <v>413</v>
      </c>
      <c r="E130" s="41">
        <v>1</v>
      </c>
      <c r="F130" s="42">
        <v>1</v>
      </c>
      <c r="G130" s="2" t="s">
        <v>710</v>
      </c>
      <c r="H130" s="2" t="s">
        <v>623</v>
      </c>
      <c r="I130" s="2" t="s">
        <v>701</v>
      </c>
      <c r="J130" s="43" t="s">
        <v>702</v>
      </c>
      <c r="K130" s="30" t="e">
        <f>SUMIF([1]quotation_details!C:C,B130,[1]quotation_details!K:K)</f>
        <v>#VALUE!</v>
      </c>
      <c r="L130" s="43" t="s">
        <v>702</v>
      </c>
      <c r="M130" s="2" t="s">
        <v>913</v>
      </c>
      <c r="N130" s="2" t="s">
        <v>700</v>
      </c>
      <c r="O130" s="2" t="s">
        <v>1078</v>
      </c>
      <c r="P130" s="3">
        <v>46182.648611111101</v>
      </c>
      <c r="Q130" s="2" t="s">
        <v>913</v>
      </c>
      <c r="R130" s="3">
        <v>46202.648611111101</v>
      </c>
      <c r="S130" s="2" t="s">
        <v>913</v>
      </c>
      <c r="T130" s="34"/>
      <c r="U130" s="1" t="s">
        <v>31</v>
      </c>
    </row>
    <row r="131" spans="2:21" ht="43.5" customHeight="1">
      <c r="B131" s="2" t="s">
        <v>1079</v>
      </c>
      <c r="C131" s="2" t="s">
        <v>423</v>
      </c>
      <c r="D131" s="2" t="s">
        <v>423</v>
      </c>
      <c r="E131" s="41">
        <v>1</v>
      </c>
      <c r="F131" s="42">
        <v>1</v>
      </c>
      <c r="G131" s="2" t="s">
        <v>714</v>
      </c>
      <c r="H131" s="2" t="s">
        <v>700</v>
      </c>
      <c r="I131" s="2" t="s">
        <v>701</v>
      </c>
      <c r="J131" s="43" t="s">
        <v>702</v>
      </c>
      <c r="K131" s="30" t="e">
        <f>SUMIF([1]quotation_details!C:C,B131,[1]quotation_details!K:K)</f>
        <v>#VALUE!</v>
      </c>
      <c r="L131" s="43" t="s">
        <v>702</v>
      </c>
      <c r="M131" s="2" t="s">
        <v>917</v>
      </c>
      <c r="N131" s="2" t="s">
        <v>716</v>
      </c>
      <c r="O131" s="2" t="s">
        <v>1080</v>
      </c>
      <c r="P131" s="3">
        <v>46182.410416666702</v>
      </c>
      <c r="Q131" s="2" t="s">
        <v>917</v>
      </c>
      <c r="R131" s="3">
        <v>46202.410416666702</v>
      </c>
      <c r="S131" s="2" t="s">
        <v>917</v>
      </c>
      <c r="T131" s="34"/>
      <c r="U131" s="1" t="s">
        <v>31</v>
      </c>
    </row>
    <row r="132" spans="2:21" ht="29" customHeight="1">
      <c r="B132" s="2" t="s">
        <v>1081</v>
      </c>
      <c r="C132" s="2" t="s">
        <v>432</v>
      </c>
      <c r="D132" s="2" t="s">
        <v>432</v>
      </c>
      <c r="E132" s="41">
        <v>1</v>
      </c>
      <c r="F132" s="42">
        <v>1</v>
      </c>
      <c r="G132" s="2" t="s">
        <v>699</v>
      </c>
      <c r="H132" s="2" t="s">
        <v>700</v>
      </c>
      <c r="I132" s="2" t="s">
        <v>701</v>
      </c>
      <c r="J132" s="43" t="s">
        <v>702</v>
      </c>
      <c r="K132" s="30" t="e">
        <f>SUMIF([1]quotation_details!C:C,B132,[1]quotation_details!K:K)</f>
        <v>#VALUE!</v>
      </c>
      <c r="L132" s="43" t="s">
        <v>702</v>
      </c>
      <c r="M132" s="2" t="s">
        <v>703</v>
      </c>
      <c r="N132" s="2" t="s">
        <v>630</v>
      </c>
      <c r="O132" s="2" t="s">
        <v>1082</v>
      </c>
      <c r="P132" s="3">
        <v>46183.505555555603</v>
      </c>
      <c r="Q132" s="2" t="s">
        <v>703</v>
      </c>
      <c r="R132" s="3">
        <v>46203.505555555603</v>
      </c>
      <c r="S132" s="2" t="s">
        <v>703</v>
      </c>
      <c r="T132" s="34"/>
      <c r="U132" s="1" t="s">
        <v>31</v>
      </c>
    </row>
    <row r="133" spans="2:21" ht="43.5" customHeight="1">
      <c r="B133" s="2" t="s">
        <v>1083</v>
      </c>
      <c r="C133" s="2" t="s">
        <v>440</v>
      </c>
      <c r="D133" s="2" t="s">
        <v>440</v>
      </c>
      <c r="E133" s="41">
        <v>1</v>
      </c>
      <c r="F133" s="42">
        <v>1</v>
      </c>
      <c r="G133" s="2" t="s">
        <v>706</v>
      </c>
      <c r="H133" s="2" t="s">
        <v>623</v>
      </c>
      <c r="I133" s="2" t="s">
        <v>701</v>
      </c>
      <c r="J133" s="43" t="s">
        <v>702</v>
      </c>
      <c r="K133" s="30" t="e">
        <f>SUMIF([1]quotation_details!C:C,B133,[1]quotation_details!K:K)</f>
        <v>#VALUE!</v>
      </c>
      <c r="L133" s="43" t="s">
        <v>702</v>
      </c>
      <c r="M133" s="2" t="s">
        <v>707</v>
      </c>
      <c r="N133" s="2" t="s">
        <v>623</v>
      </c>
      <c r="O133" s="2" t="s">
        <v>1084</v>
      </c>
      <c r="P133" s="3">
        <v>46183.642361111102</v>
      </c>
      <c r="Q133" s="2" t="s">
        <v>707</v>
      </c>
      <c r="R133" s="3">
        <v>46203.642361111102</v>
      </c>
      <c r="S133" s="2" t="s">
        <v>707</v>
      </c>
      <c r="T133" s="34"/>
      <c r="U133" s="1" t="s">
        <v>31</v>
      </c>
    </row>
    <row r="134" spans="2:21" ht="29" customHeight="1">
      <c r="B134" s="2" t="s">
        <v>1085</v>
      </c>
      <c r="C134" s="2" t="s">
        <v>449</v>
      </c>
      <c r="D134" s="2" t="s">
        <v>449</v>
      </c>
      <c r="E134" s="41">
        <v>1</v>
      </c>
      <c r="F134" s="42">
        <v>1</v>
      </c>
      <c r="G134" s="2" t="s">
        <v>710</v>
      </c>
      <c r="H134" s="2" t="s">
        <v>623</v>
      </c>
      <c r="I134" s="2" t="s">
        <v>701</v>
      </c>
      <c r="J134" s="43" t="s">
        <v>702</v>
      </c>
      <c r="K134" s="30" t="e">
        <f>SUMIF([1]quotation_details!C:C,B134,[1]quotation_details!K:K)</f>
        <v>#VALUE!</v>
      </c>
      <c r="L134" s="43" t="s">
        <v>702</v>
      </c>
      <c r="M134" s="2" t="s">
        <v>711</v>
      </c>
      <c r="N134" s="2" t="s">
        <v>700</v>
      </c>
      <c r="O134" s="2" t="s">
        <v>1086</v>
      </c>
      <c r="P134" s="3">
        <v>46184.404166666704</v>
      </c>
      <c r="Q134" s="2" t="s">
        <v>711</v>
      </c>
      <c r="R134" s="3">
        <v>46204.404166666704</v>
      </c>
      <c r="S134" s="2" t="s">
        <v>711</v>
      </c>
      <c r="T134" s="34"/>
      <c r="U134" s="1" t="s">
        <v>31</v>
      </c>
    </row>
    <row r="135" spans="2:21" ht="43.5" customHeight="1">
      <c r="B135" s="2" t="s">
        <v>1087</v>
      </c>
      <c r="C135" s="2" t="s">
        <v>458</v>
      </c>
      <c r="D135" s="2" t="s">
        <v>458</v>
      </c>
      <c r="E135" s="41">
        <v>1</v>
      </c>
      <c r="F135" s="42">
        <v>1</v>
      </c>
      <c r="G135" s="2" t="s">
        <v>714</v>
      </c>
      <c r="H135" s="2" t="s">
        <v>700</v>
      </c>
      <c r="I135" s="2" t="s">
        <v>701</v>
      </c>
      <c r="J135" s="43" t="s">
        <v>702</v>
      </c>
      <c r="K135" s="30" t="e">
        <f>SUMIF([1]quotation_details!C:C,B135,[1]quotation_details!K:K)</f>
        <v>#VALUE!</v>
      </c>
      <c r="L135" s="43" t="s">
        <v>702</v>
      </c>
      <c r="M135" s="2" t="s">
        <v>715</v>
      </c>
      <c r="N135" s="2" t="s">
        <v>716</v>
      </c>
      <c r="O135" s="2" t="s">
        <v>1088</v>
      </c>
      <c r="P135" s="3">
        <v>46184.540972222203</v>
      </c>
      <c r="Q135" s="2" t="s">
        <v>715</v>
      </c>
      <c r="R135" s="3">
        <v>46204.540972222203</v>
      </c>
      <c r="S135" s="2" t="s">
        <v>715</v>
      </c>
      <c r="T135" s="34"/>
      <c r="U135" s="1" t="s">
        <v>31</v>
      </c>
    </row>
    <row r="136" spans="2:21" ht="43.5" customHeight="1">
      <c r="B136" s="2" t="s">
        <v>1089</v>
      </c>
      <c r="C136" s="2" t="s">
        <v>466</v>
      </c>
      <c r="D136" s="2" t="s">
        <v>466</v>
      </c>
      <c r="E136" s="41">
        <v>1</v>
      </c>
      <c r="F136" s="42">
        <v>1</v>
      </c>
      <c r="G136" s="2" t="s">
        <v>699</v>
      </c>
      <c r="H136" s="2" t="s">
        <v>700</v>
      </c>
      <c r="I136" s="2" t="s">
        <v>701</v>
      </c>
      <c r="J136" s="43" t="s">
        <v>702</v>
      </c>
      <c r="K136" s="30" t="e">
        <f>SUMIF([1]quotation_details!C:C,B136,[1]quotation_details!K:K)</f>
        <v>#VALUE!</v>
      </c>
      <c r="L136" s="43" t="s">
        <v>702</v>
      </c>
      <c r="M136" s="2" t="s">
        <v>719</v>
      </c>
      <c r="N136" s="2" t="s">
        <v>630</v>
      </c>
      <c r="O136" s="2" t="s">
        <v>1090</v>
      </c>
      <c r="P136" s="3">
        <v>46185.636111111096</v>
      </c>
      <c r="Q136" s="2" t="s">
        <v>719</v>
      </c>
      <c r="R136" s="3">
        <v>46205.636111111096</v>
      </c>
      <c r="S136" s="2" t="s">
        <v>719</v>
      </c>
      <c r="T136" s="34"/>
      <c r="U136" s="1" t="s">
        <v>31</v>
      </c>
    </row>
    <row r="137" spans="2:21" ht="43.5" customHeight="1">
      <c r="B137" s="2" t="s">
        <v>1091</v>
      </c>
      <c r="C137" s="2" t="s">
        <v>475</v>
      </c>
      <c r="D137" s="2" t="s">
        <v>475</v>
      </c>
      <c r="E137" s="41">
        <v>1</v>
      </c>
      <c r="F137" s="42">
        <v>1</v>
      </c>
      <c r="G137" s="2" t="s">
        <v>706</v>
      </c>
      <c r="H137" s="2" t="s">
        <v>623</v>
      </c>
      <c r="I137" s="2" t="s">
        <v>701</v>
      </c>
      <c r="J137" s="43" t="s">
        <v>702</v>
      </c>
      <c r="K137" s="30" t="e">
        <f>SUMIF([1]quotation_details!C:C,B137,[1]quotation_details!K:K)</f>
        <v>#VALUE!</v>
      </c>
      <c r="L137" s="43" t="s">
        <v>702</v>
      </c>
      <c r="M137" s="2" t="s">
        <v>722</v>
      </c>
      <c r="N137" s="2" t="s">
        <v>623</v>
      </c>
      <c r="O137" s="2" t="s">
        <v>1092</v>
      </c>
      <c r="P137" s="3">
        <v>46185.397916666698</v>
      </c>
      <c r="Q137" s="2" t="s">
        <v>722</v>
      </c>
      <c r="R137" s="3">
        <v>46205.397916666698</v>
      </c>
      <c r="S137" s="2" t="s">
        <v>722</v>
      </c>
      <c r="T137" s="34"/>
      <c r="U137" s="1" t="s">
        <v>31</v>
      </c>
    </row>
    <row r="138" spans="2:21" ht="43.5" customHeight="1">
      <c r="B138" s="2" t="s">
        <v>1093</v>
      </c>
      <c r="C138" s="2" t="s">
        <v>794</v>
      </c>
      <c r="D138" s="2" t="s">
        <v>794</v>
      </c>
      <c r="E138" s="41">
        <v>1</v>
      </c>
      <c r="F138" s="42">
        <v>1</v>
      </c>
      <c r="G138" s="2" t="s">
        <v>710</v>
      </c>
      <c r="H138" s="2" t="s">
        <v>623</v>
      </c>
      <c r="I138" s="2" t="s">
        <v>701</v>
      </c>
      <c r="J138" s="43" t="s">
        <v>702</v>
      </c>
      <c r="K138" s="30" t="e">
        <f>SUMIF([1]quotation_details!C:C,B138,[1]quotation_details!K:K)</f>
        <v>#VALUE!</v>
      </c>
      <c r="L138" s="43" t="s">
        <v>702</v>
      </c>
      <c r="M138" s="2" t="s">
        <v>725</v>
      </c>
      <c r="N138" s="2" t="s">
        <v>700</v>
      </c>
      <c r="O138" s="2" t="s">
        <v>1094</v>
      </c>
      <c r="P138" s="3">
        <v>46185.534722222197</v>
      </c>
      <c r="Q138" s="2" t="s">
        <v>725</v>
      </c>
      <c r="R138" s="3">
        <v>46205.534722222197</v>
      </c>
      <c r="S138" s="2" t="s">
        <v>725</v>
      </c>
      <c r="T138" s="34"/>
      <c r="U138" s="1" t="s">
        <v>31</v>
      </c>
    </row>
    <row r="139" spans="2:21" ht="29" customHeight="1">
      <c r="B139" s="2" t="s">
        <v>1095</v>
      </c>
      <c r="C139" s="2" t="s">
        <v>798</v>
      </c>
      <c r="D139" s="2" t="s">
        <v>798</v>
      </c>
      <c r="E139" s="41">
        <v>1</v>
      </c>
      <c r="F139" s="42">
        <v>1</v>
      </c>
      <c r="G139" s="2" t="s">
        <v>714</v>
      </c>
      <c r="H139" s="2" t="s">
        <v>700</v>
      </c>
      <c r="I139" s="2" t="s">
        <v>701</v>
      </c>
      <c r="J139" s="43" t="s">
        <v>702</v>
      </c>
      <c r="K139" s="30" t="e">
        <f>SUMIF([1]quotation_details!C:C,B139,[1]quotation_details!K:K)</f>
        <v>#VALUE!</v>
      </c>
      <c r="L139" s="43" t="s">
        <v>702</v>
      </c>
      <c r="M139" s="2" t="s">
        <v>728</v>
      </c>
      <c r="N139" s="2" t="s">
        <v>716</v>
      </c>
      <c r="O139" s="2" t="s">
        <v>1096</v>
      </c>
      <c r="P139" s="3">
        <v>46186.629861111098</v>
      </c>
      <c r="Q139" s="2" t="s">
        <v>728</v>
      </c>
      <c r="R139" s="3">
        <v>46206.629861111098</v>
      </c>
      <c r="S139" s="2" t="s">
        <v>728</v>
      </c>
      <c r="T139" s="34"/>
      <c r="U139" s="1" t="s">
        <v>31</v>
      </c>
    </row>
    <row r="140" spans="2:21" ht="29" customHeight="1">
      <c r="B140" s="2" t="s">
        <v>1097</v>
      </c>
      <c r="C140" s="2" t="s">
        <v>802</v>
      </c>
      <c r="D140" s="2" t="s">
        <v>802</v>
      </c>
      <c r="E140" s="41">
        <v>1</v>
      </c>
      <c r="F140" s="42">
        <v>1</v>
      </c>
      <c r="G140" s="2" t="s">
        <v>699</v>
      </c>
      <c r="H140" s="2" t="s">
        <v>700</v>
      </c>
      <c r="I140" s="2" t="s">
        <v>701</v>
      </c>
      <c r="J140" s="43" t="s">
        <v>702</v>
      </c>
      <c r="K140" s="30" t="e">
        <f>SUMIF([1]quotation_details!C:C,B140,[1]quotation_details!K:K)</f>
        <v>#VALUE!</v>
      </c>
      <c r="L140" s="43" t="s">
        <v>702</v>
      </c>
      <c r="M140" s="2" t="s">
        <v>731</v>
      </c>
      <c r="N140" s="2" t="s">
        <v>630</v>
      </c>
      <c r="O140" s="2" t="s">
        <v>1098</v>
      </c>
      <c r="P140" s="3">
        <v>46186.391666666699</v>
      </c>
      <c r="Q140" s="2" t="s">
        <v>731</v>
      </c>
      <c r="R140" s="3">
        <v>46206.391666666699</v>
      </c>
      <c r="S140" s="2" t="s">
        <v>731</v>
      </c>
      <c r="T140" s="34"/>
      <c r="U140" s="1" t="s">
        <v>31</v>
      </c>
    </row>
    <row r="141" spans="2:21" ht="29" customHeight="1">
      <c r="B141" s="2" t="s">
        <v>1099</v>
      </c>
      <c r="C141" s="2" t="s">
        <v>806</v>
      </c>
      <c r="D141" s="2" t="s">
        <v>806</v>
      </c>
      <c r="E141" s="41">
        <v>1</v>
      </c>
      <c r="F141" s="42">
        <v>1</v>
      </c>
      <c r="G141" s="2" t="s">
        <v>706</v>
      </c>
      <c r="H141" s="2" t="s">
        <v>623</v>
      </c>
      <c r="I141" s="2" t="s">
        <v>701</v>
      </c>
      <c r="J141" s="43" t="s">
        <v>702</v>
      </c>
      <c r="K141" s="30" t="e">
        <f>SUMIF([1]quotation_details!C:C,B141,[1]quotation_details!K:K)</f>
        <v>#VALUE!</v>
      </c>
      <c r="L141" s="43" t="s">
        <v>702</v>
      </c>
      <c r="M141" s="2" t="s">
        <v>734</v>
      </c>
      <c r="N141" s="2" t="s">
        <v>623</v>
      </c>
      <c r="O141" s="2" t="s">
        <v>1100</v>
      </c>
      <c r="P141" s="3">
        <v>46187.528472222199</v>
      </c>
      <c r="Q141" s="2" t="s">
        <v>734</v>
      </c>
      <c r="R141" s="3">
        <v>46207.528472222199</v>
      </c>
      <c r="S141" s="2" t="s">
        <v>734</v>
      </c>
      <c r="T141" s="34"/>
      <c r="U141" s="1" t="s">
        <v>31</v>
      </c>
    </row>
    <row r="142" spans="2:21" ht="43.5" customHeight="1">
      <c r="B142" s="2" t="s">
        <v>1101</v>
      </c>
      <c r="C142" s="2" t="s">
        <v>810</v>
      </c>
      <c r="D142" s="2" t="s">
        <v>810</v>
      </c>
      <c r="E142" s="41">
        <v>1</v>
      </c>
      <c r="F142" s="42">
        <v>1</v>
      </c>
      <c r="G142" s="2" t="s">
        <v>710</v>
      </c>
      <c r="H142" s="2" t="s">
        <v>623</v>
      </c>
      <c r="I142" s="2" t="s">
        <v>701</v>
      </c>
      <c r="J142" s="43" t="s">
        <v>702</v>
      </c>
      <c r="K142" s="30" t="e">
        <f>SUMIF([1]quotation_details!C:C,B142,[1]quotation_details!K:K)</f>
        <v>#VALUE!</v>
      </c>
      <c r="L142" s="43" t="s">
        <v>702</v>
      </c>
      <c r="M142" s="2" t="s">
        <v>737</v>
      </c>
      <c r="N142" s="2" t="s">
        <v>700</v>
      </c>
      <c r="O142" s="2" t="s">
        <v>1102</v>
      </c>
      <c r="P142" s="3">
        <v>46187.6652777778</v>
      </c>
      <c r="Q142" s="2" t="s">
        <v>737</v>
      </c>
      <c r="R142" s="3">
        <v>46207.6652777778</v>
      </c>
      <c r="S142" s="2" t="s">
        <v>737</v>
      </c>
      <c r="T142" s="34"/>
      <c r="U142" s="1" t="s">
        <v>31</v>
      </c>
    </row>
    <row r="143" spans="2:21" ht="43.5" customHeight="1">
      <c r="B143" s="2" t="s">
        <v>1103</v>
      </c>
      <c r="C143" s="2" t="s">
        <v>814</v>
      </c>
      <c r="D143" s="2" t="s">
        <v>814</v>
      </c>
      <c r="E143" s="41">
        <v>1</v>
      </c>
      <c r="F143" s="42">
        <v>1</v>
      </c>
      <c r="G143" s="2" t="s">
        <v>714</v>
      </c>
      <c r="H143" s="2" t="s">
        <v>700</v>
      </c>
      <c r="I143" s="2" t="s">
        <v>701</v>
      </c>
      <c r="J143" s="43" t="s">
        <v>702</v>
      </c>
      <c r="K143" s="30" t="e">
        <f>SUMIF([1]quotation_details!C:C,B143,[1]quotation_details!K:K)</f>
        <v>#VALUE!</v>
      </c>
      <c r="L143" s="43" t="s">
        <v>702</v>
      </c>
      <c r="M143" s="2" t="s">
        <v>92</v>
      </c>
      <c r="N143" s="2" t="s">
        <v>716</v>
      </c>
      <c r="O143" s="2" t="s">
        <v>1104</v>
      </c>
      <c r="P143" s="3">
        <v>46188.385416666701</v>
      </c>
      <c r="Q143" s="2" t="s">
        <v>92</v>
      </c>
      <c r="R143" s="3">
        <v>46208.385416666701</v>
      </c>
      <c r="S143" s="2" t="s">
        <v>92</v>
      </c>
      <c r="T143" s="34"/>
      <c r="U143" s="1" t="s">
        <v>31</v>
      </c>
    </row>
    <row r="144" spans="2:21" ht="43.5" customHeight="1">
      <c r="B144" s="2" t="s">
        <v>1105</v>
      </c>
      <c r="C144" s="2" t="s">
        <v>818</v>
      </c>
      <c r="D144" s="2" t="s">
        <v>818</v>
      </c>
      <c r="E144" s="41">
        <v>1</v>
      </c>
      <c r="F144" s="42">
        <v>1</v>
      </c>
      <c r="G144" s="2" t="s">
        <v>699</v>
      </c>
      <c r="H144" s="2" t="s">
        <v>700</v>
      </c>
      <c r="I144" s="2" t="s">
        <v>701</v>
      </c>
      <c r="J144" s="43" t="s">
        <v>702</v>
      </c>
      <c r="K144" s="30" t="e">
        <f>SUMIF([1]quotation_details!C:C,B144,[1]quotation_details!K:K)</f>
        <v>#VALUE!</v>
      </c>
      <c r="L144" s="43" t="s">
        <v>702</v>
      </c>
      <c r="M144" s="2" t="s">
        <v>742</v>
      </c>
      <c r="N144" s="2" t="s">
        <v>630</v>
      </c>
      <c r="O144" s="2" t="s">
        <v>1106</v>
      </c>
      <c r="P144" s="3">
        <v>46188.5222222222</v>
      </c>
      <c r="Q144" s="2" t="s">
        <v>742</v>
      </c>
      <c r="R144" s="3">
        <v>46208.5222222222</v>
      </c>
      <c r="S144" s="2" t="s">
        <v>742</v>
      </c>
      <c r="T144" s="34"/>
      <c r="U144" s="1" t="s">
        <v>31</v>
      </c>
    </row>
    <row r="145" spans="2:21" ht="43.5" customHeight="1">
      <c r="B145" s="2" t="s">
        <v>1107</v>
      </c>
      <c r="C145" s="2" t="s">
        <v>821</v>
      </c>
      <c r="D145" s="2" t="s">
        <v>821</v>
      </c>
      <c r="E145" s="41">
        <v>1</v>
      </c>
      <c r="F145" s="42">
        <v>1</v>
      </c>
      <c r="G145" s="2" t="s">
        <v>706</v>
      </c>
      <c r="H145" s="2" t="s">
        <v>623</v>
      </c>
      <c r="I145" s="2" t="s">
        <v>701</v>
      </c>
      <c r="J145" s="43" t="s">
        <v>702</v>
      </c>
      <c r="K145" s="30" t="e">
        <f>SUMIF([1]quotation_details!C:C,B145,[1]quotation_details!K:K)</f>
        <v>#VALUE!</v>
      </c>
      <c r="L145" s="43" t="s">
        <v>702</v>
      </c>
      <c r="M145" s="2" t="s">
        <v>745</v>
      </c>
      <c r="N145" s="2" t="s">
        <v>623</v>
      </c>
      <c r="O145" s="2" t="s">
        <v>1108</v>
      </c>
      <c r="P145" s="3">
        <v>46189.659027777801</v>
      </c>
      <c r="Q145" s="2" t="s">
        <v>745</v>
      </c>
      <c r="R145" s="3">
        <v>46209.659027777801</v>
      </c>
      <c r="S145" s="2" t="s">
        <v>745</v>
      </c>
      <c r="T145" s="34"/>
      <c r="U145" s="1" t="s">
        <v>31</v>
      </c>
    </row>
    <row r="146" spans="2:21" ht="43.5" customHeight="1">
      <c r="B146" s="2" t="s">
        <v>1109</v>
      </c>
      <c r="C146" s="2" t="s">
        <v>825</v>
      </c>
      <c r="D146" s="2" t="s">
        <v>825</v>
      </c>
      <c r="E146" s="41">
        <v>1</v>
      </c>
      <c r="F146" s="42">
        <v>1</v>
      </c>
      <c r="G146" s="2" t="s">
        <v>710</v>
      </c>
      <c r="H146" s="2" t="s">
        <v>623</v>
      </c>
      <c r="I146" s="2" t="s">
        <v>701</v>
      </c>
      <c r="J146" s="43" t="s">
        <v>702</v>
      </c>
      <c r="K146" s="30" t="e">
        <f>SUMIF([1]quotation_details!C:C,B146,[1]quotation_details!K:K)</f>
        <v>#VALUE!</v>
      </c>
      <c r="L146" s="43" t="s">
        <v>702</v>
      </c>
      <c r="M146" s="2" t="s">
        <v>748</v>
      </c>
      <c r="N146" s="2" t="s">
        <v>700</v>
      </c>
      <c r="O146" s="2" t="s">
        <v>1110</v>
      </c>
      <c r="P146" s="3">
        <v>46189.379166666702</v>
      </c>
      <c r="Q146" s="2" t="s">
        <v>748</v>
      </c>
      <c r="R146" s="3">
        <v>46209.379166666702</v>
      </c>
      <c r="S146" s="2" t="s">
        <v>748</v>
      </c>
      <c r="T146" s="34"/>
      <c r="U146" s="1" t="s">
        <v>31</v>
      </c>
    </row>
    <row r="147" spans="2:21" ht="43.5" customHeight="1">
      <c r="B147" s="2" t="s">
        <v>1111</v>
      </c>
      <c r="C147" s="2" t="s">
        <v>829</v>
      </c>
      <c r="D147" s="2" t="s">
        <v>829</v>
      </c>
      <c r="E147" s="41">
        <v>1</v>
      </c>
      <c r="F147" s="42">
        <v>1</v>
      </c>
      <c r="G147" s="2" t="s">
        <v>714</v>
      </c>
      <c r="H147" s="2" t="s">
        <v>700</v>
      </c>
      <c r="I147" s="2" t="s">
        <v>701</v>
      </c>
      <c r="J147" s="43" t="s">
        <v>702</v>
      </c>
      <c r="K147" s="30" t="e">
        <f>SUMIF([1]quotation_details!C:C,B147,[1]quotation_details!K:K)</f>
        <v>#VALUE!</v>
      </c>
      <c r="L147" s="43" t="s">
        <v>702</v>
      </c>
      <c r="M147" s="2" t="s">
        <v>751</v>
      </c>
      <c r="N147" s="2" t="s">
        <v>716</v>
      </c>
      <c r="O147" s="2" t="s">
        <v>1112</v>
      </c>
      <c r="P147" s="3">
        <v>46190.515972222202</v>
      </c>
      <c r="Q147" s="2" t="s">
        <v>751</v>
      </c>
      <c r="R147" s="3">
        <v>46210.515972222202</v>
      </c>
      <c r="S147" s="2" t="s">
        <v>751</v>
      </c>
      <c r="T147" s="34"/>
      <c r="U147" s="1" t="s">
        <v>31</v>
      </c>
    </row>
    <row r="148" spans="2:21" ht="43.5" customHeight="1">
      <c r="B148" s="2" t="s">
        <v>1113</v>
      </c>
      <c r="C148" s="2" t="s">
        <v>833</v>
      </c>
      <c r="D148" s="2" t="s">
        <v>833</v>
      </c>
      <c r="E148" s="41">
        <v>1</v>
      </c>
      <c r="F148" s="42">
        <v>1</v>
      </c>
      <c r="G148" s="2" t="s">
        <v>699</v>
      </c>
      <c r="H148" s="2" t="s">
        <v>700</v>
      </c>
      <c r="I148" s="2" t="s">
        <v>701</v>
      </c>
      <c r="J148" s="43" t="s">
        <v>702</v>
      </c>
      <c r="K148" s="30" t="e">
        <f>SUMIF([1]quotation_details!C:C,B148,[1]quotation_details!K:K)</f>
        <v>#VALUE!</v>
      </c>
      <c r="L148" s="43" t="s">
        <v>702</v>
      </c>
      <c r="M148" s="2" t="s">
        <v>754</v>
      </c>
      <c r="N148" s="2" t="s">
        <v>630</v>
      </c>
      <c r="O148" s="2" t="s">
        <v>1114</v>
      </c>
      <c r="P148" s="3">
        <v>46190.652777777803</v>
      </c>
      <c r="Q148" s="2" t="s">
        <v>754</v>
      </c>
      <c r="R148" s="3">
        <v>46210.652777777803</v>
      </c>
      <c r="S148" s="2" t="s">
        <v>754</v>
      </c>
      <c r="T148" s="34"/>
      <c r="U148" s="1" t="s">
        <v>31</v>
      </c>
    </row>
    <row r="149" spans="2:21" ht="43.5" customHeight="1">
      <c r="B149" s="2" t="s">
        <v>1115</v>
      </c>
      <c r="C149" s="2" t="s">
        <v>837</v>
      </c>
      <c r="D149" s="2" t="s">
        <v>837</v>
      </c>
      <c r="E149" s="41">
        <v>1</v>
      </c>
      <c r="F149" s="42">
        <v>1</v>
      </c>
      <c r="G149" s="2" t="s">
        <v>706</v>
      </c>
      <c r="H149" s="2" t="s">
        <v>623</v>
      </c>
      <c r="I149" s="2" t="s">
        <v>701</v>
      </c>
      <c r="J149" s="43" t="s">
        <v>702</v>
      </c>
      <c r="K149" s="30" t="e">
        <f>SUMIF([1]quotation_details!C:C,B149,[1]quotation_details!K:K)</f>
        <v>#VALUE!</v>
      </c>
      <c r="L149" s="43" t="s">
        <v>702</v>
      </c>
      <c r="M149" s="2" t="s">
        <v>757</v>
      </c>
      <c r="N149" s="2" t="s">
        <v>623</v>
      </c>
      <c r="O149" s="2" t="s">
        <v>1116</v>
      </c>
      <c r="P149" s="3">
        <v>46191.414583333302</v>
      </c>
      <c r="Q149" s="2" t="s">
        <v>757</v>
      </c>
      <c r="R149" s="3">
        <v>46211.414583333302</v>
      </c>
      <c r="S149" s="2" t="s">
        <v>757</v>
      </c>
      <c r="T149" s="34"/>
      <c r="U149" s="1" t="s">
        <v>31</v>
      </c>
    </row>
    <row r="150" spans="2:21" ht="29" customHeight="1">
      <c r="B150" s="2" t="s">
        <v>1117</v>
      </c>
      <c r="C150" s="2" t="s">
        <v>841</v>
      </c>
      <c r="D150" s="2" t="s">
        <v>841</v>
      </c>
      <c r="E150" s="41">
        <v>1</v>
      </c>
      <c r="F150" s="42">
        <v>1</v>
      </c>
      <c r="G150" s="2" t="s">
        <v>710</v>
      </c>
      <c r="H150" s="2" t="s">
        <v>623</v>
      </c>
      <c r="I150" s="2" t="s">
        <v>701</v>
      </c>
      <c r="J150" s="43" t="s">
        <v>702</v>
      </c>
      <c r="K150" s="30" t="e">
        <f>SUMIF([1]quotation_details!C:C,B150,[1]quotation_details!K:K)</f>
        <v>#VALUE!</v>
      </c>
      <c r="L150" s="43" t="s">
        <v>702</v>
      </c>
      <c r="M150" s="2" t="s">
        <v>760</v>
      </c>
      <c r="N150" s="2" t="s">
        <v>700</v>
      </c>
      <c r="O150" s="2" t="s">
        <v>1118</v>
      </c>
      <c r="P150" s="3">
        <v>46191.509722222203</v>
      </c>
      <c r="Q150" s="2" t="s">
        <v>760</v>
      </c>
      <c r="R150" s="3">
        <v>46211.509722222203</v>
      </c>
      <c r="S150" s="2" t="s">
        <v>760</v>
      </c>
      <c r="T150" s="34"/>
      <c r="U150" s="1" t="s">
        <v>31</v>
      </c>
    </row>
    <row r="151" spans="2:21" ht="29" customHeight="1">
      <c r="B151" s="2" t="s">
        <v>1119</v>
      </c>
      <c r="C151" s="2" t="s">
        <v>845</v>
      </c>
      <c r="D151" s="2" t="s">
        <v>845</v>
      </c>
      <c r="E151" s="41">
        <v>1</v>
      </c>
      <c r="F151" s="42">
        <v>1</v>
      </c>
      <c r="G151" s="2" t="s">
        <v>714</v>
      </c>
      <c r="H151" s="2" t="s">
        <v>700</v>
      </c>
      <c r="I151" s="2" t="s">
        <v>701</v>
      </c>
      <c r="J151" s="43" t="s">
        <v>702</v>
      </c>
      <c r="K151" s="30" t="e">
        <f>SUMIF([1]quotation_details!C:C,B151,[1]quotation_details!K:K)</f>
        <v>#VALUE!</v>
      </c>
      <c r="L151" s="43" t="s">
        <v>702</v>
      </c>
      <c r="M151" s="2" t="s">
        <v>763</v>
      </c>
      <c r="N151" s="2" t="s">
        <v>716</v>
      </c>
      <c r="O151" s="2" t="s">
        <v>1120</v>
      </c>
      <c r="P151" s="3">
        <v>46191.646527777797</v>
      </c>
      <c r="Q151" s="2" t="s">
        <v>763</v>
      </c>
      <c r="R151" s="3">
        <v>46211.646527777797</v>
      </c>
      <c r="S151" s="2" t="s">
        <v>763</v>
      </c>
      <c r="T151" s="34"/>
      <c r="U151" s="1" t="s">
        <v>31</v>
      </c>
    </row>
    <row r="152" spans="2:21" ht="29" customHeight="1">
      <c r="B152" s="2" t="s">
        <v>1121</v>
      </c>
      <c r="C152" s="2" t="s">
        <v>849</v>
      </c>
      <c r="D152" s="2" t="s">
        <v>849</v>
      </c>
      <c r="E152" s="41">
        <v>1</v>
      </c>
      <c r="F152" s="42">
        <v>1</v>
      </c>
      <c r="G152" s="2" t="s">
        <v>699</v>
      </c>
      <c r="H152" s="2" t="s">
        <v>700</v>
      </c>
      <c r="I152" s="2" t="s">
        <v>701</v>
      </c>
      <c r="J152" s="43" t="s">
        <v>702</v>
      </c>
      <c r="K152" s="30" t="e">
        <f>SUMIF([1]quotation_details!C:C,B152,[1]quotation_details!K:K)</f>
        <v>#VALUE!</v>
      </c>
      <c r="L152" s="43" t="s">
        <v>702</v>
      </c>
      <c r="M152" s="2" t="s">
        <v>766</v>
      </c>
      <c r="N152" s="2" t="s">
        <v>630</v>
      </c>
      <c r="O152" s="2" t="s">
        <v>1122</v>
      </c>
      <c r="P152" s="3">
        <v>46192.408333333296</v>
      </c>
      <c r="Q152" s="2" t="s">
        <v>766</v>
      </c>
      <c r="R152" s="3">
        <v>46212.408333333296</v>
      </c>
      <c r="S152" s="2" t="s">
        <v>766</v>
      </c>
      <c r="T152" s="34"/>
      <c r="U152" s="1" t="s">
        <v>31</v>
      </c>
    </row>
    <row r="153" spans="2:21" ht="43.5" customHeight="1">
      <c r="B153" s="2" t="s">
        <v>1123</v>
      </c>
      <c r="C153" s="2" t="s">
        <v>853</v>
      </c>
      <c r="D153" s="2" t="s">
        <v>853</v>
      </c>
      <c r="E153" s="41">
        <v>1</v>
      </c>
      <c r="F153" s="42">
        <v>1</v>
      </c>
      <c r="G153" s="2" t="s">
        <v>706</v>
      </c>
      <c r="H153" s="2" t="s">
        <v>623</v>
      </c>
      <c r="I153" s="2" t="s">
        <v>701</v>
      </c>
      <c r="J153" s="43" t="s">
        <v>702</v>
      </c>
      <c r="K153" s="30" t="e">
        <f>SUMIF([1]quotation_details!C:C,B153,[1]quotation_details!K:K)</f>
        <v>#VALUE!</v>
      </c>
      <c r="L153" s="43" t="s">
        <v>702</v>
      </c>
      <c r="M153" s="2" t="s">
        <v>769</v>
      </c>
      <c r="N153" s="2" t="s">
        <v>623</v>
      </c>
      <c r="O153" s="2" t="s">
        <v>1124</v>
      </c>
      <c r="P153" s="3">
        <v>46192.503472222197</v>
      </c>
      <c r="Q153" s="2" t="s">
        <v>769</v>
      </c>
      <c r="R153" s="3">
        <v>46212.503472222197</v>
      </c>
      <c r="S153" s="2" t="s">
        <v>769</v>
      </c>
      <c r="T153" s="34"/>
      <c r="U153" s="1" t="s">
        <v>31</v>
      </c>
    </row>
    <row r="154" spans="2:21" ht="43.5" customHeight="1">
      <c r="B154" s="2" t="s">
        <v>1125</v>
      </c>
      <c r="C154" s="2" t="s">
        <v>857</v>
      </c>
      <c r="D154" s="2" t="s">
        <v>857</v>
      </c>
      <c r="E154" s="41">
        <v>1</v>
      </c>
      <c r="F154" s="42">
        <v>1</v>
      </c>
      <c r="G154" s="2" t="s">
        <v>710</v>
      </c>
      <c r="H154" s="2" t="s">
        <v>623</v>
      </c>
      <c r="I154" s="2" t="s">
        <v>701</v>
      </c>
      <c r="J154" s="43" t="s">
        <v>702</v>
      </c>
      <c r="K154" s="30" t="e">
        <f>SUMIF([1]quotation_details!C:C,B154,[1]quotation_details!K:K)</f>
        <v>#VALUE!</v>
      </c>
      <c r="L154" s="43" t="s">
        <v>702</v>
      </c>
      <c r="M154" s="2" t="s">
        <v>772</v>
      </c>
      <c r="N154" s="2" t="s">
        <v>700</v>
      </c>
      <c r="O154" s="2" t="s">
        <v>1126</v>
      </c>
      <c r="P154" s="3">
        <v>46193.640277777798</v>
      </c>
      <c r="Q154" s="2" t="s">
        <v>772</v>
      </c>
      <c r="R154" s="3">
        <v>46213.640277777798</v>
      </c>
      <c r="S154" s="2" t="s">
        <v>772</v>
      </c>
      <c r="T154" s="34"/>
      <c r="U154" s="1" t="s">
        <v>31</v>
      </c>
    </row>
    <row r="155" spans="2:21" ht="43.5" customHeight="1">
      <c r="B155" s="2" t="s">
        <v>1127</v>
      </c>
      <c r="C155" s="2" t="s">
        <v>861</v>
      </c>
      <c r="D155" s="2" t="s">
        <v>861</v>
      </c>
      <c r="E155" s="41">
        <v>1</v>
      </c>
      <c r="F155" s="42">
        <v>1</v>
      </c>
      <c r="G155" s="2" t="s">
        <v>714</v>
      </c>
      <c r="H155" s="2" t="s">
        <v>700</v>
      </c>
      <c r="I155" s="2" t="s">
        <v>701</v>
      </c>
      <c r="J155" s="43" t="s">
        <v>702</v>
      </c>
      <c r="K155" s="30" t="e">
        <f>SUMIF([1]quotation_details!C:C,B155,[1]quotation_details!K:K)</f>
        <v>#VALUE!</v>
      </c>
      <c r="L155" s="43" t="s">
        <v>702</v>
      </c>
      <c r="M155" s="2" t="s">
        <v>775</v>
      </c>
      <c r="N155" s="2" t="s">
        <v>716</v>
      </c>
      <c r="O155" s="2" t="s">
        <v>1128</v>
      </c>
      <c r="P155" s="3">
        <v>46193.402083333298</v>
      </c>
      <c r="Q155" s="2" t="s">
        <v>775</v>
      </c>
      <c r="R155" s="3">
        <v>46213.402083333298</v>
      </c>
      <c r="S155" s="2" t="s">
        <v>775</v>
      </c>
      <c r="T155" s="34"/>
      <c r="U155" s="1" t="s">
        <v>31</v>
      </c>
    </row>
    <row r="156" spans="2:21" ht="43.5" customHeight="1">
      <c r="B156" s="2" t="s">
        <v>1129</v>
      </c>
      <c r="C156" s="2" t="s">
        <v>865</v>
      </c>
      <c r="D156" s="2" t="s">
        <v>865</v>
      </c>
      <c r="E156" s="41">
        <v>1</v>
      </c>
      <c r="F156" s="42">
        <v>1</v>
      </c>
      <c r="G156" s="2" t="s">
        <v>699</v>
      </c>
      <c r="H156" s="2" t="s">
        <v>700</v>
      </c>
      <c r="I156" s="2" t="s">
        <v>701</v>
      </c>
      <c r="J156" s="43" t="s">
        <v>702</v>
      </c>
      <c r="K156" s="30" t="e">
        <f>SUMIF([1]quotation_details!C:C,B156,[1]quotation_details!K:K)</f>
        <v>#VALUE!</v>
      </c>
      <c r="L156" s="43" t="s">
        <v>702</v>
      </c>
      <c r="M156" s="2" t="s">
        <v>150</v>
      </c>
      <c r="N156" s="2" t="s">
        <v>630</v>
      </c>
      <c r="O156" s="2" t="s">
        <v>1130</v>
      </c>
      <c r="P156" s="3">
        <v>46194.538888888899</v>
      </c>
      <c r="Q156" s="2" t="s">
        <v>150</v>
      </c>
      <c r="R156" s="3">
        <v>46214.538888888899</v>
      </c>
      <c r="S156" s="2" t="s">
        <v>150</v>
      </c>
      <c r="T156" s="34"/>
      <c r="U156" s="1" t="s">
        <v>31</v>
      </c>
    </row>
    <row r="157" spans="2:21" ht="43.5" customHeight="1">
      <c r="B157" s="2" t="s">
        <v>1131</v>
      </c>
      <c r="C157" s="2" t="s">
        <v>868</v>
      </c>
      <c r="D157" s="2" t="s">
        <v>868</v>
      </c>
      <c r="E157" s="41">
        <v>1</v>
      </c>
      <c r="F157" s="42">
        <v>1</v>
      </c>
      <c r="G157" s="2" t="s">
        <v>706</v>
      </c>
      <c r="H157" s="2" t="s">
        <v>623</v>
      </c>
      <c r="I157" s="2" t="s">
        <v>701</v>
      </c>
      <c r="J157" s="43" t="s">
        <v>702</v>
      </c>
      <c r="K157" s="30" t="e">
        <f>SUMIF([1]quotation_details!C:C,B157,[1]quotation_details!K:K)</f>
        <v>#VALUE!</v>
      </c>
      <c r="L157" s="43" t="s">
        <v>702</v>
      </c>
      <c r="M157" s="2" t="s">
        <v>154</v>
      </c>
      <c r="N157" s="2" t="s">
        <v>623</v>
      </c>
      <c r="O157" s="2" t="s">
        <v>1132</v>
      </c>
      <c r="P157" s="3">
        <v>46194.6340277778</v>
      </c>
      <c r="Q157" s="2" t="s">
        <v>154</v>
      </c>
      <c r="R157" s="3">
        <v>46214.6340277778</v>
      </c>
      <c r="S157" s="2" t="s">
        <v>154</v>
      </c>
      <c r="T157" s="34"/>
      <c r="U157" s="1" t="s">
        <v>31</v>
      </c>
    </row>
    <row r="158" spans="2:21" ht="43.5" customHeight="1">
      <c r="B158" s="2" t="s">
        <v>1133</v>
      </c>
      <c r="C158" s="2" t="s">
        <v>872</v>
      </c>
      <c r="D158" s="2" t="s">
        <v>872</v>
      </c>
      <c r="E158" s="41">
        <v>1</v>
      </c>
      <c r="F158" s="42">
        <v>1</v>
      </c>
      <c r="G158" s="2" t="s">
        <v>710</v>
      </c>
      <c r="H158" s="2" t="s">
        <v>623</v>
      </c>
      <c r="I158" s="2" t="s">
        <v>701</v>
      </c>
      <c r="J158" s="43" t="s">
        <v>702</v>
      </c>
      <c r="K158" s="30" t="e">
        <f>SUMIF([1]quotation_details!C:C,B158,[1]quotation_details!K:K)</f>
        <v>#VALUE!</v>
      </c>
      <c r="L158" s="43" t="s">
        <v>702</v>
      </c>
      <c r="M158" s="2" t="s">
        <v>782</v>
      </c>
      <c r="N158" s="2" t="s">
        <v>700</v>
      </c>
      <c r="O158" s="2" t="s">
        <v>1134</v>
      </c>
      <c r="P158" s="3">
        <v>46195.395833333299</v>
      </c>
      <c r="Q158" s="2" t="s">
        <v>782</v>
      </c>
      <c r="R158" s="3">
        <v>46215.395833333299</v>
      </c>
      <c r="S158" s="2" t="s">
        <v>782</v>
      </c>
      <c r="T158" s="34"/>
      <c r="U158" s="1" t="s">
        <v>31</v>
      </c>
    </row>
    <row r="159" spans="2:21" ht="29" customHeight="1">
      <c r="B159" s="2" t="s">
        <v>1135</v>
      </c>
      <c r="C159" s="2" t="s">
        <v>876</v>
      </c>
      <c r="D159" s="2" t="s">
        <v>876</v>
      </c>
      <c r="E159" s="41">
        <v>1</v>
      </c>
      <c r="F159" s="42">
        <v>1</v>
      </c>
      <c r="G159" s="2" t="s">
        <v>714</v>
      </c>
      <c r="H159" s="2" t="s">
        <v>700</v>
      </c>
      <c r="I159" s="2" t="s">
        <v>701</v>
      </c>
      <c r="J159" s="43" t="s">
        <v>702</v>
      </c>
      <c r="K159" s="30" t="e">
        <f>SUMIF([1]quotation_details!C:C,B159,[1]quotation_details!K:K)</f>
        <v>#VALUE!</v>
      </c>
      <c r="L159" s="43" t="s">
        <v>702</v>
      </c>
      <c r="M159" s="2" t="s">
        <v>785</v>
      </c>
      <c r="N159" s="2" t="s">
        <v>716</v>
      </c>
      <c r="O159" s="2" t="s">
        <v>1136</v>
      </c>
      <c r="P159" s="3">
        <v>46195.532638888901</v>
      </c>
      <c r="Q159" s="2" t="s">
        <v>785</v>
      </c>
      <c r="R159" s="3">
        <v>46215.532638888901</v>
      </c>
      <c r="S159" s="2" t="s">
        <v>785</v>
      </c>
      <c r="T159" s="34"/>
      <c r="U159" s="1" t="s">
        <v>31</v>
      </c>
    </row>
    <row r="160" spans="2:21" ht="29" customHeight="1">
      <c r="B160" s="2" t="s">
        <v>1137</v>
      </c>
      <c r="C160" s="2" t="s">
        <v>880</v>
      </c>
      <c r="D160" s="2" t="s">
        <v>880</v>
      </c>
      <c r="E160" s="41">
        <v>1</v>
      </c>
      <c r="F160" s="42">
        <v>1</v>
      </c>
      <c r="G160" s="2" t="s">
        <v>699</v>
      </c>
      <c r="H160" s="2" t="s">
        <v>700</v>
      </c>
      <c r="I160" s="2" t="s">
        <v>701</v>
      </c>
      <c r="J160" s="43" t="s">
        <v>702</v>
      </c>
      <c r="K160" s="30" t="e">
        <f>SUMIF([1]quotation_details!C:C,B160,[1]quotation_details!K:K)</f>
        <v>#VALUE!</v>
      </c>
      <c r="L160" s="43" t="s">
        <v>702</v>
      </c>
      <c r="M160" s="2" t="s">
        <v>788</v>
      </c>
      <c r="N160" s="2" t="s">
        <v>630</v>
      </c>
      <c r="O160" s="2" t="s">
        <v>1138</v>
      </c>
      <c r="P160" s="3">
        <v>46196.627777777801</v>
      </c>
      <c r="Q160" s="2" t="s">
        <v>788</v>
      </c>
      <c r="R160" s="3">
        <v>46216.627777777801</v>
      </c>
      <c r="S160" s="2" t="s">
        <v>788</v>
      </c>
      <c r="T160" s="34"/>
      <c r="U160" s="1" t="s">
        <v>31</v>
      </c>
    </row>
    <row r="161" spans="2:21" ht="43.5" customHeight="1">
      <c r="B161" s="2" t="s">
        <v>1139</v>
      </c>
      <c r="C161" s="2" t="s">
        <v>884</v>
      </c>
      <c r="D161" s="2" t="s">
        <v>884</v>
      </c>
      <c r="E161" s="41">
        <v>1</v>
      </c>
      <c r="F161" s="42">
        <v>1</v>
      </c>
      <c r="G161" s="2" t="s">
        <v>706</v>
      </c>
      <c r="H161" s="2" t="s">
        <v>623</v>
      </c>
      <c r="I161" s="2" t="s">
        <v>701</v>
      </c>
      <c r="J161" s="43" t="s">
        <v>702</v>
      </c>
      <c r="K161" s="30" t="e">
        <f>SUMIF([1]quotation_details!C:C,B161,[1]quotation_details!K:K)</f>
        <v>#VALUE!</v>
      </c>
      <c r="L161" s="43" t="s">
        <v>702</v>
      </c>
      <c r="M161" s="2" t="s">
        <v>791</v>
      </c>
      <c r="N161" s="2" t="s">
        <v>623</v>
      </c>
      <c r="O161" s="2" t="s">
        <v>1140</v>
      </c>
      <c r="P161" s="3">
        <v>46196.389583333301</v>
      </c>
      <c r="Q161" s="2" t="s">
        <v>791</v>
      </c>
      <c r="R161" s="3">
        <v>46216.389583333301</v>
      </c>
      <c r="S161" s="2" t="s">
        <v>791</v>
      </c>
      <c r="T161" s="34"/>
      <c r="U161" s="1" t="s">
        <v>31</v>
      </c>
    </row>
    <row r="162" spans="2:21" ht="43.5" customHeight="1">
      <c r="B162" s="2" t="s">
        <v>1141</v>
      </c>
      <c r="C162" s="2" t="s">
        <v>888</v>
      </c>
      <c r="D162" s="2" t="s">
        <v>888</v>
      </c>
      <c r="E162" s="41">
        <v>1</v>
      </c>
      <c r="F162" s="42">
        <v>1</v>
      </c>
      <c r="G162" s="2" t="s">
        <v>710</v>
      </c>
      <c r="H162" s="2" t="s">
        <v>623</v>
      </c>
      <c r="I162" s="2" t="s">
        <v>701</v>
      </c>
      <c r="J162" s="43" t="s">
        <v>702</v>
      </c>
      <c r="K162" s="30" t="e">
        <f>SUMIF([1]quotation_details!C:C,B162,[1]quotation_details!K:K)</f>
        <v>#VALUE!</v>
      </c>
      <c r="L162" s="43" t="s">
        <v>702</v>
      </c>
      <c r="M162" s="2" t="s">
        <v>795</v>
      </c>
      <c r="N162" s="2" t="s">
        <v>700</v>
      </c>
      <c r="O162" s="2" t="s">
        <v>1142</v>
      </c>
      <c r="P162" s="3">
        <v>46196.526388888902</v>
      </c>
      <c r="Q162" s="2" t="s">
        <v>795</v>
      </c>
      <c r="R162" s="3">
        <v>46216.526388888902</v>
      </c>
      <c r="S162" s="2" t="s">
        <v>795</v>
      </c>
      <c r="T162" s="34"/>
      <c r="U162" s="1" t="s">
        <v>31</v>
      </c>
    </row>
    <row r="163" spans="2:21" ht="43.5" customHeight="1">
      <c r="B163" s="2" t="s">
        <v>1143</v>
      </c>
      <c r="C163" s="2" t="s">
        <v>892</v>
      </c>
      <c r="D163" s="2" t="s">
        <v>892</v>
      </c>
      <c r="E163" s="41">
        <v>1</v>
      </c>
      <c r="F163" s="42">
        <v>1</v>
      </c>
      <c r="G163" s="2" t="s">
        <v>714</v>
      </c>
      <c r="H163" s="2" t="s">
        <v>700</v>
      </c>
      <c r="I163" s="2" t="s">
        <v>701</v>
      </c>
      <c r="J163" s="43" t="s">
        <v>702</v>
      </c>
      <c r="K163" s="30" t="e">
        <f>SUMIF([1]quotation_details!C:C,B163,[1]quotation_details!K:K)</f>
        <v>#VALUE!</v>
      </c>
      <c r="L163" s="43" t="s">
        <v>702</v>
      </c>
      <c r="M163" s="2" t="s">
        <v>799</v>
      </c>
      <c r="N163" s="2" t="s">
        <v>1144</v>
      </c>
      <c r="O163" s="2" t="s">
        <v>1145</v>
      </c>
      <c r="P163" s="3">
        <v>46197.663194444402</v>
      </c>
      <c r="Q163" s="2" t="s">
        <v>799</v>
      </c>
      <c r="R163" s="3">
        <v>46217.663194444402</v>
      </c>
      <c r="S163" s="2" t="s">
        <v>799</v>
      </c>
      <c r="T163" s="34"/>
      <c r="U163" s="1" t="s">
        <v>31</v>
      </c>
    </row>
    <row r="164" spans="2:21" ht="43.5" customHeight="1">
      <c r="B164" s="2" t="s">
        <v>1146</v>
      </c>
      <c r="C164" s="2" t="s">
        <v>896</v>
      </c>
      <c r="D164" s="2" t="s">
        <v>896</v>
      </c>
      <c r="E164" s="41">
        <v>1</v>
      </c>
      <c r="F164" s="42">
        <v>1</v>
      </c>
      <c r="G164" s="2" t="s">
        <v>699</v>
      </c>
      <c r="H164" s="2" t="s">
        <v>700</v>
      </c>
      <c r="I164" s="2" t="s">
        <v>701</v>
      </c>
      <c r="J164" s="43" t="s">
        <v>702</v>
      </c>
      <c r="K164" s="30" t="e">
        <f>SUMIF([1]quotation_details!C:C,B164,[1]quotation_details!K:K)</f>
        <v>#VALUE!</v>
      </c>
      <c r="L164" s="43" t="s">
        <v>702</v>
      </c>
      <c r="M164" s="2" t="s">
        <v>803</v>
      </c>
      <c r="N164" s="2" t="s">
        <v>1144</v>
      </c>
      <c r="O164" s="2" t="s">
        <v>1147</v>
      </c>
      <c r="P164" s="3">
        <v>46197.383333333302</v>
      </c>
      <c r="Q164" s="2" t="s">
        <v>803</v>
      </c>
      <c r="R164" s="3">
        <v>46217.383333333302</v>
      </c>
      <c r="S164" s="2" t="s">
        <v>803</v>
      </c>
      <c r="T164" s="34"/>
      <c r="U164" s="1" t="s">
        <v>31</v>
      </c>
    </row>
    <row r="165" spans="2:21" ht="43.5" customHeight="1">
      <c r="B165" s="2" t="s">
        <v>1148</v>
      </c>
      <c r="C165" s="2" t="s">
        <v>900</v>
      </c>
      <c r="D165" s="2" t="s">
        <v>900</v>
      </c>
      <c r="E165" s="41">
        <v>1</v>
      </c>
      <c r="F165" s="42">
        <v>1</v>
      </c>
      <c r="G165" s="2" t="s">
        <v>706</v>
      </c>
      <c r="H165" s="2" t="s">
        <v>623</v>
      </c>
      <c r="I165" s="2" t="s">
        <v>701</v>
      </c>
      <c r="J165" s="43" t="s">
        <v>702</v>
      </c>
      <c r="K165" s="30" t="e">
        <f>SUMIF([1]quotation_details!C:C,B165,[1]quotation_details!K:K)</f>
        <v>#VALUE!</v>
      </c>
      <c r="L165" s="43" t="s">
        <v>702</v>
      </c>
      <c r="M165" s="2" t="s">
        <v>807</v>
      </c>
      <c r="N165" s="2" t="s">
        <v>1144</v>
      </c>
      <c r="O165" s="2" t="s">
        <v>1149</v>
      </c>
      <c r="P165" s="3">
        <v>46198.520138888904</v>
      </c>
      <c r="Q165" s="2" t="s">
        <v>807</v>
      </c>
      <c r="R165" s="3">
        <v>46218.520138888904</v>
      </c>
      <c r="S165" s="2" t="s">
        <v>807</v>
      </c>
      <c r="T165" s="34"/>
      <c r="U165" s="1" t="s">
        <v>31</v>
      </c>
    </row>
    <row r="166" spans="2:21" ht="43.5" customHeight="1">
      <c r="B166" s="2" t="s">
        <v>1150</v>
      </c>
      <c r="C166" s="2" t="s">
        <v>904</v>
      </c>
      <c r="D166" s="2" t="s">
        <v>904</v>
      </c>
      <c r="E166" s="41">
        <v>1</v>
      </c>
      <c r="F166" s="42">
        <v>1</v>
      </c>
      <c r="G166" s="2" t="s">
        <v>710</v>
      </c>
      <c r="H166" s="2" t="s">
        <v>623</v>
      </c>
      <c r="I166" s="2" t="s">
        <v>701</v>
      </c>
      <c r="J166" s="43" t="s">
        <v>702</v>
      </c>
      <c r="K166" s="30" t="e">
        <f>SUMIF([1]quotation_details!C:C,B166,[1]quotation_details!K:K)</f>
        <v>#VALUE!</v>
      </c>
      <c r="L166" s="43" t="s">
        <v>702</v>
      </c>
      <c r="M166" s="2" t="s">
        <v>811</v>
      </c>
      <c r="N166" s="2" t="s">
        <v>1144</v>
      </c>
      <c r="O166" s="2" t="s">
        <v>1151</v>
      </c>
      <c r="P166" s="3">
        <v>46198.656944444403</v>
      </c>
      <c r="Q166" s="2" t="s">
        <v>811</v>
      </c>
      <c r="R166" s="3">
        <v>46218.656944444403</v>
      </c>
      <c r="S166" s="2" t="s">
        <v>811</v>
      </c>
      <c r="T166" s="34"/>
      <c r="U166" s="1" t="s">
        <v>31</v>
      </c>
    </row>
    <row r="167" spans="2:21" ht="29" customHeight="1">
      <c r="B167" s="2" t="s">
        <v>1152</v>
      </c>
      <c r="C167" s="2" t="s">
        <v>908</v>
      </c>
      <c r="D167" s="2" t="s">
        <v>908</v>
      </c>
      <c r="E167" s="41">
        <v>1</v>
      </c>
      <c r="F167" s="42">
        <v>1</v>
      </c>
      <c r="G167" s="2" t="s">
        <v>714</v>
      </c>
      <c r="H167" s="2" t="s">
        <v>700</v>
      </c>
      <c r="I167" s="2" t="s">
        <v>701</v>
      </c>
      <c r="J167" s="43" t="s">
        <v>702</v>
      </c>
      <c r="K167" s="30" t="e">
        <f>SUMIF([1]quotation_details!C:C,B167,[1]quotation_details!K:K)</f>
        <v>#VALUE!</v>
      </c>
      <c r="L167" s="43" t="s">
        <v>702</v>
      </c>
      <c r="M167" s="2" t="s">
        <v>815</v>
      </c>
      <c r="N167" s="2" t="s">
        <v>1144</v>
      </c>
      <c r="O167" s="2" t="s">
        <v>1153</v>
      </c>
      <c r="P167" s="3">
        <v>46199.377083333296</v>
      </c>
      <c r="Q167" s="2" t="s">
        <v>815</v>
      </c>
      <c r="R167" s="3">
        <v>46219.377083333296</v>
      </c>
      <c r="S167" s="2" t="s">
        <v>815</v>
      </c>
      <c r="T167" s="34"/>
      <c r="U167" s="1" t="s">
        <v>31</v>
      </c>
    </row>
    <row r="168" spans="2:21" ht="43.5" customHeight="1">
      <c r="B168" s="2" t="s">
        <v>1154</v>
      </c>
      <c r="C168" s="2" t="s">
        <v>912</v>
      </c>
      <c r="D168" s="2" t="s">
        <v>912</v>
      </c>
      <c r="E168" s="41">
        <v>1</v>
      </c>
      <c r="F168" s="42">
        <v>1</v>
      </c>
      <c r="G168" s="2" t="s">
        <v>699</v>
      </c>
      <c r="H168" s="2" t="s">
        <v>700</v>
      </c>
      <c r="I168" s="2" t="s">
        <v>701</v>
      </c>
      <c r="J168" s="43" t="s">
        <v>702</v>
      </c>
      <c r="K168" s="30" t="e">
        <f>SUMIF([1]quotation_details!C:C,B168,[1]quotation_details!K:K)</f>
        <v>#VALUE!</v>
      </c>
      <c r="L168" s="43" t="s">
        <v>702</v>
      </c>
      <c r="M168" s="2" t="s">
        <v>86</v>
      </c>
      <c r="N168" s="2" t="s">
        <v>1144</v>
      </c>
      <c r="O168" s="2" t="s">
        <v>1155</v>
      </c>
      <c r="P168" s="3">
        <v>46199.513888888898</v>
      </c>
      <c r="Q168" s="2" t="s">
        <v>86</v>
      </c>
      <c r="R168" s="3">
        <v>46219.513888888898</v>
      </c>
      <c r="S168" s="2" t="s">
        <v>86</v>
      </c>
      <c r="T168" s="34"/>
      <c r="U168" s="1" t="s">
        <v>31</v>
      </c>
    </row>
    <row r="169" spans="2:21" ht="43.5" customHeight="1">
      <c r="B169" s="2" t="s">
        <v>1156</v>
      </c>
      <c r="C169" s="2" t="s">
        <v>916</v>
      </c>
      <c r="D169" s="2" t="s">
        <v>916</v>
      </c>
      <c r="E169" s="41">
        <v>1</v>
      </c>
      <c r="F169" s="42">
        <v>1</v>
      </c>
      <c r="G169" s="2" t="s">
        <v>706</v>
      </c>
      <c r="H169" s="2" t="s">
        <v>623</v>
      </c>
      <c r="I169" s="2" t="s">
        <v>701</v>
      </c>
      <c r="J169" s="43" t="s">
        <v>702</v>
      </c>
      <c r="K169" s="30" t="e">
        <f>SUMIF([1]quotation_details!C:C,B169,[1]quotation_details!K:K)</f>
        <v>#VALUE!</v>
      </c>
      <c r="L169" s="43" t="s">
        <v>702</v>
      </c>
      <c r="M169" s="2" t="s">
        <v>822</v>
      </c>
      <c r="N169" s="2" t="s">
        <v>1144</v>
      </c>
      <c r="O169" s="2" t="s">
        <v>1157</v>
      </c>
      <c r="P169" s="3">
        <v>46200.650694444397</v>
      </c>
      <c r="Q169" s="2" t="s">
        <v>822</v>
      </c>
      <c r="R169" s="3">
        <v>46220.650694444397</v>
      </c>
      <c r="S169" s="2" t="s">
        <v>822</v>
      </c>
      <c r="T169" s="34"/>
      <c r="U169" s="1" t="s">
        <v>31</v>
      </c>
    </row>
    <row r="170" spans="2:21" ht="43.5" customHeight="1">
      <c r="B170" s="2" t="s">
        <v>1158</v>
      </c>
      <c r="C170" s="2" t="s">
        <v>920</v>
      </c>
      <c r="D170" s="2" t="s">
        <v>920</v>
      </c>
      <c r="E170" s="41">
        <v>1</v>
      </c>
      <c r="F170" s="42">
        <v>1</v>
      </c>
      <c r="G170" s="2" t="s">
        <v>710</v>
      </c>
      <c r="H170" s="2" t="s">
        <v>623</v>
      </c>
      <c r="I170" s="2" t="s">
        <v>701</v>
      </c>
      <c r="J170" s="43" t="s">
        <v>702</v>
      </c>
      <c r="K170" s="30" t="e">
        <f>SUMIF([1]quotation_details!C:C,B170,[1]quotation_details!K:K)</f>
        <v>#VALUE!</v>
      </c>
      <c r="L170" s="43" t="s">
        <v>702</v>
      </c>
      <c r="M170" s="2" t="s">
        <v>826</v>
      </c>
      <c r="N170" s="2" t="s">
        <v>1144</v>
      </c>
      <c r="O170" s="2" t="s">
        <v>1159</v>
      </c>
      <c r="P170" s="3">
        <v>46200.412499999999</v>
      </c>
      <c r="Q170" s="2" t="s">
        <v>826</v>
      </c>
      <c r="R170" s="3">
        <v>46220.412499999999</v>
      </c>
      <c r="S170" s="2" t="s">
        <v>826</v>
      </c>
      <c r="T170" s="34"/>
      <c r="U170" s="1" t="s">
        <v>31</v>
      </c>
    </row>
    <row r="171" spans="2:21" ht="43.5" customHeight="1">
      <c r="B171" s="2" t="s">
        <v>1160</v>
      </c>
      <c r="C171" s="2" t="s">
        <v>923</v>
      </c>
      <c r="D171" s="2" t="s">
        <v>923</v>
      </c>
      <c r="E171" s="41">
        <v>1</v>
      </c>
      <c r="F171" s="42">
        <v>1</v>
      </c>
      <c r="G171" s="2" t="s">
        <v>714</v>
      </c>
      <c r="H171" s="2" t="s">
        <v>700</v>
      </c>
      <c r="I171" s="2" t="s">
        <v>701</v>
      </c>
      <c r="J171" s="43" t="s">
        <v>702</v>
      </c>
      <c r="K171" s="30" t="e">
        <f>SUMIF([1]quotation_details!C:C,B171,[1]quotation_details!K:K)</f>
        <v>#VALUE!</v>
      </c>
      <c r="L171" s="43" t="s">
        <v>702</v>
      </c>
      <c r="M171" s="2" t="s">
        <v>830</v>
      </c>
      <c r="N171" s="2" t="s">
        <v>1144</v>
      </c>
      <c r="O171" s="2" t="s">
        <v>1161</v>
      </c>
      <c r="P171" s="3">
        <v>46201.507638888899</v>
      </c>
      <c r="Q171" s="2" t="s">
        <v>830</v>
      </c>
      <c r="R171" s="3">
        <v>46221.507638888899</v>
      </c>
      <c r="S171" s="2" t="s">
        <v>830</v>
      </c>
      <c r="T171" s="34"/>
      <c r="U171" s="1" t="s">
        <v>31</v>
      </c>
    </row>
    <row r="172" spans="2:21" ht="43.5" customHeight="1">
      <c r="B172" s="2" t="s">
        <v>1162</v>
      </c>
      <c r="C172" s="2" t="s">
        <v>926</v>
      </c>
      <c r="D172" s="2" t="s">
        <v>926</v>
      </c>
      <c r="E172" s="41">
        <v>1</v>
      </c>
      <c r="F172" s="42">
        <v>1</v>
      </c>
      <c r="G172" s="2" t="s">
        <v>699</v>
      </c>
      <c r="H172" s="2" t="s">
        <v>700</v>
      </c>
      <c r="I172" s="2" t="s">
        <v>701</v>
      </c>
      <c r="J172" s="43" t="s">
        <v>702</v>
      </c>
      <c r="K172" s="30" t="e">
        <f>SUMIF([1]quotation_details!C:C,B172,[1]quotation_details!K:K)</f>
        <v>#VALUE!</v>
      </c>
      <c r="L172" s="43" t="s">
        <v>702</v>
      </c>
      <c r="M172" s="2" t="s">
        <v>834</v>
      </c>
      <c r="N172" s="2" t="s">
        <v>1144</v>
      </c>
      <c r="O172" s="2" t="s">
        <v>1163</v>
      </c>
      <c r="P172" s="3">
        <v>46201.644444444399</v>
      </c>
      <c r="Q172" s="2" t="s">
        <v>834</v>
      </c>
      <c r="R172" s="3">
        <v>46221.644444444399</v>
      </c>
      <c r="S172" s="2" t="s">
        <v>834</v>
      </c>
      <c r="T172" s="34"/>
      <c r="U172" s="1" t="s">
        <v>31</v>
      </c>
    </row>
    <row r="173" spans="2:21" ht="43.5" customHeight="1">
      <c r="B173" s="2" t="s">
        <v>1164</v>
      </c>
      <c r="C173" s="2" t="s">
        <v>929</v>
      </c>
      <c r="D173" s="2" t="s">
        <v>929</v>
      </c>
      <c r="E173" s="41">
        <v>1</v>
      </c>
      <c r="F173" s="42">
        <v>1</v>
      </c>
      <c r="G173" s="2" t="s">
        <v>706</v>
      </c>
      <c r="H173" s="2" t="s">
        <v>623</v>
      </c>
      <c r="I173" s="2" t="s">
        <v>701</v>
      </c>
      <c r="J173" s="43" t="s">
        <v>702</v>
      </c>
      <c r="K173" s="30" t="e">
        <f>SUMIF([1]quotation_details!C:C,B173,[1]quotation_details!K:K)</f>
        <v>#VALUE!</v>
      </c>
      <c r="L173" s="43" t="s">
        <v>702</v>
      </c>
      <c r="M173" s="2" t="s">
        <v>838</v>
      </c>
      <c r="N173" s="2" t="s">
        <v>1144</v>
      </c>
      <c r="O173" s="2" t="s">
        <v>1165</v>
      </c>
      <c r="P173" s="3">
        <v>46202.40625</v>
      </c>
      <c r="Q173" s="2" t="s">
        <v>838</v>
      </c>
      <c r="R173" s="3">
        <v>46222.40625</v>
      </c>
      <c r="S173" s="2" t="s">
        <v>838</v>
      </c>
      <c r="T173" s="34"/>
      <c r="U173" s="1" t="s">
        <v>31</v>
      </c>
    </row>
    <row r="174" spans="2:21" ht="29" customHeight="1">
      <c r="B174" s="2" t="s">
        <v>1166</v>
      </c>
      <c r="C174" s="2" t="s">
        <v>932</v>
      </c>
      <c r="D174" s="2" t="s">
        <v>932</v>
      </c>
      <c r="E174" s="41">
        <v>1</v>
      </c>
      <c r="F174" s="42">
        <v>1</v>
      </c>
      <c r="G174" s="2" t="s">
        <v>710</v>
      </c>
      <c r="H174" s="2" t="s">
        <v>623</v>
      </c>
      <c r="I174" s="2" t="s">
        <v>701</v>
      </c>
      <c r="J174" s="43" t="s">
        <v>702</v>
      </c>
      <c r="K174" s="30" t="e">
        <f>SUMIF([1]quotation_details!C:C,B174,[1]quotation_details!K:K)</f>
        <v>#VALUE!</v>
      </c>
      <c r="L174" s="43" t="s">
        <v>702</v>
      </c>
      <c r="M174" s="2" t="s">
        <v>842</v>
      </c>
      <c r="N174" s="2" t="s">
        <v>1144</v>
      </c>
      <c r="O174" s="2" t="s">
        <v>1167</v>
      </c>
      <c r="P174" s="3">
        <v>46202.501388888901</v>
      </c>
      <c r="Q174" s="2" t="s">
        <v>842</v>
      </c>
      <c r="R174" s="3">
        <v>46222.501388888901</v>
      </c>
      <c r="S174" s="2" t="s">
        <v>842</v>
      </c>
      <c r="T174" s="34"/>
      <c r="U174" s="1" t="s">
        <v>31</v>
      </c>
    </row>
    <row r="175" spans="2:21" ht="43.5" customHeight="1">
      <c r="B175" s="2" t="s">
        <v>1168</v>
      </c>
      <c r="C175" s="2" t="s">
        <v>935</v>
      </c>
      <c r="D175" s="2" t="s">
        <v>935</v>
      </c>
      <c r="E175" s="41">
        <v>1</v>
      </c>
      <c r="F175" s="42">
        <v>1</v>
      </c>
      <c r="G175" s="2" t="s">
        <v>714</v>
      </c>
      <c r="H175" s="2" t="s">
        <v>700</v>
      </c>
      <c r="I175" s="2" t="s">
        <v>701</v>
      </c>
      <c r="J175" s="43" t="s">
        <v>702</v>
      </c>
      <c r="K175" s="30" t="e">
        <f>SUMIF([1]quotation_details!C:C,B175,[1]quotation_details!K:K)</f>
        <v>#VALUE!</v>
      </c>
      <c r="L175" s="43" t="s">
        <v>702</v>
      </c>
      <c r="M175" s="2" t="s">
        <v>846</v>
      </c>
      <c r="N175" s="2" t="s">
        <v>1144</v>
      </c>
      <c r="O175" s="2" t="s">
        <v>1169</v>
      </c>
      <c r="P175" s="3">
        <v>46202.6381944444</v>
      </c>
      <c r="Q175" s="2" t="s">
        <v>846</v>
      </c>
      <c r="R175" s="3">
        <v>46222.6381944444</v>
      </c>
      <c r="S175" s="2" t="s">
        <v>846</v>
      </c>
      <c r="T175" s="34"/>
      <c r="U175" s="1" t="s">
        <v>31</v>
      </c>
    </row>
    <row r="176" spans="2:21" ht="43.5" customHeight="1">
      <c r="B176" s="2" t="s">
        <v>1170</v>
      </c>
      <c r="C176" s="2" t="s">
        <v>938</v>
      </c>
      <c r="D176" s="2" t="s">
        <v>938</v>
      </c>
      <c r="E176" s="41">
        <v>1</v>
      </c>
      <c r="F176" s="42">
        <v>1</v>
      </c>
      <c r="G176" s="2" t="s">
        <v>699</v>
      </c>
      <c r="H176" s="2" t="s">
        <v>700</v>
      </c>
      <c r="I176" s="2" t="s">
        <v>701</v>
      </c>
      <c r="J176" s="43" t="s">
        <v>702</v>
      </c>
      <c r="K176" s="30" t="e">
        <f>SUMIF([1]quotation_details!C:C,B176,[1]quotation_details!K:K)</f>
        <v>#VALUE!</v>
      </c>
      <c r="L176" s="43" t="s">
        <v>702</v>
      </c>
      <c r="M176" s="2" t="s">
        <v>850</v>
      </c>
      <c r="N176" s="2" t="s">
        <v>1144</v>
      </c>
      <c r="O176" s="2" t="s">
        <v>1171</v>
      </c>
      <c r="P176" s="3">
        <v>46203.4</v>
      </c>
      <c r="Q176" s="2" t="s">
        <v>850</v>
      </c>
      <c r="R176" s="3">
        <v>46223.4</v>
      </c>
      <c r="S176" s="2" t="s">
        <v>850</v>
      </c>
      <c r="T176" s="34"/>
      <c r="U176" s="1" t="s">
        <v>31</v>
      </c>
    </row>
    <row r="177" spans="2:21" ht="43.5" customHeight="1">
      <c r="B177" s="2" t="s">
        <v>1172</v>
      </c>
      <c r="C177" s="2" t="s">
        <v>941</v>
      </c>
      <c r="D177" s="2" t="s">
        <v>941</v>
      </c>
      <c r="E177" s="41">
        <v>1</v>
      </c>
      <c r="F177" s="42">
        <v>1</v>
      </c>
      <c r="G177" s="2" t="s">
        <v>706</v>
      </c>
      <c r="H177" s="2" t="s">
        <v>623</v>
      </c>
      <c r="I177" s="2" t="s">
        <v>701</v>
      </c>
      <c r="J177" s="43" t="s">
        <v>702</v>
      </c>
      <c r="K177" s="30" t="e">
        <f>SUMIF([1]quotation_details!C:C,B177,[1]quotation_details!K:K)</f>
        <v>#VALUE!</v>
      </c>
      <c r="L177" s="43" t="s">
        <v>702</v>
      </c>
      <c r="M177" s="2" t="s">
        <v>854</v>
      </c>
      <c r="N177" s="2" t="s">
        <v>1144</v>
      </c>
      <c r="O177" s="2" t="s">
        <v>1173</v>
      </c>
      <c r="P177" s="3">
        <v>46203.536805555603</v>
      </c>
      <c r="Q177" s="2" t="s">
        <v>854</v>
      </c>
      <c r="R177" s="3">
        <v>46223.536805555603</v>
      </c>
      <c r="S177" s="2" t="s">
        <v>854</v>
      </c>
      <c r="T177" s="34"/>
      <c r="U177" s="1" t="s">
        <v>31</v>
      </c>
    </row>
    <row r="178" spans="2:21" ht="29" customHeight="1">
      <c r="B178" s="2" t="s">
        <v>1174</v>
      </c>
      <c r="C178" s="2" t="s">
        <v>944</v>
      </c>
      <c r="D178" s="2" t="s">
        <v>944</v>
      </c>
      <c r="E178" s="41">
        <v>1</v>
      </c>
      <c r="F178" s="42">
        <v>1</v>
      </c>
      <c r="G178" s="2" t="s">
        <v>710</v>
      </c>
      <c r="H178" s="2" t="s">
        <v>623</v>
      </c>
      <c r="I178" s="2" t="s">
        <v>701</v>
      </c>
      <c r="J178" s="43" t="s">
        <v>702</v>
      </c>
      <c r="K178" s="30" t="e">
        <f>SUMIF([1]quotation_details!C:C,B178,[1]quotation_details!K:K)</f>
        <v>#VALUE!</v>
      </c>
      <c r="L178" s="43" t="s">
        <v>702</v>
      </c>
      <c r="M178" s="2" t="s">
        <v>858</v>
      </c>
      <c r="N178" s="2" t="s">
        <v>1144</v>
      </c>
      <c r="O178" s="2" t="s">
        <v>1175</v>
      </c>
      <c r="P178" s="3">
        <v>46204.631944444402</v>
      </c>
      <c r="Q178" s="2" t="s">
        <v>858</v>
      </c>
      <c r="R178" s="3">
        <v>46224.631944444402</v>
      </c>
      <c r="S178" s="2" t="s">
        <v>858</v>
      </c>
      <c r="T178" s="34"/>
      <c r="U178" s="1" t="s">
        <v>31</v>
      </c>
    </row>
    <row r="179" spans="2:21" ht="43.5" customHeight="1">
      <c r="B179" s="2" t="s">
        <v>1176</v>
      </c>
      <c r="C179" s="2" t="s">
        <v>947</v>
      </c>
      <c r="D179" s="2" t="s">
        <v>947</v>
      </c>
      <c r="E179" s="41">
        <v>1</v>
      </c>
      <c r="F179" s="42">
        <v>1</v>
      </c>
      <c r="G179" s="2" t="s">
        <v>714</v>
      </c>
      <c r="H179" s="2" t="s">
        <v>700</v>
      </c>
      <c r="I179" s="2" t="s">
        <v>701</v>
      </c>
      <c r="J179" s="43" t="s">
        <v>702</v>
      </c>
      <c r="K179" s="30" t="e">
        <f>SUMIF([1]quotation_details!C:C,B179,[1]quotation_details!K:K)</f>
        <v>#VALUE!</v>
      </c>
      <c r="L179" s="43" t="s">
        <v>702</v>
      </c>
      <c r="M179" s="2" t="s">
        <v>862</v>
      </c>
      <c r="N179" s="2" t="s">
        <v>1144</v>
      </c>
      <c r="O179" s="2" t="s">
        <v>1177</v>
      </c>
      <c r="P179" s="3">
        <v>46204.393750000003</v>
      </c>
      <c r="Q179" s="2" t="s">
        <v>862</v>
      </c>
      <c r="R179" s="3">
        <v>46224.393750000003</v>
      </c>
      <c r="S179" s="2" t="s">
        <v>862</v>
      </c>
      <c r="T179" s="34"/>
      <c r="U179" s="1" t="s">
        <v>31</v>
      </c>
    </row>
    <row r="180" spans="2:21" ht="43.5" customHeight="1">
      <c r="B180" s="2" t="s">
        <v>1178</v>
      </c>
      <c r="C180" s="2" t="s">
        <v>950</v>
      </c>
      <c r="D180" s="2" t="s">
        <v>950</v>
      </c>
      <c r="E180" s="41">
        <v>1</v>
      </c>
      <c r="F180" s="42">
        <v>1</v>
      </c>
      <c r="G180" s="2" t="s">
        <v>699</v>
      </c>
      <c r="H180" s="2" t="s">
        <v>700</v>
      </c>
      <c r="I180" s="2" t="s">
        <v>701</v>
      </c>
      <c r="J180" s="43" t="s">
        <v>702</v>
      </c>
      <c r="K180" s="30" t="e">
        <f>SUMIF([1]quotation_details!C:C,B180,[1]quotation_details!K:K)</f>
        <v>#VALUE!</v>
      </c>
      <c r="L180" s="43" t="s">
        <v>702</v>
      </c>
      <c r="M180" s="2" t="s">
        <v>97</v>
      </c>
      <c r="N180" s="2" t="s">
        <v>1144</v>
      </c>
      <c r="O180" s="2" t="s">
        <v>1179</v>
      </c>
      <c r="P180" s="3">
        <v>46205.530555555597</v>
      </c>
      <c r="Q180" s="2" t="s">
        <v>97</v>
      </c>
      <c r="R180" s="3">
        <v>46225.530555555597</v>
      </c>
      <c r="S180" s="2" t="s">
        <v>97</v>
      </c>
      <c r="T180" s="34"/>
      <c r="U180" s="1" t="s">
        <v>31</v>
      </c>
    </row>
    <row r="181" spans="2:21" ht="43.5" customHeight="1">
      <c r="B181" s="2" t="s">
        <v>1180</v>
      </c>
      <c r="C181" s="2" t="s">
        <v>953</v>
      </c>
      <c r="D181" s="2" t="s">
        <v>953</v>
      </c>
      <c r="E181" s="41">
        <v>1</v>
      </c>
      <c r="F181" s="42">
        <v>1</v>
      </c>
      <c r="G181" s="2" t="s">
        <v>706</v>
      </c>
      <c r="H181" s="2" t="s">
        <v>623</v>
      </c>
      <c r="I181" s="2" t="s">
        <v>701</v>
      </c>
      <c r="J181" s="43" t="s">
        <v>702</v>
      </c>
      <c r="K181" s="30" t="e">
        <f>SUMIF([1]quotation_details!C:C,B181,[1]quotation_details!K:K)</f>
        <v>#VALUE!</v>
      </c>
      <c r="L181" s="43" t="s">
        <v>702</v>
      </c>
      <c r="M181" s="2" t="s">
        <v>869</v>
      </c>
      <c r="N181" s="2" t="s">
        <v>1144</v>
      </c>
      <c r="O181" s="2" t="s">
        <v>1181</v>
      </c>
      <c r="P181" s="3">
        <v>46205.625694444403</v>
      </c>
      <c r="Q181" s="2" t="s">
        <v>869</v>
      </c>
      <c r="R181" s="3">
        <v>46225.625694444403</v>
      </c>
      <c r="S181" s="2" t="s">
        <v>869</v>
      </c>
      <c r="T181" s="34"/>
      <c r="U181" s="1" t="s">
        <v>31</v>
      </c>
    </row>
    <row r="182" spans="2:21" ht="43.5" customHeight="1">
      <c r="B182" s="2" t="s">
        <v>1182</v>
      </c>
      <c r="C182" s="2" t="s">
        <v>956</v>
      </c>
      <c r="D182" s="2" t="s">
        <v>956</v>
      </c>
      <c r="E182" s="41">
        <v>1</v>
      </c>
      <c r="F182" s="42">
        <v>1</v>
      </c>
      <c r="G182" s="2" t="s">
        <v>710</v>
      </c>
      <c r="H182" s="2" t="s">
        <v>623</v>
      </c>
      <c r="I182" s="2" t="s">
        <v>701</v>
      </c>
      <c r="J182" s="43" t="s">
        <v>702</v>
      </c>
      <c r="K182" s="30" t="e">
        <f>SUMIF([1]quotation_details!C:C,B182,[1]quotation_details!K:K)</f>
        <v>#VALUE!</v>
      </c>
      <c r="L182" s="43" t="s">
        <v>702</v>
      </c>
      <c r="M182" s="2" t="s">
        <v>873</v>
      </c>
      <c r="N182" s="2" t="s">
        <v>1144</v>
      </c>
      <c r="O182" s="2" t="s">
        <v>1183</v>
      </c>
      <c r="P182" s="3">
        <v>46206.387499999997</v>
      </c>
      <c r="Q182" s="2" t="s">
        <v>873</v>
      </c>
      <c r="R182" s="3">
        <v>46226.387499999997</v>
      </c>
      <c r="S182" s="2" t="s">
        <v>873</v>
      </c>
      <c r="T182" s="34"/>
      <c r="U182" s="1" t="s">
        <v>31</v>
      </c>
    </row>
    <row r="183" spans="2:21" ht="43.5" customHeight="1">
      <c r="B183" s="2" t="s">
        <v>1184</v>
      </c>
      <c r="C183" s="2" t="s">
        <v>959</v>
      </c>
      <c r="D183" s="2" t="s">
        <v>959</v>
      </c>
      <c r="E183" s="41">
        <v>1</v>
      </c>
      <c r="F183" s="42">
        <v>1</v>
      </c>
      <c r="G183" s="2" t="s">
        <v>714</v>
      </c>
      <c r="H183" s="2" t="s">
        <v>700</v>
      </c>
      <c r="I183" s="2" t="s">
        <v>701</v>
      </c>
      <c r="J183" s="43" t="s">
        <v>702</v>
      </c>
      <c r="K183" s="30" t="e">
        <f>SUMIF([1]quotation_details!C:C,B183,[1]quotation_details!K:K)</f>
        <v>#VALUE!</v>
      </c>
      <c r="L183" s="43" t="s">
        <v>702</v>
      </c>
      <c r="M183" s="2" t="s">
        <v>877</v>
      </c>
      <c r="N183" s="2" t="s">
        <v>1144</v>
      </c>
      <c r="O183" s="2" t="s">
        <v>1185</v>
      </c>
      <c r="P183" s="3">
        <v>46206.524305555598</v>
      </c>
      <c r="Q183" s="2" t="s">
        <v>877</v>
      </c>
      <c r="R183" s="3">
        <v>46226.524305555598</v>
      </c>
      <c r="S183" s="2" t="s">
        <v>877</v>
      </c>
      <c r="T183" s="34"/>
      <c r="U183" s="1" t="s">
        <v>31</v>
      </c>
    </row>
    <row r="184" spans="2:21" ht="43.5" customHeight="1">
      <c r="B184" s="2" t="s">
        <v>1186</v>
      </c>
      <c r="C184" s="2" t="s">
        <v>962</v>
      </c>
      <c r="D184" s="2" t="s">
        <v>962</v>
      </c>
      <c r="E184" s="41">
        <v>1</v>
      </c>
      <c r="F184" s="42">
        <v>1</v>
      </c>
      <c r="G184" s="2" t="s">
        <v>699</v>
      </c>
      <c r="H184" s="2" t="s">
        <v>700</v>
      </c>
      <c r="I184" s="2" t="s">
        <v>701</v>
      </c>
      <c r="J184" s="43" t="s">
        <v>702</v>
      </c>
      <c r="K184" s="30" t="e">
        <f>SUMIF([1]quotation_details!C:C,B184,[1]quotation_details!K:K)</f>
        <v>#VALUE!</v>
      </c>
      <c r="L184" s="43" t="s">
        <v>702</v>
      </c>
      <c r="M184" s="2" t="s">
        <v>881</v>
      </c>
      <c r="N184" s="2" t="s">
        <v>1144</v>
      </c>
      <c r="O184" s="2" t="s">
        <v>1187</v>
      </c>
      <c r="P184" s="3">
        <v>46207.661111111098</v>
      </c>
      <c r="Q184" s="2" t="s">
        <v>881</v>
      </c>
      <c r="R184" s="3">
        <v>46227.661111111098</v>
      </c>
      <c r="S184" s="2" t="s">
        <v>881</v>
      </c>
      <c r="T184" s="34"/>
      <c r="U184" s="1" t="s">
        <v>31</v>
      </c>
    </row>
    <row r="185" spans="2:21" ht="43.5" customHeight="1">
      <c r="B185" s="2" t="s">
        <v>1188</v>
      </c>
      <c r="C185" s="2" t="s">
        <v>965</v>
      </c>
      <c r="D185" s="2" t="s">
        <v>965</v>
      </c>
      <c r="E185" s="41">
        <v>1</v>
      </c>
      <c r="F185" s="42">
        <v>1</v>
      </c>
      <c r="G185" s="2" t="s">
        <v>706</v>
      </c>
      <c r="H185" s="2" t="s">
        <v>623</v>
      </c>
      <c r="I185" s="2" t="s">
        <v>701</v>
      </c>
      <c r="J185" s="43" t="s">
        <v>702</v>
      </c>
      <c r="K185" s="30" t="e">
        <f>SUMIF([1]quotation_details!C:C,B185,[1]quotation_details!K:K)</f>
        <v>#VALUE!</v>
      </c>
      <c r="L185" s="43" t="s">
        <v>702</v>
      </c>
      <c r="M185" s="2" t="s">
        <v>885</v>
      </c>
      <c r="N185" s="2" t="s">
        <v>1144</v>
      </c>
      <c r="O185" s="2" t="s">
        <v>1189</v>
      </c>
      <c r="P185" s="3">
        <v>46207.381249999999</v>
      </c>
      <c r="Q185" s="2" t="s">
        <v>885</v>
      </c>
      <c r="R185" s="3">
        <v>46227.381249999999</v>
      </c>
      <c r="S185" s="2" t="s">
        <v>885</v>
      </c>
      <c r="T185" s="34"/>
      <c r="U185" s="1" t="s">
        <v>31</v>
      </c>
    </row>
    <row r="186" spans="2:21" ht="43.5" customHeight="1">
      <c r="B186" s="2" t="s">
        <v>1190</v>
      </c>
      <c r="C186" s="2" t="s">
        <v>968</v>
      </c>
      <c r="D186" s="2" t="s">
        <v>968</v>
      </c>
      <c r="E186" s="41">
        <v>1</v>
      </c>
      <c r="F186" s="42">
        <v>1</v>
      </c>
      <c r="G186" s="2" t="s">
        <v>710</v>
      </c>
      <c r="H186" s="2" t="s">
        <v>623</v>
      </c>
      <c r="I186" s="2" t="s">
        <v>701</v>
      </c>
      <c r="J186" s="43" t="s">
        <v>702</v>
      </c>
      <c r="K186" s="30" t="e">
        <f>SUMIF([1]quotation_details!C:C,B186,[1]quotation_details!K:K)</f>
        <v>#VALUE!</v>
      </c>
      <c r="L186" s="43" t="s">
        <v>702</v>
      </c>
      <c r="M186" s="2" t="s">
        <v>889</v>
      </c>
      <c r="N186" s="2" t="s">
        <v>1144</v>
      </c>
      <c r="O186" s="2" t="s">
        <v>1191</v>
      </c>
      <c r="P186" s="3">
        <v>46207.5180555556</v>
      </c>
      <c r="Q186" s="2" t="s">
        <v>889</v>
      </c>
      <c r="R186" s="3">
        <v>46227.5180555556</v>
      </c>
      <c r="S186" s="2" t="s">
        <v>889</v>
      </c>
      <c r="T186" s="34"/>
      <c r="U186" s="1" t="s">
        <v>31</v>
      </c>
    </row>
    <row r="187" spans="2:21" ht="43.5" customHeight="1">
      <c r="B187" s="2" t="s">
        <v>1192</v>
      </c>
      <c r="C187" s="2" t="s">
        <v>971</v>
      </c>
      <c r="D187" s="2" t="s">
        <v>971</v>
      </c>
      <c r="E187" s="41">
        <v>1</v>
      </c>
      <c r="F187" s="42">
        <v>1</v>
      </c>
      <c r="G187" s="2" t="s">
        <v>714</v>
      </c>
      <c r="H187" s="2" t="s">
        <v>700</v>
      </c>
      <c r="I187" s="2" t="s">
        <v>701</v>
      </c>
      <c r="J187" s="43" t="s">
        <v>702</v>
      </c>
      <c r="K187" s="30" t="e">
        <f>SUMIF([1]quotation_details!C:C,B187,[1]quotation_details!K:K)</f>
        <v>#VALUE!</v>
      </c>
      <c r="L187" s="43" t="s">
        <v>702</v>
      </c>
      <c r="M187" s="2" t="s">
        <v>893</v>
      </c>
      <c r="N187" s="2" t="s">
        <v>1144</v>
      </c>
      <c r="O187" s="2" t="s">
        <v>1193</v>
      </c>
      <c r="P187" s="3">
        <v>46208.654861111099</v>
      </c>
      <c r="Q187" s="2" t="s">
        <v>893</v>
      </c>
      <c r="R187" s="3">
        <v>46228.654861111099</v>
      </c>
      <c r="S187" s="2" t="s">
        <v>893</v>
      </c>
      <c r="T187" s="34"/>
      <c r="U187" s="1" t="s">
        <v>31</v>
      </c>
    </row>
    <row r="188" spans="2:21" ht="43.5" customHeight="1">
      <c r="B188" s="2" t="s">
        <v>1194</v>
      </c>
      <c r="C188" s="2" t="s">
        <v>974</v>
      </c>
      <c r="D188" s="2" t="s">
        <v>974</v>
      </c>
      <c r="E188" s="41">
        <v>1</v>
      </c>
      <c r="F188" s="42">
        <v>1</v>
      </c>
      <c r="G188" s="2" t="s">
        <v>699</v>
      </c>
      <c r="H188" s="2" t="s">
        <v>700</v>
      </c>
      <c r="I188" s="2" t="s">
        <v>701</v>
      </c>
      <c r="J188" s="43" t="s">
        <v>702</v>
      </c>
      <c r="K188" s="30" t="e">
        <f>SUMIF([1]quotation_details!C:C,B188,[1]quotation_details!K:K)</f>
        <v>#VALUE!</v>
      </c>
      <c r="L188" s="43" t="s">
        <v>702</v>
      </c>
      <c r="M188" s="2" t="s">
        <v>897</v>
      </c>
      <c r="N188" s="2" t="s">
        <v>1144</v>
      </c>
      <c r="O188" s="2" t="s">
        <v>1195</v>
      </c>
      <c r="P188" s="3">
        <v>46208.375</v>
      </c>
      <c r="Q188" s="2" t="s">
        <v>897</v>
      </c>
      <c r="R188" s="3">
        <v>46228.375</v>
      </c>
      <c r="S188" s="2" t="s">
        <v>897</v>
      </c>
      <c r="T188" s="34"/>
      <c r="U188" s="1" t="s">
        <v>31</v>
      </c>
    </row>
    <row r="189" spans="2:21" ht="43.5" customHeight="1">
      <c r="B189" s="2" t="s">
        <v>1196</v>
      </c>
      <c r="C189" s="2" t="s">
        <v>977</v>
      </c>
      <c r="D189" s="2" t="s">
        <v>977</v>
      </c>
      <c r="E189" s="41">
        <v>1</v>
      </c>
      <c r="F189" s="42">
        <v>1</v>
      </c>
      <c r="G189" s="2" t="s">
        <v>706</v>
      </c>
      <c r="H189" s="2" t="s">
        <v>623</v>
      </c>
      <c r="I189" s="2" t="s">
        <v>701</v>
      </c>
      <c r="J189" s="43" t="s">
        <v>702</v>
      </c>
      <c r="K189" s="30" t="e">
        <f>SUMIF([1]quotation_details!C:C,B189,[1]quotation_details!K:K)</f>
        <v>#VALUE!</v>
      </c>
      <c r="L189" s="43" t="s">
        <v>702</v>
      </c>
      <c r="M189" s="2" t="s">
        <v>901</v>
      </c>
      <c r="N189" s="2" t="s">
        <v>1144</v>
      </c>
      <c r="O189" s="2" t="s">
        <v>1197</v>
      </c>
      <c r="P189" s="3">
        <v>46209.511805555601</v>
      </c>
      <c r="Q189" s="2" t="s">
        <v>901</v>
      </c>
      <c r="R189" s="3">
        <v>46229.511805555601</v>
      </c>
      <c r="S189" s="2" t="s">
        <v>901</v>
      </c>
      <c r="T189" s="34"/>
      <c r="U189" s="1" t="s">
        <v>31</v>
      </c>
    </row>
    <row r="190" spans="2:21" ht="43.5" customHeight="1">
      <c r="B190" s="2" t="s">
        <v>1198</v>
      </c>
      <c r="C190" s="2" t="s">
        <v>980</v>
      </c>
      <c r="D190" s="2" t="s">
        <v>980</v>
      </c>
      <c r="E190" s="41">
        <v>1</v>
      </c>
      <c r="F190" s="42">
        <v>1</v>
      </c>
      <c r="G190" s="2" t="s">
        <v>710</v>
      </c>
      <c r="H190" s="2" t="s">
        <v>623</v>
      </c>
      <c r="I190" s="2" t="s">
        <v>701</v>
      </c>
      <c r="J190" s="43" t="s">
        <v>702</v>
      </c>
      <c r="K190" s="30" t="e">
        <f>SUMIF([1]quotation_details!C:C,B190,[1]quotation_details!K:K)</f>
        <v>#VALUE!</v>
      </c>
      <c r="L190" s="43" t="s">
        <v>702</v>
      </c>
      <c r="M190" s="2" t="s">
        <v>905</v>
      </c>
      <c r="N190" s="2" t="s">
        <v>1144</v>
      </c>
      <c r="O190" s="2" t="s">
        <v>1199</v>
      </c>
      <c r="P190" s="3">
        <v>46209.648611111101</v>
      </c>
      <c r="Q190" s="2" t="s">
        <v>905</v>
      </c>
      <c r="R190" s="3">
        <v>46229.648611111101</v>
      </c>
      <c r="S190" s="2" t="s">
        <v>905</v>
      </c>
      <c r="T190" s="34"/>
      <c r="U190" s="1" t="s">
        <v>31</v>
      </c>
    </row>
    <row r="191" spans="2:21" ht="43.5" customHeight="1">
      <c r="B191" s="2" t="s">
        <v>1200</v>
      </c>
      <c r="C191" s="2" t="s">
        <v>983</v>
      </c>
      <c r="D191" s="2" t="s">
        <v>983</v>
      </c>
      <c r="E191" s="41">
        <v>1</v>
      </c>
      <c r="F191" s="42">
        <v>1</v>
      </c>
      <c r="G191" s="2" t="s">
        <v>714</v>
      </c>
      <c r="H191" s="2" t="s">
        <v>700</v>
      </c>
      <c r="I191" s="2" t="s">
        <v>701</v>
      </c>
      <c r="J191" s="43" t="s">
        <v>702</v>
      </c>
      <c r="K191" s="30" t="e">
        <f>SUMIF([1]quotation_details!C:C,B191,[1]quotation_details!K:K)</f>
        <v>#VALUE!</v>
      </c>
      <c r="L191" s="43" t="s">
        <v>702</v>
      </c>
      <c r="M191" s="2" t="s">
        <v>909</v>
      </c>
      <c r="N191" s="2" t="s">
        <v>1144</v>
      </c>
      <c r="O191" s="2" t="s">
        <v>1201</v>
      </c>
      <c r="P191" s="3">
        <v>46210.410416666702</v>
      </c>
      <c r="Q191" s="2" t="s">
        <v>909</v>
      </c>
      <c r="R191" s="3">
        <v>46230.410416666702</v>
      </c>
      <c r="S191" s="2" t="s">
        <v>909</v>
      </c>
      <c r="T191" s="34"/>
      <c r="U191" s="1" t="s">
        <v>31</v>
      </c>
    </row>
    <row r="192" spans="2:21" ht="43.5" customHeight="1">
      <c r="B192" s="2" t="s">
        <v>1202</v>
      </c>
      <c r="C192" s="2" t="s">
        <v>986</v>
      </c>
      <c r="D192" s="2" t="s">
        <v>986</v>
      </c>
      <c r="E192" s="41">
        <v>1</v>
      </c>
      <c r="F192" s="42">
        <v>1</v>
      </c>
      <c r="G192" s="2" t="s">
        <v>699</v>
      </c>
      <c r="H192" s="2" t="s">
        <v>700</v>
      </c>
      <c r="I192" s="2" t="s">
        <v>701</v>
      </c>
      <c r="J192" s="43" t="s">
        <v>702</v>
      </c>
      <c r="K192" s="30" t="e">
        <f>SUMIF([1]quotation_details!C:C,B192,[1]quotation_details!K:K)</f>
        <v>#VALUE!</v>
      </c>
      <c r="L192" s="43" t="s">
        <v>702</v>
      </c>
      <c r="M192" s="2" t="s">
        <v>913</v>
      </c>
      <c r="N192" s="2" t="s">
        <v>1144</v>
      </c>
      <c r="O192" s="2" t="s">
        <v>1203</v>
      </c>
      <c r="P192" s="3">
        <v>46210.505555555603</v>
      </c>
      <c r="Q192" s="2" t="s">
        <v>913</v>
      </c>
      <c r="R192" s="3">
        <v>46230.505555555603</v>
      </c>
      <c r="S192" s="2" t="s">
        <v>913</v>
      </c>
      <c r="T192" s="34"/>
      <c r="U192" s="1" t="s">
        <v>31</v>
      </c>
    </row>
    <row r="193" spans="2:21" ht="43.5" customHeight="1">
      <c r="B193" s="2" t="s">
        <v>1204</v>
      </c>
      <c r="C193" s="2" t="s">
        <v>989</v>
      </c>
      <c r="D193" s="2" t="s">
        <v>989</v>
      </c>
      <c r="E193" s="41">
        <v>1</v>
      </c>
      <c r="F193" s="42">
        <v>1</v>
      </c>
      <c r="G193" s="2" t="s">
        <v>706</v>
      </c>
      <c r="H193" s="2" t="s">
        <v>623</v>
      </c>
      <c r="I193" s="2" t="s">
        <v>701</v>
      </c>
      <c r="J193" s="43" t="s">
        <v>702</v>
      </c>
      <c r="K193" s="30" t="e">
        <f>SUMIF([1]quotation_details!C:C,B193,[1]quotation_details!K:K)</f>
        <v>#VALUE!</v>
      </c>
      <c r="L193" s="43" t="s">
        <v>702</v>
      </c>
      <c r="M193" s="2" t="s">
        <v>917</v>
      </c>
      <c r="N193" s="2" t="s">
        <v>1144</v>
      </c>
      <c r="O193" s="2" t="s">
        <v>1205</v>
      </c>
      <c r="P193" s="3">
        <v>46211.642361111102</v>
      </c>
      <c r="Q193" s="2" t="s">
        <v>917</v>
      </c>
      <c r="R193" s="3">
        <v>46231.642361111102</v>
      </c>
      <c r="S193" s="2" t="s">
        <v>917</v>
      </c>
      <c r="T193" s="34"/>
      <c r="U193" s="1" t="s">
        <v>31</v>
      </c>
    </row>
    <row r="194" spans="2:21" ht="29" customHeight="1">
      <c r="B194" s="2" t="s">
        <v>1206</v>
      </c>
      <c r="C194" s="2" t="s">
        <v>992</v>
      </c>
      <c r="D194" s="2" t="s">
        <v>992</v>
      </c>
      <c r="E194" s="41">
        <v>1</v>
      </c>
      <c r="F194" s="42">
        <v>1</v>
      </c>
      <c r="G194" s="2" t="s">
        <v>710</v>
      </c>
      <c r="H194" s="2" t="s">
        <v>623</v>
      </c>
      <c r="I194" s="2" t="s">
        <v>701</v>
      </c>
      <c r="J194" s="43" t="s">
        <v>702</v>
      </c>
      <c r="K194" s="30" t="e">
        <f>SUMIF([1]quotation_details!C:C,B194,[1]quotation_details!K:K)</f>
        <v>#VALUE!</v>
      </c>
      <c r="L194" s="43" t="s">
        <v>702</v>
      </c>
      <c r="M194" s="2" t="s">
        <v>703</v>
      </c>
      <c r="N194" s="2" t="s">
        <v>1144</v>
      </c>
      <c r="O194" s="2" t="s">
        <v>1207</v>
      </c>
      <c r="P194" s="3">
        <v>46211.404166666704</v>
      </c>
      <c r="Q194" s="2" t="s">
        <v>703</v>
      </c>
      <c r="R194" s="3">
        <v>46231.404166666704</v>
      </c>
      <c r="S194" s="2" t="s">
        <v>703</v>
      </c>
      <c r="T194" s="34"/>
      <c r="U194" s="1" t="s">
        <v>31</v>
      </c>
    </row>
    <row r="195" spans="2:21" ht="43.5" customHeight="1">
      <c r="B195" s="2" t="s">
        <v>1208</v>
      </c>
      <c r="C195" s="2" t="s">
        <v>995</v>
      </c>
      <c r="D195" s="2" t="s">
        <v>995</v>
      </c>
      <c r="E195" s="41">
        <v>1</v>
      </c>
      <c r="F195" s="42">
        <v>1</v>
      </c>
      <c r="G195" s="2" t="s">
        <v>714</v>
      </c>
      <c r="H195" s="2" t="s">
        <v>700</v>
      </c>
      <c r="I195" s="2" t="s">
        <v>701</v>
      </c>
      <c r="J195" s="43" t="s">
        <v>702</v>
      </c>
      <c r="K195" s="30" t="e">
        <f>SUMIF([1]quotation_details!C:C,B195,[1]quotation_details!K:K)</f>
        <v>#VALUE!</v>
      </c>
      <c r="L195" s="43" t="s">
        <v>702</v>
      </c>
      <c r="M195" s="2" t="s">
        <v>707</v>
      </c>
      <c r="N195" s="2" t="s">
        <v>1144</v>
      </c>
      <c r="O195" s="2" t="s">
        <v>1209</v>
      </c>
      <c r="P195" s="3">
        <v>46212.540972222203</v>
      </c>
      <c r="Q195" s="2" t="s">
        <v>707</v>
      </c>
      <c r="R195" s="3">
        <v>46232.540972222203</v>
      </c>
      <c r="S195" s="2" t="s">
        <v>707</v>
      </c>
      <c r="T195" s="34"/>
      <c r="U195" s="1" t="s">
        <v>31</v>
      </c>
    </row>
    <row r="196" spans="2:21" ht="43.5" customHeight="1">
      <c r="B196" s="2" t="s">
        <v>1210</v>
      </c>
      <c r="C196" s="2" t="s">
        <v>998</v>
      </c>
      <c r="D196" s="2" t="s">
        <v>998</v>
      </c>
      <c r="E196" s="41">
        <v>1</v>
      </c>
      <c r="F196" s="42">
        <v>1</v>
      </c>
      <c r="G196" s="2" t="s">
        <v>699</v>
      </c>
      <c r="H196" s="2" t="s">
        <v>700</v>
      </c>
      <c r="I196" s="2" t="s">
        <v>701</v>
      </c>
      <c r="J196" s="43" t="s">
        <v>702</v>
      </c>
      <c r="K196" s="30" t="e">
        <f>SUMIF([1]quotation_details!C:C,B196,[1]quotation_details!K:K)</f>
        <v>#VALUE!</v>
      </c>
      <c r="L196" s="43" t="s">
        <v>702</v>
      </c>
      <c r="M196" s="2" t="s">
        <v>711</v>
      </c>
      <c r="N196" s="2" t="s">
        <v>1144</v>
      </c>
      <c r="O196" s="2" t="s">
        <v>1211</v>
      </c>
      <c r="P196" s="3">
        <v>46212.636111111096</v>
      </c>
      <c r="Q196" s="2" t="s">
        <v>711</v>
      </c>
      <c r="R196" s="3">
        <v>46232.636111111096</v>
      </c>
      <c r="S196" s="2" t="s">
        <v>711</v>
      </c>
      <c r="T196" s="34"/>
      <c r="U196" s="1" t="s">
        <v>31</v>
      </c>
    </row>
    <row r="197" spans="2:21" ht="43.5" customHeight="1">
      <c r="B197" s="2" t="s">
        <v>1212</v>
      </c>
      <c r="C197" s="2" t="s">
        <v>1001</v>
      </c>
      <c r="D197" s="2" t="s">
        <v>1001</v>
      </c>
      <c r="E197" s="41">
        <v>1</v>
      </c>
      <c r="F197" s="42">
        <v>1</v>
      </c>
      <c r="G197" s="2" t="s">
        <v>706</v>
      </c>
      <c r="H197" s="2" t="s">
        <v>623</v>
      </c>
      <c r="I197" s="2" t="s">
        <v>701</v>
      </c>
      <c r="J197" s="43" t="s">
        <v>702</v>
      </c>
      <c r="K197" s="30" t="e">
        <f>SUMIF([1]quotation_details!C:C,B197,[1]quotation_details!K:K)</f>
        <v>#VALUE!</v>
      </c>
      <c r="L197" s="43" t="s">
        <v>702</v>
      </c>
      <c r="M197" s="2" t="s">
        <v>715</v>
      </c>
      <c r="N197" s="2" t="s">
        <v>1144</v>
      </c>
      <c r="O197" s="2" t="s">
        <v>1213</v>
      </c>
      <c r="P197" s="3">
        <v>46213.397916666698</v>
      </c>
      <c r="Q197" s="2" t="s">
        <v>715</v>
      </c>
      <c r="R197" s="3">
        <v>46233.397916666698</v>
      </c>
      <c r="S197" s="2" t="s">
        <v>715</v>
      </c>
      <c r="T197" s="34"/>
      <c r="U197" s="1" t="s">
        <v>31</v>
      </c>
    </row>
    <row r="198" spans="2:21" ht="43.5" customHeight="1">
      <c r="B198" s="2" t="s">
        <v>1214</v>
      </c>
      <c r="C198" s="2" t="s">
        <v>1004</v>
      </c>
      <c r="D198" s="2" t="s">
        <v>1004</v>
      </c>
      <c r="E198" s="41">
        <v>1</v>
      </c>
      <c r="F198" s="42">
        <v>1</v>
      </c>
      <c r="G198" s="2" t="s">
        <v>710</v>
      </c>
      <c r="H198" s="2" t="s">
        <v>623</v>
      </c>
      <c r="I198" s="2" t="s">
        <v>701</v>
      </c>
      <c r="J198" s="43" t="s">
        <v>702</v>
      </c>
      <c r="K198" s="30" t="e">
        <f>SUMIF([1]quotation_details!C:C,B198,[1]quotation_details!K:K)</f>
        <v>#VALUE!</v>
      </c>
      <c r="L198" s="43" t="s">
        <v>702</v>
      </c>
      <c r="M198" s="2" t="s">
        <v>719</v>
      </c>
      <c r="N198" s="2" t="s">
        <v>1144</v>
      </c>
      <c r="O198" s="2" t="s">
        <v>1215</v>
      </c>
      <c r="P198" s="3">
        <v>46213.534722222197</v>
      </c>
      <c r="Q198" s="2" t="s">
        <v>719</v>
      </c>
      <c r="R198" s="3">
        <v>46233.534722222197</v>
      </c>
      <c r="S198" s="2" t="s">
        <v>719</v>
      </c>
      <c r="T198" s="34"/>
      <c r="U198" s="1" t="s">
        <v>31</v>
      </c>
    </row>
    <row r="199" spans="2:21" ht="43.5" customHeight="1">
      <c r="B199" s="2" t="s">
        <v>1216</v>
      </c>
      <c r="C199" s="2" t="s">
        <v>1007</v>
      </c>
      <c r="D199" s="2" t="s">
        <v>1007</v>
      </c>
      <c r="E199" s="41">
        <v>1</v>
      </c>
      <c r="F199" s="42">
        <v>1</v>
      </c>
      <c r="G199" s="2" t="s">
        <v>714</v>
      </c>
      <c r="H199" s="2" t="s">
        <v>700</v>
      </c>
      <c r="I199" s="2" t="s">
        <v>701</v>
      </c>
      <c r="J199" s="43" t="s">
        <v>702</v>
      </c>
      <c r="K199" s="30" t="e">
        <f>SUMIF([1]quotation_details!C:C,B199,[1]quotation_details!K:K)</f>
        <v>#VALUE!</v>
      </c>
      <c r="L199" s="43" t="s">
        <v>702</v>
      </c>
      <c r="M199" s="2" t="s">
        <v>722</v>
      </c>
      <c r="N199" s="2" t="s">
        <v>1144</v>
      </c>
      <c r="O199" s="2" t="s">
        <v>1217</v>
      </c>
      <c r="P199" s="3">
        <v>46213.629861111098</v>
      </c>
      <c r="Q199" s="2" t="s">
        <v>722</v>
      </c>
      <c r="R199" s="3">
        <v>46233.629861111098</v>
      </c>
      <c r="S199" s="2" t="s">
        <v>722</v>
      </c>
      <c r="T199" s="34"/>
      <c r="U199" s="1" t="s">
        <v>31</v>
      </c>
    </row>
    <row r="200" spans="2:21" ht="43.5" customHeight="1">
      <c r="B200" s="2" t="s">
        <v>1218</v>
      </c>
      <c r="C200" s="2" t="s">
        <v>1010</v>
      </c>
      <c r="D200" s="2" t="s">
        <v>1010</v>
      </c>
      <c r="E200" s="41">
        <v>1</v>
      </c>
      <c r="F200" s="42">
        <v>1</v>
      </c>
      <c r="G200" s="2" t="s">
        <v>699</v>
      </c>
      <c r="H200" s="2" t="s">
        <v>700</v>
      </c>
      <c r="I200" s="2" t="s">
        <v>701</v>
      </c>
      <c r="J200" s="43" t="s">
        <v>702</v>
      </c>
      <c r="K200" s="30" t="e">
        <f>SUMIF([1]quotation_details!C:C,B200,[1]quotation_details!K:K)</f>
        <v>#VALUE!</v>
      </c>
      <c r="L200" s="43" t="s">
        <v>702</v>
      </c>
      <c r="M200" s="2" t="s">
        <v>725</v>
      </c>
      <c r="N200" s="2" t="s">
        <v>1144</v>
      </c>
      <c r="O200" s="2" t="s">
        <v>1219</v>
      </c>
      <c r="P200" s="3">
        <v>46214.391666666699</v>
      </c>
      <c r="Q200" s="2" t="s">
        <v>725</v>
      </c>
      <c r="R200" s="3">
        <v>46234.391666666699</v>
      </c>
      <c r="S200" s="2" t="s">
        <v>725</v>
      </c>
      <c r="T200" s="34"/>
      <c r="U200" s="1" t="s">
        <v>31</v>
      </c>
    </row>
    <row r="201" spans="2:21" ht="43.5" customHeight="1">
      <c r="B201" s="2" t="s">
        <v>1220</v>
      </c>
      <c r="C201" s="2" t="s">
        <v>1013</v>
      </c>
      <c r="D201" s="2" t="s">
        <v>1013</v>
      </c>
      <c r="E201" s="41">
        <v>1</v>
      </c>
      <c r="F201" s="42">
        <v>1</v>
      </c>
      <c r="G201" s="2" t="s">
        <v>706</v>
      </c>
      <c r="H201" s="2" t="s">
        <v>623</v>
      </c>
      <c r="I201" s="2" t="s">
        <v>701</v>
      </c>
      <c r="J201" s="43" t="s">
        <v>702</v>
      </c>
      <c r="K201" s="30" t="e">
        <f>SUMIF([1]quotation_details!C:C,B201,[1]quotation_details!K:K)</f>
        <v>#VALUE!</v>
      </c>
      <c r="L201" s="43" t="s">
        <v>702</v>
      </c>
      <c r="M201" s="2" t="s">
        <v>728</v>
      </c>
      <c r="N201" s="2" t="s">
        <v>1144</v>
      </c>
      <c r="O201" s="2" t="s">
        <v>1221</v>
      </c>
      <c r="P201" s="3">
        <v>46214.528472222199</v>
      </c>
      <c r="Q201" s="2" t="s">
        <v>728</v>
      </c>
      <c r="R201" s="3">
        <v>46234.528472222199</v>
      </c>
      <c r="S201" s="2" t="s">
        <v>728</v>
      </c>
      <c r="T201" s="34"/>
      <c r="U201" s="1" t="s">
        <v>31</v>
      </c>
    </row>
    <row r="202" spans="2:21" ht="29" customHeight="1">
      <c r="B202" s="2" t="s">
        <v>1222</v>
      </c>
      <c r="C202" s="2" t="s">
        <v>1016</v>
      </c>
      <c r="D202" s="2" t="s">
        <v>1016</v>
      </c>
      <c r="E202" s="41">
        <v>1</v>
      </c>
      <c r="F202" s="42">
        <v>1</v>
      </c>
      <c r="G202" s="2" t="s">
        <v>710</v>
      </c>
      <c r="H202" s="2" t="s">
        <v>623</v>
      </c>
      <c r="I202" s="2" t="s">
        <v>701</v>
      </c>
      <c r="J202" s="43" t="s">
        <v>702</v>
      </c>
      <c r="K202" s="30" t="e">
        <f>SUMIF([1]quotation_details!C:C,B202,[1]quotation_details!K:K)</f>
        <v>#VALUE!</v>
      </c>
      <c r="L202" s="43" t="s">
        <v>702</v>
      </c>
      <c r="M202" s="2" t="s">
        <v>731</v>
      </c>
      <c r="N202" s="2" t="s">
        <v>1144</v>
      </c>
      <c r="O202" s="2" t="s">
        <v>1223</v>
      </c>
      <c r="P202" s="3">
        <v>46215.6652777778</v>
      </c>
      <c r="Q202" s="2" t="s">
        <v>731</v>
      </c>
      <c r="R202" s="3">
        <v>46235.6652777778</v>
      </c>
      <c r="S202" s="2" t="s">
        <v>731</v>
      </c>
      <c r="T202" s="34"/>
      <c r="U202" s="1" t="s">
        <v>31</v>
      </c>
    </row>
    <row r="203" spans="2:21" ht="29" customHeight="1">
      <c r="B203" s="2" t="s">
        <v>1224</v>
      </c>
      <c r="C203" s="2" t="s">
        <v>1019</v>
      </c>
      <c r="D203" s="2" t="s">
        <v>1019</v>
      </c>
      <c r="E203" s="41">
        <v>1</v>
      </c>
      <c r="F203" s="42">
        <v>1</v>
      </c>
      <c r="G203" s="2" t="s">
        <v>714</v>
      </c>
      <c r="H203" s="2" t="s">
        <v>700</v>
      </c>
      <c r="I203" s="2" t="s">
        <v>701</v>
      </c>
      <c r="J203" s="43" t="s">
        <v>702</v>
      </c>
      <c r="K203" s="30" t="e">
        <f>SUMIF([1]quotation_details!C:C,B203,[1]quotation_details!K:K)</f>
        <v>#VALUE!</v>
      </c>
      <c r="L203" s="43" t="s">
        <v>702</v>
      </c>
      <c r="M203" s="2" t="s">
        <v>734</v>
      </c>
      <c r="N203" s="2" t="s">
        <v>1144</v>
      </c>
      <c r="O203" s="2" t="s">
        <v>1225</v>
      </c>
      <c r="P203" s="3">
        <v>46215.385416666701</v>
      </c>
      <c r="Q203" s="2" t="s">
        <v>734</v>
      </c>
      <c r="R203" s="3">
        <v>46235.385416666701</v>
      </c>
      <c r="S203" s="2" t="s">
        <v>734</v>
      </c>
      <c r="T203" s="34"/>
      <c r="U203" s="1" t="s">
        <v>31</v>
      </c>
    </row>
    <row r="204" spans="2:21" ht="43.5" customHeight="1">
      <c r="B204" s="2" t="s">
        <v>1226</v>
      </c>
      <c r="C204" s="2" t="s">
        <v>1022</v>
      </c>
      <c r="D204" s="2" t="s">
        <v>1022</v>
      </c>
      <c r="E204" s="41">
        <v>1</v>
      </c>
      <c r="F204" s="42">
        <v>1</v>
      </c>
      <c r="G204" s="2" t="s">
        <v>699</v>
      </c>
      <c r="H204" s="2" t="s">
        <v>700</v>
      </c>
      <c r="I204" s="2" t="s">
        <v>701</v>
      </c>
      <c r="J204" s="43" t="s">
        <v>702</v>
      </c>
      <c r="K204" s="30" t="e">
        <f>SUMIF([1]quotation_details!C:C,B204,[1]quotation_details!K:K)</f>
        <v>#VALUE!</v>
      </c>
      <c r="L204" s="43" t="s">
        <v>702</v>
      </c>
      <c r="M204" s="2" t="s">
        <v>737</v>
      </c>
      <c r="N204" s="2" t="s">
        <v>1144</v>
      </c>
      <c r="O204" s="2" t="s">
        <v>1227</v>
      </c>
      <c r="P204" s="3">
        <v>46216.5222222222</v>
      </c>
      <c r="Q204" s="2" t="s">
        <v>737</v>
      </c>
      <c r="R204" s="3">
        <v>46236.5222222222</v>
      </c>
      <c r="S204" s="2" t="s">
        <v>737</v>
      </c>
      <c r="T204" s="34"/>
      <c r="U204" s="1" t="s">
        <v>31</v>
      </c>
    </row>
    <row r="205" spans="2:21" ht="43.5" customHeight="1">
      <c r="B205" s="2" t="s">
        <v>1228</v>
      </c>
      <c r="C205" s="2" t="s">
        <v>1025</v>
      </c>
      <c r="D205" s="2" t="s">
        <v>1025</v>
      </c>
      <c r="E205" s="41">
        <v>1</v>
      </c>
      <c r="F205" s="42">
        <v>1</v>
      </c>
      <c r="G205" s="2" t="s">
        <v>706</v>
      </c>
      <c r="H205" s="2" t="s">
        <v>623</v>
      </c>
      <c r="I205" s="2" t="s">
        <v>701</v>
      </c>
      <c r="J205" s="43" t="s">
        <v>702</v>
      </c>
      <c r="K205" s="30" t="e">
        <f>SUMIF([1]quotation_details!C:C,B205,[1]quotation_details!K:K)</f>
        <v>#VALUE!</v>
      </c>
      <c r="L205" s="43" t="s">
        <v>702</v>
      </c>
      <c r="M205" s="2" t="s">
        <v>92</v>
      </c>
      <c r="N205" s="2" t="s">
        <v>1144</v>
      </c>
      <c r="O205" s="2" t="s">
        <v>1229</v>
      </c>
      <c r="P205" s="3">
        <v>46216.659027777801</v>
      </c>
      <c r="Q205" s="2" t="s">
        <v>92</v>
      </c>
      <c r="R205" s="3">
        <v>46236.659027777801</v>
      </c>
      <c r="S205" s="2" t="s">
        <v>92</v>
      </c>
      <c r="T205" s="34"/>
      <c r="U205" s="1" t="s">
        <v>31</v>
      </c>
    </row>
    <row r="206" spans="2:21" ht="43.5" customHeight="1">
      <c r="B206" s="2" t="s">
        <v>1230</v>
      </c>
      <c r="C206" s="2" t="s">
        <v>1028</v>
      </c>
      <c r="D206" s="2" t="s">
        <v>1028</v>
      </c>
      <c r="E206" s="41">
        <v>1</v>
      </c>
      <c r="F206" s="42">
        <v>1</v>
      </c>
      <c r="G206" s="2" t="s">
        <v>710</v>
      </c>
      <c r="H206" s="2" t="s">
        <v>623</v>
      </c>
      <c r="I206" s="2" t="s">
        <v>701</v>
      </c>
      <c r="J206" s="43" t="s">
        <v>702</v>
      </c>
      <c r="K206" s="30" t="e">
        <f>SUMIF([1]quotation_details!C:C,B206,[1]quotation_details!K:K)</f>
        <v>#VALUE!</v>
      </c>
      <c r="L206" s="43" t="s">
        <v>702</v>
      </c>
      <c r="M206" s="2" t="s">
        <v>742</v>
      </c>
      <c r="N206" s="2" t="s">
        <v>1144</v>
      </c>
      <c r="O206" s="2" t="s">
        <v>1231</v>
      </c>
      <c r="P206" s="3">
        <v>46217.379166666702</v>
      </c>
      <c r="Q206" s="2" t="s">
        <v>742</v>
      </c>
      <c r="R206" s="3">
        <v>46237.379166666702</v>
      </c>
      <c r="S206" s="2" t="s">
        <v>742</v>
      </c>
      <c r="T206" s="34"/>
      <c r="U206" s="1" t="s">
        <v>31</v>
      </c>
    </row>
    <row r="207" spans="2:21" ht="43.5" customHeight="1">
      <c r="B207" s="2" t="s">
        <v>1232</v>
      </c>
      <c r="C207" s="2" t="s">
        <v>1031</v>
      </c>
      <c r="D207" s="2" t="s">
        <v>1031</v>
      </c>
      <c r="E207" s="41">
        <v>1</v>
      </c>
      <c r="F207" s="42">
        <v>1</v>
      </c>
      <c r="G207" s="2" t="s">
        <v>714</v>
      </c>
      <c r="H207" s="2" t="s">
        <v>700</v>
      </c>
      <c r="I207" s="2" t="s">
        <v>701</v>
      </c>
      <c r="J207" s="43" t="s">
        <v>702</v>
      </c>
      <c r="K207" s="30" t="e">
        <f>SUMIF([1]quotation_details!C:C,B207,[1]quotation_details!K:K)</f>
        <v>#VALUE!</v>
      </c>
      <c r="L207" s="43" t="s">
        <v>702</v>
      </c>
      <c r="M207" s="2" t="s">
        <v>745</v>
      </c>
      <c r="N207" s="2" t="s">
        <v>1144</v>
      </c>
      <c r="O207" s="2" t="s">
        <v>1233</v>
      </c>
      <c r="P207" s="3">
        <v>46217.515972222202</v>
      </c>
      <c r="Q207" s="2" t="s">
        <v>745</v>
      </c>
      <c r="R207" s="3">
        <v>46237.515972222202</v>
      </c>
      <c r="S207" s="2" t="s">
        <v>745</v>
      </c>
      <c r="T207" s="34"/>
      <c r="U207" s="1" t="s">
        <v>31</v>
      </c>
    </row>
  </sheetData>
  <phoneticPr fontId="2"/>
  <conditionalFormatting sqref="B7:S7">
    <cfRule type="expression" dxfId="15" priority="1">
      <formula>AND(ISNUMBER(FIND("K",B6)),B7="*")</formula>
    </cfRule>
    <cfRule type="expression" dxfId="14" priority="2">
      <formula>AND(ISNUMBER(FIND("N",B6)),B7="*")</formula>
    </cfRule>
    <cfRule type="expression" dxfId="13" priority="3">
      <formula>B7="*"</formula>
    </cfRule>
    <cfRule type="expression" dxfId="12" priority="4">
      <formula>B7=""</formula>
    </cfRule>
  </conditionalFormatting>
  <dataValidations count="1">
    <dataValidation type="list" allowBlank="1" showInputMessage="1" showErrorMessage="1" sqref="B7:S7" xr:uid="{00000000-0002-0000-0500-000000000000}">
      <formula1>"*,"</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91489-F225-4F95-834B-2F56A740A4F3}">
  <dimension ref="A1:R1001"/>
  <sheetViews>
    <sheetView workbookViewId="0">
      <selection activeCell="B1" sqref="B1"/>
    </sheetView>
  </sheetViews>
  <sheetFormatPr defaultColWidth="9.1796875" defaultRowHeight="14.5"/>
  <cols>
    <col min="1" max="1" width="18.7265625" style="1" customWidth="1"/>
    <col min="2" max="2" width="40.7265625" style="2" customWidth="1"/>
    <col min="3" max="3" width="18.7265625" style="2" customWidth="1"/>
    <col min="4" max="4" width="14.7265625" style="1" customWidth="1"/>
    <col min="5" max="5" width="50.7265625" style="2" customWidth="1"/>
    <col min="6" max="6" width="16.7265625" style="2" customWidth="1"/>
    <col min="7" max="8" width="14.7265625" style="1" customWidth="1"/>
    <col min="9" max="12" width="28.7265625" style="30" customWidth="1"/>
    <col min="13" max="13" width="22.7265625" style="3" customWidth="1"/>
    <col min="14" max="14" width="30.7265625" style="2" customWidth="1"/>
    <col min="15" max="15" width="22.7265625" style="3" customWidth="1"/>
    <col min="16" max="16" width="30.7265625" style="2" customWidth="1"/>
    <col min="17" max="17" width="10.7265625" style="1" customWidth="1"/>
    <col min="18" max="18" width="48.7265625" style="1" customWidth="1"/>
    <col min="19" max="19" width="9.1796875" style="1" customWidth="1"/>
    <col min="20" max="16384" width="9.1796875" style="1"/>
  </cols>
  <sheetData>
    <row r="1" spans="1:18" s="4" customFormat="1">
      <c r="A1" s="5" t="s">
        <v>0</v>
      </c>
      <c r="B1" s="6" t="s">
        <v>1235</v>
      </c>
      <c r="C1" s="7" t="s">
        <v>2</v>
      </c>
      <c r="D1" s="44" t="s">
        <v>1234</v>
      </c>
      <c r="E1" s="9"/>
      <c r="F1" s="9"/>
      <c r="I1" s="26"/>
      <c r="J1" s="26"/>
      <c r="K1" s="26"/>
      <c r="L1" s="26"/>
      <c r="M1" s="8"/>
      <c r="N1" s="9"/>
      <c r="O1" s="8"/>
      <c r="P1" s="9"/>
    </row>
    <row r="2" spans="1:18" s="4" customFormat="1">
      <c r="A2" s="5" t="s">
        <v>4</v>
      </c>
      <c r="B2" s="35"/>
      <c r="C2" s="9"/>
      <c r="E2" s="9"/>
      <c r="F2" s="9"/>
      <c r="I2" s="26"/>
      <c r="J2" s="26"/>
      <c r="K2" s="26"/>
      <c r="L2" s="26"/>
      <c r="M2" s="8"/>
      <c r="N2" s="9"/>
      <c r="O2" s="8"/>
      <c r="P2" s="9"/>
    </row>
    <row r="3" spans="1:18" s="4" customFormat="1">
      <c r="A3" s="10" t="s">
        <v>6</v>
      </c>
      <c r="B3" s="11" t="s">
        <v>1236</v>
      </c>
      <c r="C3" s="12" t="s">
        <v>669</v>
      </c>
      <c r="D3" s="22" t="s">
        <v>1237</v>
      </c>
      <c r="E3" s="12" t="s">
        <v>1238</v>
      </c>
      <c r="F3" s="12" t="s">
        <v>490</v>
      </c>
      <c r="G3" s="22" t="s">
        <v>1239</v>
      </c>
      <c r="H3" s="22" t="s">
        <v>1240</v>
      </c>
      <c r="I3" s="27" t="s">
        <v>1241</v>
      </c>
      <c r="J3" s="27" t="s">
        <v>1242</v>
      </c>
      <c r="K3" s="27" t="s">
        <v>1243</v>
      </c>
      <c r="L3" s="27" t="s">
        <v>1244</v>
      </c>
      <c r="M3" s="13" t="s">
        <v>10</v>
      </c>
      <c r="N3" s="12" t="s">
        <v>11</v>
      </c>
      <c r="O3" s="13" t="s">
        <v>12</v>
      </c>
      <c r="P3" s="12" t="s">
        <v>13</v>
      </c>
      <c r="Q3" s="14" t="s">
        <v>14</v>
      </c>
      <c r="R3" s="14" t="s">
        <v>15</v>
      </c>
    </row>
    <row r="4" spans="1:18" s="4" customFormat="1">
      <c r="A4" s="10" t="s">
        <v>16</v>
      </c>
      <c r="B4" s="11" t="s">
        <v>1245</v>
      </c>
      <c r="C4" s="12" t="s">
        <v>679</v>
      </c>
      <c r="D4" s="16" t="s">
        <v>1246</v>
      </c>
      <c r="E4" s="12" t="s">
        <v>1247</v>
      </c>
      <c r="F4" s="12" t="s">
        <v>1248</v>
      </c>
      <c r="G4" s="16" t="s">
        <v>1249</v>
      </c>
      <c r="H4" s="16" t="s">
        <v>1250</v>
      </c>
      <c r="I4" s="28" t="s">
        <v>1251</v>
      </c>
      <c r="J4" s="28" t="s">
        <v>1252</v>
      </c>
      <c r="K4" s="28" t="s">
        <v>1253</v>
      </c>
      <c r="L4" s="28" t="s">
        <v>1254</v>
      </c>
      <c r="M4" s="15" t="s">
        <v>20</v>
      </c>
      <c r="N4" s="12" t="s">
        <v>21</v>
      </c>
      <c r="O4" s="15" t="s">
        <v>22</v>
      </c>
      <c r="P4" s="12" t="s">
        <v>23</v>
      </c>
      <c r="Q4" s="16"/>
      <c r="R4" s="16"/>
    </row>
    <row r="5" spans="1:18" s="4" customFormat="1">
      <c r="A5" s="10" t="s">
        <v>24</v>
      </c>
      <c r="B5" s="11" t="s">
        <v>1255</v>
      </c>
      <c r="C5" s="12" t="s">
        <v>693</v>
      </c>
      <c r="D5" s="22" t="s">
        <v>520</v>
      </c>
      <c r="E5" s="12" t="s">
        <v>1256</v>
      </c>
      <c r="F5" s="12" t="s">
        <v>75</v>
      </c>
      <c r="G5" s="22" t="s">
        <v>520</v>
      </c>
      <c r="H5" s="22" t="s">
        <v>520</v>
      </c>
      <c r="I5" s="27" t="s">
        <v>521</v>
      </c>
      <c r="J5" s="27" t="s">
        <v>696</v>
      </c>
      <c r="K5" s="27" t="s">
        <v>696</v>
      </c>
      <c r="L5" s="27" t="s">
        <v>696</v>
      </c>
      <c r="M5" s="13" t="s">
        <v>27</v>
      </c>
      <c r="N5" s="12" t="s">
        <v>28</v>
      </c>
      <c r="O5" s="13" t="s">
        <v>27</v>
      </c>
      <c r="P5" s="12" t="s">
        <v>28</v>
      </c>
      <c r="Q5" s="16"/>
      <c r="R5" s="16"/>
    </row>
    <row r="6" spans="1:18" s="4" customFormat="1">
      <c r="A6" s="5" t="s">
        <v>29</v>
      </c>
      <c r="B6" s="11" t="s">
        <v>30</v>
      </c>
      <c r="C6" s="12" t="s">
        <v>31</v>
      </c>
      <c r="D6" s="22" t="s">
        <v>31</v>
      </c>
      <c r="E6" s="12" t="s">
        <v>31</v>
      </c>
      <c r="F6" s="12" t="s">
        <v>31</v>
      </c>
      <c r="G6" s="22" t="s">
        <v>32</v>
      </c>
      <c r="H6" s="22" t="s">
        <v>32</v>
      </c>
      <c r="I6" s="27" t="s">
        <v>32</v>
      </c>
      <c r="J6" s="27" t="s">
        <v>32</v>
      </c>
      <c r="K6" s="27" t="s">
        <v>32</v>
      </c>
      <c r="L6" s="27" t="s">
        <v>32</v>
      </c>
      <c r="M6" s="13" t="s">
        <v>33</v>
      </c>
      <c r="N6" s="12" t="s">
        <v>31</v>
      </c>
      <c r="O6" s="13" t="s">
        <v>33</v>
      </c>
      <c r="P6" s="12" t="s">
        <v>31</v>
      </c>
      <c r="Q6" s="16"/>
      <c r="R6" s="16"/>
    </row>
    <row r="7" spans="1:18">
      <c r="A7" s="17" t="s">
        <v>34</v>
      </c>
      <c r="B7" s="18" t="s">
        <v>35</v>
      </c>
      <c r="C7" s="19" t="s">
        <v>35</v>
      </c>
      <c r="D7" s="23" t="s">
        <v>35</v>
      </c>
      <c r="E7" s="19" t="s">
        <v>35</v>
      </c>
      <c r="F7" s="19" t="s">
        <v>35</v>
      </c>
      <c r="G7" s="23" t="s">
        <v>35</v>
      </c>
      <c r="H7" s="23" t="s">
        <v>35</v>
      </c>
      <c r="I7" s="29" t="s">
        <v>35</v>
      </c>
      <c r="J7" s="29" t="s">
        <v>35</v>
      </c>
      <c r="K7" s="29" t="s">
        <v>35</v>
      </c>
      <c r="L7" s="29" t="s">
        <v>35</v>
      </c>
      <c r="M7" s="20" t="s">
        <v>35</v>
      </c>
      <c r="N7" s="19" t="s">
        <v>35</v>
      </c>
      <c r="O7" s="20" t="s">
        <v>35</v>
      </c>
      <c r="P7" s="19" t="s">
        <v>35</v>
      </c>
      <c r="Q7" s="21"/>
      <c r="R7" s="21"/>
    </row>
    <row r="8" spans="1:18">
      <c r="B8" s="2" t="s">
        <v>1257</v>
      </c>
      <c r="C8" s="2" t="s">
        <v>698</v>
      </c>
      <c r="D8" s="1">
        <v>1</v>
      </c>
      <c r="E8" s="2" t="s">
        <v>1258</v>
      </c>
      <c r="F8" s="2" t="s">
        <v>1259</v>
      </c>
      <c r="G8" s="45" t="s">
        <v>702</v>
      </c>
      <c r="H8" s="1">
        <v>2</v>
      </c>
      <c r="I8" s="43" t="s">
        <v>702</v>
      </c>
      <c r="J8" s="43" t="s">
        <v>702</v>
      </c>
      <c r="K8" s="30">
        <v>70000</v>
      </c>
      <c r="L8" s="43" t="s">
        <v>702</v>
      </c>
      <c r="M8" s="3">
        <v>46126.381944444402</v>
      </c>
      <c r="N8" s="2" t="s">
        <v>703</v>
      </c>
      <c r="O8" s="3">
        <v>46146.381944444402</v>
      </c>
      <c r="P8" s="2" t="s">
        <v>703</v>
      </c>
      <c r="Q8" s="34"/>
      <c r="R8" s="1" t="s">
        <v>31</v>
      </c>
    </row>
    <row r="9" spans="1:18">
      <c r="B9" s="2" t="s">
        <v>1260</v>
      </c>
      <c r="C9" s="2" t="s">
        <v>698</v>
      </c>
      <c r="D9" s="1">
        <v>2</v>
      </c>
      <c r="E9" s="2" t="s">
        <v>1261</v>
      </c>
      <c r="F9" s="2" t="s">
        <v>1262</v>
      </c>
      <c r="G9" s="1">
        <v>5</v>
      </c>
      <c r="H9" s="45" t="s">
        <v>702</v>
      </c>
      <c r="I9" s="43" t="s">
        <v>702</v>
      </c>
      <c r="J9" s="43" t="s">
        <v>702</v>
      </c>
      <c r="K9" s="30">
        <v>75000</v>
      </c>
      <c r="L9" s="43" t="s">
        <v>702</v>
      </c>
      <c r="M9" s="3">
        <v>46126.381944444402</v>
      </c>
      <c r="N9" s="2" t="s">
        <v>703</v>
      </c>
      <c r="O9" s="3">
        <v>46146.381944444402</v>
      </c>
      <c r="P9" s="2" t="s">
        <v>703</v>
      </c>
      <c r="Q9" s="34"/>
      <c r="R9" s="1" t="s">
        <v>31</v>
      </c>
    </row>
    <row r="10" spans="1:18">
      <c r="B10" s="2" t="s">
        <v>1263</v>
      </c>
      <c r="C10" s="2" t="s">
        <v>698</v>
      </c>
      <c r="D10" s="1">
        <v>3</v>
      </c>
      <c r="E10" s="2" t="s">
        <v>1264</v>
      </c>
      <c r="F10" s="2" t="s">
        <v>1265</v>
      </c>
      <c r="G10" s="45" t="s">
        <v>702</v>
      </c>
      <c r="H10" s="45">
        <v>1</v>
      </c>
      <c r="I10" s="43" t="s">
        <v>702</v>
      </c>
      <c r="J10" s="43" t="s">
        <v>702</v>
      </c>
      <c r="K10" s="30">
        <v>50000</v>
      </c>
      <c r="L10" s="43" t="s">
        <v>702</v>
      </c>
      <c r="M10" s="3">
        <v>46126.381944444402</v>
      </c>
      <c r="N10" s="2" t="s">
        <v>703</v>
      </c>
      <c r="O10" s="3">
        <v>46146.381944444402</v>
      </c>
      <c r="P10" s="2" t="s">
        <v>703</v>
      </c>
      <c r="Q10" s="34"/>
      <c r="R10" s="1" t="s">
        <v>31</v>
      </c>
    </row>
    <row r="11" spans="1:18">
      <c r="B11" s="2" t="s">
        <v>1266</v>
      </c>
      <c r="C11" s="2" t="s">
        <v>698</v>
      </c>
      <c r="D11" s="1">
        <v>4</v>
      </c>
      <c r="E11" s="2" t="s">
        <v>1267</v>
      </c>
      <c r="F11" s="2" t="s">
        <v>1268</v>
      </c>
      <c r="G11" s="45">
        <v>9</v>
      </c>
      <c r="H11" s="45" t="s">
        <v>702</v>
      </c>
      <c r="I11" s="43" t="s">
        <v>702</v>
      </c>
      <c r="J11" s="43" t="s">
        <v>702</v>
      </c>
      <c r="K11" s="30">
        <v>67500</v>
      </c>
      <c r="L11" s="43" t="s">
        <v>702</v>
      </c>
      <c r="M11" s="3">
        <v>46126.381944444402</v>
      </c>
      <c r="N11" s="2" t="s">
        <v>703</v>
      </c>
      <c r="O11" s="3">
        <v>46146.381944444402</v>
      </c>
      <c r="P11" s="2" t="s">
        <v>703</v>
      </c>
      <c r="Q11" s="34"/>
      <c r="R11" s="1" t="s">
        <v>31</v>
      </c>
    </row>
    <row r="12" spans="1:18">
      <c r="B12" s="2" t="s">
        <v>1269</v>
      </c>
      <c r="C12" s="2" t="s">
        <v>705</v>
      </c>
      <c r="D12" s="1">
        <v>1</v>
      </c>
      <c r="E12" s="2" t="s">
        <v>1270</v>
      </c>
      <c r="F12" s="2" t="s">
        <v>1271</v>
      </c>
      <c r="G12" s="1">
        <v>4</v>
      </c>
      <c r="H12" s="45" t="s">
        <v>702</v>
      </c>
      <c r="I12" s="43" t="s">
        <v>702</v>
      </c>
      <c r="J12" s="43" t="s">
        <v>702</v>
      </c>
      <c r="K12" s="30">
        <v>40000</v>
      </c>
      <c r="L12" s="43" t="s">
        <v>702</v>
      </c>
      <c r="M12" s="3">
        <v>46126.518750000003</v>
      </c>
      <c r="N12" s="2" t="s">
        <v>707</v>
      </c>
      <c r="O12" s="3">
        <v>46146.518750000003</v>
      </c>
      <c r="P12" s="2" t="s">
        <v>707</v>
      </c>
      <c r="Q12" s="34"/>
      <c r="R12" s="1" t="s">
        <v>31</v>
      </c>
    </row>
    <row r="13" spans="1:18">
      <c r="B13" s="2" t="s">
        <v>1272</v>
      </c>
      <c r="C13" s="2" t="s">
        <v>705</v>
      </c>
      <c r="D13" s="1">
        <v>2</v>
      </c>
      <c r="E13" s="2" t="s">
        <v>1273</v>
      </c>
      <c r="F13" s="2" t="s">
        <v>1274</v>
      </c>
      <c r="G13" s="45" t="s">
        <v>702</v>
      </c>
      <c r="H13" s="1">
        <v>1</v>
      </c>
      <c r="I13" s="43" t="s">
        <v>702</v>
      </c>
      <c r="J13" s="43" t="s">
        <v>702</v>
      </c>
      <c r="K13" s="30">
        <v>40000</v>
      </c>
      <c r="L13" s="43" t="s">
        <v>702</v>
      </c>
      <c r="M13" s="3">
        <v>46126.518750000003</v>
      </c>
      <c r="N13" s="2" t="s">
        <v>707</v>
      </c>
      <c r="O13" s="3">
        <v>46146.518750000003</v>
      </c>
      <c r="P13" s="2" t="s">
        <v>707</v>
      </c>
      <c r="Q13" s="34"/>
      <c r="R13" s="1" t="s">
        <v>31</v>
      </c>
    </row>
    <row r="14" spans="1:18">
      <c r="B14" s="2" t="s">
        <v>1275</v>
      </c>
      <c r="C14" s="2" t="s">
        <v>705</v>
      </c>
      <c r="D14" s="1">
        <v>3</v>
      </c>
      <c r="E14" s="2" t="s">
        <v>1276</v>
      </c>
      <c r="F14" s="2" t="s">
        <v>1277</v>
      </c>
      <c r="G14" s="1">
        <v>8</v>
      </c>
      <c r="H14" s="45" t="s">
        <v>702</v>
      </c>
      <c r="I14" s="43" t="s">
        <v>702</v>
      </c>
      <c r="J14" s="43" t="s">
        <v>702</v>
      </c>
      <c r="K14" s="30">
        <v>100000</v>
      </c>
      <c r="L14" s="43" t="s">
        <v>702</v>
      </c>
      <c r="M14" s="3">
        <v>46126.518750000003</v>
      </c>
      <c r="N14" s="2" t="s">
        <v>707</v>
      </c>
      <c r="O14" s="3">
        <v>46146.518750000003</v>
      </c>
      <c r="P14" s="2" t="s">
        <v>707</v>
      </c>
      <c r="Q14" s="34"/>
      <c r="R14" s="1" t="s">
        <v>31</v>
      </c>
    </row>
    <row r="15" spans="1:18">
      <c r="B15" s="2" t="s">
        <v>1278</v>
      </c>
      <c r="C15" s="2" t="s">
        <v>705</v>
      </c>
      <c r="D15" s="1">
        <v>4</v>
      </c>
      <c r="E15" s="2" t="s">
        <v>1279</v>
      </c>
      <c r="F15" s="2" t="s">
        <v>1280</v>
      </c>
      <c r="G15" s="45" t="s">
        <v>702</v>
      </c>
      <c r="H15" s="1">
        <v>3</v>
      </c>
      <c r="I15" s="43" t="s">
        <v>702</v>
      </c>
      <c r="J15" s="43" t="s">
        <v>702</v>
      </c>
      <c r="K15" s="30">
        <v>127500</v>
      </c>
      <c r="L15" s="43" t="s">
        <v>702</v>
      </c>
      <c r="M15" s="3">
        <v>46126.518750000003</v>
      </c>
      <c r="N15" s="2" t="s">
        <v>707</v>
      </c>
      <c r="O15" s="3">
        <v>46146.518750000003</v>
      </c>
      <c r="P15" s="2" t="s">
        <v>707</v>
      </c>
      <c r="Q15" s="34"/>
      <c r="R15" s="1" t="s">
        <v>31</v>
      </c>
    </row>
    <row r="16" spans="1:18">
      <c r="B16" s="2" t="s">
        <v>1281</v>
      </c>
      <c r="C16" s="2" t="s">
        <v>709</v>
      </c>
      <c r="D16" s="1">
        <v>1</v>
      </c>
      <c r="E16" s="2" t="s">
        <v>1282</v>
      </c>
      <c r="F16" s="2" t="s">
        <v>1283</v>
      </c>
      <c r="G16" s="45" t="s">
        <v>702</v>
      </c>
      <c r="H16" s="45">
        <v>1</v>
      </c>
      <c r="I16" s="43" t="s">
        <v>702</v>
      </c>
      <c r="J16" s="43" t="s">
        <v>702</v>
      </c>
      <c r="K16" s="30">
        <v>50000</v>
      </c>
      <c r="L16" s="43" t="s">
        <v>702</v>
      </c>
      <c r="M16" s="3">
        <v>46127.655555555597</v>
      </c>
      <c r="N16" s="2" t="s">
        <v>711</v>
      </c>
      <c r="O16" s="3">
        <v>46147.655555555597</v>
      </c>
      <c r="P16" s="2" t="s">
        <v>711</v>
      </c>
      <c r="Q16" s="34"/>
      <c r="R16" s="1" t="s">
        <v>31</v>
      </c>
    </row>
    <row r="17" spans="2:18">
      <c r="B17" s="2" t="s">
        <v>1284</v>
      </c>
      <c r="C17" s="2" t="s">
        <v>709</v>
      </c>
      <c r="D17" s="1">
        <v>2</v>
      </c>
      <c r="E17" s="2" t="s">
        <v>1285</v>
      </c>
      <c r="F17" s="2" t="s">
        <v>1286</v>
      </c>
      <c r="G17" s="1">
        <v>7</v>
      </c>
      <c r="H17" s="45" t="s">
        <v>702</v>
      </c>
      <c r="I17" s="43" t="s">
        <v>702</v>
      </c>
      <c r="J17" s="43" t="s">
        <v>702</v>
      </c>
      <c r="K17" s="30">
        <v>70000</v>
      </c>
      <c r="L17" s="43" t="s">
        <v>702</v>
      </c>
      <c r="M17" s="3">
        <v>46127.655555555597</v>
      </c>
      <c r="N17" s="2" t="s">
        <v>711</v>
      </c>
      <c r="O17" s="3">
        <v>46147.655555555597</v>
      </c>
      <c r="P17" s="2" t="s">
        <v>711</v>
      </c>
      <c r="Q17" s="34"/>
      <c r="R17" s="1" t="s">
        <v>31</v>
      </c>
    </row>
    <row r="18" spans="2:18">
      <c r="B18" s="2" t="s">
        <v>1287</v>
      </c>
      <c r="C18" s="2" t="s">
        <v>709</v>
      </c>
      <c r="D18" s="1">
        <v>3</v>
      </c>
      <c r="E18" s="2" t="s">
        <v>1288</v>
      </c>
      <c r="F18" s="2" t="s">
        <v>1289</v>
      </c>
      <c r="G18" s="45" t="s">
        <v>702</v>
      </c>
      <c r="H18" s="1">
        <v>3</v>
      </c>
      <c r="I18" s="43" t="s">
        <v>702</v>
      </c>
      <c r="J18" s="43" t="s">
        <v>702</v>
      </c>
      <c r="K18" s="30">
        <v>120000</v>
      </c>
      <c r="L18" s="43" t="s">
        <v>702</v>
      </c>
      <c r="M18" s="3">
        <v>46127.655555555597</v>
      </c>
      <c r="N18" s="2" t="s">
        <v>711</v>
      </c>
      <c r="O18" s="3">
        <v>46147.655555555597</v>
      </c>
      <c r="P18" s="2" t="s">
        <v>711</v>
      </c>
      <c r="Q18" s="34"/>
      <c r="R18" s="1" t="s">
        <v>31</v>
      </c>
    </row>
    <row r="19" spans="2:18">
      <c r="B19" s="2" t="s">
        <v>1290</v>
      </c>
      <c r="C19" s="2" t="s">
        <v>709</v>
      </c>
      <c r="D19" s="1">
        <v>4</v>
      </c>
      <c r="E19" s="2" t="s">
        <v>1291</v>
      </c>
      <c r="F19" s="2" t="s">
        <v>1292</v>
      </c>
      <c r="G19" s="1">
        <v>11</v>
      </c>
      <c r="H19" s="45" t="s">
        <v>702</v>
      </c>
      <c r="I19" s="43" t="s">
        <v>702</v>
      </c>
      <c r="J19" s="43" t="s">
        <v>702</v>
      </c>
      <c r="K19" s="30">
        <v>165000</v>
      </c>
      <c r="L19" s="43" t="s">
        <v>702</v>
      </c>
      <c r="M19" s="3">
        <v>46127.655555555597</v>
      </c>
      <c r="N19" s="2" t="s">
        <v>711</v>
      </c>
      <c r="O19" s="3">
        <v>46147.655555555597</v>
      </c>
      <c r="P19" s="2" t="s">
        <v>711</v>
      </c>
      <c r="Q19" s="34"/>
      <c r="R19" s="1" t="s">
        <v>31</v>
      </c>
    </row>
    <row r="20" spans="2:18">
      <c r="B20" s="2" t="s">
        <v>1293</v>
      </c>
      <c r="C20" s="2" t="s">
        <v>713</v>
      </c>
      <c r="D20" s="1">
        <v>1</v>
      </c>
      <c r="E20" s="2" t="s">
        <v>1294</v>
      </c>
      <c r="F20" s="2" t="s">
        <v>1295</v>
      </c>
      <c r="G20" s="45">
        <v>6</v>
      </c>
      <c r="H20" s="45" t="s">
        <v>702</v>
      </c>
      <c r="I20" s="43" t="s">
        <v>702</v>
      </c>
      <c r="J20" s="43" t="s">
        <v>702</v>
      </c>
      <c r="K20" s="30">
        <v>18000</v>
      </c>
      <c r="L20" s="43" t="s">
        <v>702</v>
      </c>
      <c r="M20" s="3">
        <v>46127.417361111096</v>
      </c>
      <c r="N20" s="2" t="s">
        <v>715</v>
      </c>
      <c r="O20" s="3">
        <v>46147.417361111096</v>
      </c>
      <c r="P20" s="2" t="s">
        <v>715</v>
      </c>
      <c r="Q20" s="34"/>
      <c r="R20" s="1" t="s">
        <v>31</v>
      </c>
    </row>
    <row r="21" spans="2:18">
      <c r="B21" s="2" t="s">
        <v>1296</v>
      </c>
      <c r="C21" s="2" t="s">
        <v>713</v>
      </c>
      <c r="D21" s="1">
        <v>2</v>
      </c>
      <c r="E21" s="2" t="s">
        <v>1297</v>
      </c>
      <c r="F21" s="2" t="s">
        <v>1298</v>
      </c>
      <c r="G21" s="45" t="s">
        <v>702</v>
      </c>
      <c r="H21" s="45">
        <v>3</v>
      </c>
      <c r="I21" s="43" t="s">
        <v>702</v>
      </c>
      <c r="J21" s="43" t="s">
        <v>702</v>
      </c>
      <c r="K21" s="30">
        <v>60000</v>
      </c>
      <c r="L21" s="43" t="s">
        <v>702</v>
      </c>
      <c r="M21" s="3">
        <v>46127.417361111096</v>
      </c>
      <c r="N21" s="2" t="s">
        <v>715</v>
      </c>
      <c r="O21" s="3">
        <v>46147.417361111096</v>
      </c>
      <c r="P21" s="2" t="s">
        <v>715</v>
      </c>
      <c r="Q21" s="34"/>
      <c r="R21" s="1" t="s">
        <v>31</v>
      </c>
    </row>
    <row r="22" spans="2:18">
      <c r="B22" s="2" t="s">
        <v>1299</v>
      </c>
      <c r="C22" s="2" t="s">
        <v>713</v>
      </c>
      <c r="D22" s="1">
        <v>3</v>
      </c>
      <c r="E22" s="2" t="s">
        <v>1300</v>
      </c>
      <c r="F22" s="2" t="s">
        <v>1301</v>
      </c>
      <c r="G22" s="45">
        <v>10</v>
      </c>
      <c r="H22" s="45" t="s">
        <v>702</v>
      </c>
      <c r="I22" s="43" t="s">
        <v>702</v>
      </c>
      <c r="J22" s="43" t="s">
        <v>702</v>
      </c>
      <c r="K22" s="30">
        <v>70000</v>
      </c>
      <c r="L22" s="43" t="s">
        <v>702</v>
      </c>
      <c r="M22" s="3">
        <v>46127.417361111096</v>
      </c>
      <c r="N22" s="2" t="s">
        <v>715</v>
      </c>
      <c r="O22" s="3">
        <v>46147.417361111096</v>
      </c>
      <c r="P22" s="2" t="s">
        <v>715</v>
      </c>
      <c r="Q22" s="34"/>
      <c r="R22" s="1" t="s">
        <v>31</v>
      </c>
    </row>
    <row r="23" spans="2:18" ht="29" customHeight="1">
      <c r="B23" s="2" t="s">
        <v>1302</v>
      </c>
      <c r="C23" s="2" t="s">
        <v>713</v>
      </c>
      <c r="D23" s="1">
        <v>4</v>
      </c>
      <c r="E23" s="2" t="s">
        <v>1303</v>
      </c>
      <c r="F23" s="2" t="s">
        <v>1304</v>
      </c>
      <c r="G23" s="45" t="s">
        <v>702</v>
      </c>
      <c r="H23" s="45">
        <v>2</v>
      </c>
      <c r="I23" s="43" t="s">
        <v>702</v>
      </c>
      <c r="J23" s="43" t="s">
        <v>702</v>
      </c>
      <c r="K23" s="30">
        <v>40000</v>
      </c>
      <c r="L23" s="43" t="s">
        <v>702</v>
      </c>
      <c r="M23" s="3">
        <v>46127.417361111096</v>
      </c>
      <c r="N23" s="2" t="s">
        <v>715</v>
      </c>
      <c r="O23" s="3">
        <v>46147.417361111096</v>
      </c>
      <c r="P23" s="2" t="s">
        <v>715</v>
      </c>
      <c r="Q23" s="34"/>
      <c r="R23" s="1" t="s">
        <v>31</v>
      </c>
    </row>
    <row r="24" spans="2:18">
      <c r="B24" s="2" t="s">
        <v>1305</v>
      </c>
      <c r="C24" s="2" t="s">
        <v>718</v>
      </c>
      <c r="D24" s="1">
        <v>1</v>
      </c>
      <c r="E24" s="2" t="s">
        <v>1306</v>
      </c>
      <c r="F24" s="2" t="s">
        <v>1307</v>
      </c>
      <c r="G24" s="45" t="s">
        <v>702</v>
      </c>
      <c r="H24" s="1">
        <v>3</v>
      </c>
      <c r="I24" s="43" t="s">
        <v>702</v>
      </c>
      <c r="J24" s="43" t="s">
        <v>702</v>
      </c>
      <c r="K24" s="30">
        <v>90000</v>
      </c>
      <c r="L24" s="43" t="s">
        <v>702</v>
      </c>
      <c r="M24" s="3">
        <v>46128.512499999997</v>
      </c>
      <c r="N24" s="2" t="s">
        <v>719</v>
      </c>
      <c r="O24" s="3">
        <v>46148.512499999997</v>
      </c>
      <c r="P24" s="2" t="s">
        <v>719</v>
      </c>
      <c r="Q24" s="34"/>
      <c r="R24" s="1" t="s">
        <v>31</v>
      </c>
    </row>
    <row r="25" spans="2:18">
      <c r="B25" s="2" t="s">
        <v>1308</v>
      </c>
      <c r="C25" s="2" t="s">
        <v>718</v>
      </c>
      <c r="D25" s="1">
        <v>2</v>
      </c>
      <c r="E25" s="2" t="s">
        <v>1309</v>
      </c>
      <c r="F25" s="2" t="s">
        <v>1310</v>
      </c>
      <c r="G25" s="1">
        <v>9</v>
      </c>
      <c r="H25" s="45" t="s">
        <v>702</v>
      </c>
      <c r="I25" s="43" t="s">
        <v>702</v>
      </c>
      <c r="J25" s="43" t="s">
        <v>702</v>
      </c>
      <c r="K25" s="30">
        <v>108000</v>
      </c>
      <c r="L25" s="43" t="s">
        <v>702</v>
      </c>
      <c r="M25" s="3">
        <v>46128.512499999997</v>
      </c>
      <c r="N25" s="2" t="s">
        <v>719</v>
      </c>
      <c r="O25" s="3">
        <v>46148.512499999997</v>
      </c>
      <c r="P25" s="2" t="s">
        <v>719</v>
      </c>
      <c r="Q25" s="34"/>
      <c r="R25" s="1" t="s">
        <v>31</v>
      </c>
    </row>
    <row r="26" spans="2:18" ht="29" customHeight="1">
      <c r="B26" s="2" t="s">
        <v>1311</v>
      </c>
      <c r="C26" s="2" t="s">
        <v>718</v>
      </c>
      <c r="D26" s="1">
        <v>3</v>
      </c>
      <c r="E26" s="2" t="s">
        <v>1312</v>
      </c>
      <c r="F26" s="2" t="s">
        <v>1313</v>
      </c>
      <c r="G26" s="45" t="s">
        <v>702</v>
      </c>
      <c r="H26" s="1">
        <v>2</v>
      </c>
      <c r="I26" s="43" t="s">
        <v>702</v>
      </c>
      <c r="J26" s="43" t="s">
        <v>702</v>
      </c>
      <c r="K26" s="30">
        <v>80000</v>
      </c>
      <c r="L26" s="43" t="s">
        <v>702</v>
      </c>
      <c r="M26" s="3">
        <v>46128.512499999997</v>
      </c>
      <c r="N26" s="2" t="s">
        <v>719</v>
      </c>
      <c r="O26" s="3">
        <v>46148.512499999997</v>
      </c>
      <c r="P26" s="2" t="s">
        <v>719</v>
      </c>
      <c r="Q26" s="34"/>
      <c r="R26" s="1" t="s">
        <v>31</v>
      </c>
    </row>
    <row r="27" spans="2:18">
      <c r="B27" s="2" t="s">
        <v>1314</v>
      </c>
      <c r="C27" s="2" t="s">
        <v>718</v>
      </c>
      <c r="D27" s="1">
        <v>4</v>
      </c>
      <c r="E27" s="2" t="s">
        <v>1315</v>
      </c>
      <c r="F27" s="2" t="s">
        <v>1316</v>
      </c>
      <c r="G27" s="1">
        <v>1</v>
      </c>
      <c r="H27" s="45" t="s">
        <v>702</v>
      </c>
      <c r="I27" s="43" t="s">
        <v>702</v>
      </c>
      <c r="J27" s="43" t="s">
        <v>702</v>
      </c>
      <c r="K27" s="30">
        <v>15000</v>
      </c>
      <c r="L27" s="43" t="s">
        <v>702</v>
      </c>
      <c r="M27" s="3">
        <v>46128.512499999997</v>
      </c>
      <c r="N27" s="2" t="s">
        <v>719</v>
      </c>
      <c r="O27" s="3">
        <v>46148.512499999997</v>
      </c>
      <c r="P27" s="2" t="s">
        <v>719</v>
      </c>
      <c r="Q27" s="34"/>
      <c r="R27" s="1" t="s">
        <v>31</v>
      </c>
    </row>
    <row r="28" spans="2:18">
      <c r="B28" s="2" t="s">
        <v>1317</v>
      </c>
      <c r="C28" s="2" t="s">
        <v>721</v>
      </c>
      <c r="D28" s="1">
        <v>1</v>
      </c>
      <c r="E28" s="2" t="s">
        <v>1318</v>
      </c>
      <c r="F28" s="2" t="s">
        <v>1319</v>
      </c>
      <c r="G28" s="1">
        <v>8</v>
      </c>
      <c r="H28" s="45" t="s">
        <v>702</v>
      </c>
      <c r="I28" s="43" t="s">
        <v>702</v>
      </c>
      <c r="J28" s="43" t="s">
        <v>702</v>
      </c>
      <c r="K28" s="30">
        <v>140000</v>
      </c>
      <c r="L28" s="43" t="s">
        <v>702</v>
      </c>
      <c r="M28" s="3">
        <v>46128.649305555598</v>
      </c>
      <c r="N28" s="2" t="s">
        <v>722</v>
      </c>
      <c r="O28" s="3">
        <v>46148.649305555598</v>
      </c>
      <c r="P28" s="2" t="s">
        <v>722</v>
      </c>
      <c r="Q28" s="34"/>
      <c r="R28" s="1" t="s">
        <v>31</v>
      </c>
    </row>
    <row r="29" spans="2:18" ht="29" customHeight="1">
      <c r="B29" s="2" t="s">
        <v>1320</v>
      </c>
      <c r="C29" s="2" t="s">
        <v>721</v>
      </c>
      <c r="D29" s="1">
        <v>2</v>
      </c>
      <c r="E29" s="2" t="s">
        <v>1321</v>
      </c>
      <c r="F29" s="2" t="s">
        <v>1259</v>
      </c>
      <c r="G29" s="45" t="s">
        <v>702</v>
      </c>
      <c r="H29" s="1">
        <v>2</v>
      </c>
      <c r="I29" s="43" t="s">
        <v>702</v>
      </c>
      <c r="J29" s="43" t="s">
        <v>702</v>
      </c>
      <c r="K29" s="30">
        <v>70000</v>
      </c>
      <c r="L29" s="43" t="s">
        <v>702</v>
      </c>
      <c r="M29" s="3">
        <v>46128.649305555598</v>
      </c>
      <c r="N29" s="2" t="s">
        <v>722</v>
      </c>
      <c r="O29" s="3">
        <v>46148.649305555598</v>
      </c>
      <c r="P29" s="2" t="s">
        <v>722</v>
      </c>
      <c r="Q29" s="34"/>
      <c r="R29" s="1" t="s">
        <v>31</v>
      </c>
    </row>
    <row r="30" spans="2:18">
      <c r="B30" s="2" t="s">
        <v>1322</v>
      </c>
      <c r="C30" s="2" t="s">
        <v>721</v>
      </c>
      <c r="D30" s="1">
        <v>3</v>
      </c>
      <c r="E30" s="2" t="s">
        <v>1323</v>
      </c>
      <c r="F30" s="2" t="s">
        <v>1262</v>
      </c>
      <c r="G30" s="1">
        <v>12</v>
      </c>
      <c r="H30" s="45" t="s">
        <v>702</v>
      </c>
      <c r="I30" s="43" t="s">
        <v>702</v>
      </c>
      <c r="J30" s="43" t="s">
        <v>702</v>
      </c>
      <c r="K30" s="30">
        <v>180000</v>
      </c>
      <c r="L30" s="43" t="s">
        <v>702</v>
      </c>
      <c r="M30" s="3">
        <v>46128.649305555598</v>
      </c>
      <c r="N30" s="2" t="s">
        <v>722</v>
      </c>
      <c r="O30" s="3">
        <v>46148.649305555598</v>
      </c>
      <c r="P30" s="2" t="s">
        <v>722</v>
      </c>
      <c r="Q30" s="34"/>
      <c r="R30" s="1" t="s">
        <v>31</v>
      </c>
    </row>
    <row r="31" spans="2:18">
      <c r="B31" s="2" t="s">
        <v>1324</v>
      </c>
      <c r="C31" s="2" t="s">
        <v>721</v>
      </c>
      <c r="D31" s="1">
        <v>4</v>
      </c>
      <c r="E31" s="2" t="s">
        <v>1325</v>
      </c>
      <c r="F31" s="2" t="s">
        <v>1265</v>
      </c>
      <c r="G31" s="45" t="s">
        <v>702</v>
      </c>
      <c r="H31" s="1">
        <v>1</v>
      </c>
      <c r="I31" s="43" t="s">
        <v>702</v>
      </c>
      <c r="J31" s="43" t="s">
        <v>702</v>
      </c>
      <c r="K31" s="30">
        <v>50000</v>
      </c>
      <c r="L31" s="43" t="s">
        <v>702</v>
      </c>
      <c r="M31" s="3">
        <v>46128.649305555598</v>
      </c>
      <c r="N31" s="2" t="s">
        <v>722</v>
      </c>
      <c r="O31" s="3">
        <v>46148.649305555598</v>
      </c>
      <c r="P31" s="2" t="s">
        <v>722</v>
      </c>
      <c r="Q31" s="34"/>
      <c r="R31" s="1" t="s">
        <v>31</v>
      </c>
    </row>
    <row r="32" spans="2:18" ht="29" customHeight="1">
      <c r="B32" s="2" t="s">
        <v>1326</v>
      </c>
      <c r="C32" s="2" t="s">
        <v>724</v>
      </c>
      <c r="D32" s="1">
        <v>1</v>
      </c>
      <c r="E32" s="2" t="s">
        <v>1327</v>
      </c>
      <c r="F32" s="2" t="s">
        <v>1268</v>
      </c>
      <c r="G32" s="45" t="s">
        <v>702</v>
      </c>
      <c r="H32" s="45">
        <v>2</v>
      </c>
      <c r="I32" s="43" t="s">
        <v>702</v>
      </c>
      <c r="J32" s="43" t="s">
        <v>702</v>
      </c>
      <c r="K32" s="30">
        <v>50000</v>
      </c>
      <c r="L32" s="43" t="s">
        <v>702</v>
      </c>
      <c r="M32" s="3">
        <v>46129.411111111098</v>
      </c>
      <c r="N32" s="2" t="s">
        <v>725</v>
      </c>
      <c r="O32" s="3">
        <v>46149.411111111098</v>
      </c>
      <c r="P32" s="2" t="s">
        <v>725</v>
      </c>
      <c r="Q32" s="34"/>
      <c r="R32" s="1" t="s">
        <v>31</v>
      </c>
    </row>
    <row r="33" spans="2:18">
      <c r="B33" s="2" t="s">
        <v>1328</v>
      </c>
      <c r="C33" s="2" t="s">
        <v>724</v>
      </c>
      <c r="D33" s="1">
        <v>2</v>
      </c>
      <c r="E33" s="2" t="s">
        <v>1329</v>
      </c>
      <c r="F33" s="2" t="s">
        <v>1271</v>
      </c>
      <c r="G33" s="45">
        <v>11</v>
      </c>
      <c r="H33" s="45" t="s">
        <v>702</v>
      </c>
      <c r="I33" s="43" t="s">
        <v>702</v>
      </c>
      <c r="J33" s="43" t="s">
        <v>702</v>
      </c>
      <c r="K33" s="30">
        <v>110000</v>
      </c>
      <c r="L33" s="43" t="s">
        <v>702</v>
      </c>
      <c r="M33" s="3">
        <v>46129.411111111098</v>
      </c>
      <c r="N33" s="2" t="s">
        <v>725</v>
      </c>
      <c r="O33" s="3">
        <v>46149.411111111098</v>
      </c>
      <c r="P33" s="2" t="s">
        <v>725</v>
      </c>
      <c r="Q33" s="34"/>
      <c r="R33" s="1" t="s">
        <v>31</v>
      </c>
    </row>
    <row r="34" spans="2:18">
      <c r="B34" s="2" t="s">
        <v>1330</v>
      </c>
      <c r="C34" s="2" t="s">
        <v>724</v>
      </c>
      <c r="D34" s="1">
        <v>3</v>
      </c>
      <c r="E34" s="2" t="s">
        <v>1331</v>
      </c>
      <c r="F34" s="2" t="s">
        <v>1274</v>
      </c>
      <c r="G34" s="45" t="s">
        <v>702</v>
      </c>
      <c r="H34" s="45">
        <v>1</v>
      </c>
      <c r="I34" s="43" t="s">
        <v>702</v>
      </c>
      <c r="J34" s="43" t="s">
        <v>702</v>
      </c>
      <c r="K34" s="30">
        <v>40000</v>
      </c>
      <c r="L34" s="43" t="s">
        <v>702</v>
      </c>
      <c r="M34" s="3">
        <v>46129.411111111098</v>
      </c>
      <c r="N34" s="2" t="s">
        <v>725</v>
      </c>
      <c r="O34" s="3">
        <v>46149.411111111098</v>
      </c>
      <c r="P34" s="2" t="s">
        <v>725</v>
      </c>
      <c r="Q34" s="34"/>
      <c r="R34" s="1" t="s">
        <v>31</v>
      </c>
    </row>
    <row r="35" spans="2:18">
      <c r="B35" s="2" t="s">
        <v>1332</v>
      </c>
      <c r="C35" s="2" t="s">
        <v>724</v>
      </c>
      <c r="D35" s="1">
        <v>4</v>
      </c>
      <c r="E35" s="2" t="s">
        <v>1333</v>
      </c>
      <c r="F35" s="2" t="s">
        <v>1277</v>
      </c>
      <c r="G35" s="45">
        <v>3</v>
      </c>
      <c r="H35" s="45" t="s">
        <v>702</v>
      </c>
      <c r="I35" s="43" t="s">
        <v>702</v>
      </c>
      <c r="J35" s="43" t="s">
        <v>702</v>
      </c>
      <c r="K35" s="30">
        <v>37500</v>
      </c>
      <c r="L35" s="43" t="s">
        <v>702</v>
      </c>
      <c r="M35" s="3">
        <v>46129.411111111098</v>
      </c>
      <c r="N35" s="2" t="s">
        <v>725</v>
      </c>
      <c r="O35" s="3">
        <v>46149.411111111098</v>
      </c>
      <c r="P35" s="2" t="s">
        <v>725</v>
      </c>
      <c r="Q35" s="34"/>
      <c r="R35" s="1" t="s">
        <v>31</v>
      </c>
    </row>
    <row r="36" spans="2:18">
      <c r="B36" s="2" t="s">
        <v>1334</v>
      </c>
      <c r="C36" s="2" t="s">
        <v>727</v>
      </c>
      <c r="D36" s="1">
        <v>1</v>
      </c>
      <c r="E36" s="2" t="s">
        <v>1335</v>
      </c>
      <c r="F36" s="2" t="s">
        <v>1280</v>
      </c>
      <c r="G36" s="1">
        <v>10</v>
      </c>
      <c r="H36" s="45" t="s">
        <v>702</v>
      </c>
      <c r="I36" s="43" t="s">
        <v>702</v>
      </c>
      <c r="J36" s="43" t="s">
        <v>702</v>
      </c>
      <c r="K36" s="30">
        <v>150000</v>
      </c>
      <c r="L36" s="43" t="s">
        <v>702</v>
      </c>
      <c r="M36" s="3">
        <v>46129.547916666699</v>
      </c>
      <c r="N36" s="2" t="s">
        <v>728</v>
      </c>
      <c r="O36" s="3">
        <v>46149.547916666699</v>
      </c>
      <c r="P36" s="2" t="s">
        <v>728</v>
      </c>
      <c r="Q36" s="34"/>
      <c r="R36" s="1" t="s">
        <v>31</v>
      </c>
    </row>
    <row r="37" spans="2:18">
      <c r="B37" s="2" t="s">
        <v>1336</v>
      </c>
      <c r="C37" s="2" t="s">
        <v>727</v>
      </c>
      <c r="D37" s="1">
        <v>2</v>
      </c>
      <c r="E37" s="2" t="s">
        <v>1337</v>
      </c>
      <c r="F37" s="2" t="s">
        <v>1283</v>
      </c>
      <c r="G37" s="45" t="s">
        <v>702</v>
      </c>
      <c r="H37" s="1">
        <v>1</v>
      </c>
      <c r="I37" s="43" t="s">
        <v>702</v>
      </c>
      <c r="J37" s="43" t="s">
        <v>702</v>
      </c>
      <c r="K37" s="30">
        <v>50000</v>
      </c>
      <c r="L37" s="43" t="s">
        <v>702</v>
      </c>
      <c r="M37" s="3">
        <v>46129.547916666699</v>
      </c>
      <c r="N37" s="2" t="s">
        <v>728</v>
      </c>
      <c r="O37" s="3">
        <v>46149.547916666699</v>
      </c>
      <c r="P37" s="2" t="s">
        <v>728</v>
      </c>
      <c r="Q37" s="34"/>
      <c r="R37" s="1" t="s">
        <v>31</v>
      </c>
    </row>
    <row r="38" spans="2:18">
      <c r="B38" s="2" t="s">
        <v>1338</v>
      </c>
      <c r="C38" s="2" t="s">
        <v>727</v>
      </c>
      <c r="D38" s="1">
        <v>3</v>
      </c>
      <c r="E38" s="2" t="s">
        <v>1339</v>
      </c>
      <c r="F38" s="2" t="s">
        <v>1286</v>
      </c>
      <c r="G38" s="1">
        <v>2</v>
      </c>
      <c r="H38" s="45" t="s">
        <v>702</v>
      </c>
      <c r="I38" s="43" t="s">
        <v>702</v>
      </c>
      <c r="J38" s="43" t="s">
        <v>702</v>
      </c>
      <c r="K38" s="30">
        <v>20000</v>
      </c>
      <c r="L38" s="43" t="s">
        <v>702</v>
      </c>
      <c r="M38" s="3">
        <v>46129.547916666699</v>
      </c>
      <c r="N38" s="2" t="s">
        <v>728</v>
      </c>
      <c r="O38" s="3">
        <v>46149.547916666699</v>
      </c>
      <c r="P38" s="2" t="s">
        <v>728</v>
      </c>
      <c r="Q38" s="34"/>
      <c r="R38" s="1" t="s">
        <v>31</v>
      </c>
    </row>
    <row r="39" spans="2:18" ht="29" customHeight="1">
      <c r="B39" s="2" t="s">
        <v>1340</v>
      </c>
      <c r="C39" s="2" t="s">
        <v>727</v>
      </c>
      <c r="D39" s="1">
        <v>4</v>
      </c>
      <c r="E39" s="2" t="s">
        <v>1341</v>
      </c>
      <c r="F39" s="2" t="s">
        <v>1289</v>
      </c>
      <c r="G39" s="45" t="s">
        <v>702</v>
      </c>
      <c r="H39" s="1">
        <v>3</v>
      </c>
      <c r="I39" s="43" t="s">
        <v>702</v>
      </c>
      <c r="J39" s="43" t="s">
        <v>702</v>
      </c>
      <c r="K39" s="30">
        <v>120000</v>
      </c>
      <c r="L39" s="43" t="s">
        <v>702</v>
      </c>
      <c r="M39" s="3">
        <v>46129.547916666699</v>
      </c>
      <c r="N39" s="2" t="s">
        <v>728</v>
      </c>
      <c r="O39" s="3">
        <v>46149.547916666699</v>
      </c>
      <c r="P39" s="2" t="s">
        <v>728</v>
      </c>
      <c r="Q39" s="34"/>
      <c r="R39" s="1" t="s">
        <v>31</v>
      </c>
    </row>
    <row r="40" spans="2:18">
      <c r="B40" s="2" t="s">
        <v>1342</v>
      </c>
      <c r="C40" s="2" t="s">
        <v>730</v>
      </c>
      <c r="D40" s="1">
        <v>1</v>
      </c>
      <c r="E40" s="2" t="s">
        <v>1343</v>
      </c>
      <c r="F40" s="2" t="s">
        <v>1292</v>
      </c>
      <c r="G40" s="45" t="s">
        <v>702</v>
      </c>
      <c r="H40" s="45">
        <v>1</v>
      </c>
      <c r="I40" s="43" t="s">
        <v>702</v>
      </c>
      <c r="J40" s="43" t="s">
        <v>702</v>
      </c>
      <c r="K40" s="30">
        <v>50000</v>
      </c>
      <c r="L40" s="43" t="s">
        <v>702</v>
      </c>
      <c r="M40" s="3">
        <v>46130.6430555556</v>
      </c>
      <c r="N40" s="2" t="s">
        <v>731</v>
      </c>
      <c r="O40" s="3">
        <v>46150.6430555556</v>
      </c>
      <c r="P40" s="2" t="s">
        <v>731</v>
      </c>
      <c r="Q40" s="34"/>
      <c r="R40" s="1" t="s">
        <v>31</v>
      </c>
    </row>
    <row r="41" spans="2:18">
      <c r="B41" s="2" t="s">
        <v>1344</v>
      </c>
      <c r="C41" s="2" t="s">
        <v>730</v>
      </c>
      <c r="D41" s="1">
        <v>2</v>
      </c>
      <c r="E41" s="2" t="s">
        <v>1345</v>
      </c>
      <c r="F41" s="2" t="s">
        <v>1295</v>
      </c>
      <c r="G41" s="45">
        <v>1</v>
      </c>
      <c r="H41" s="45" t="s">
        <v>702</v>
      </c>
      <c r="I41" s="43" t="s">
        <v>702</v>
      </c>
      <c r="J41" s="43" t="s">
        <v>702</v>
      </c>
      <c r="K41" s="30">
        <v>3000</v>
      </c>
      <c r="L41" s="43" t="s">
        <v>702</v>
      </c>
      <c r="M41" s="3">
        <v>46130.6430555556</v>
      </c>
      <c r="N41" s="2" t="s">
        <v>731</v>
      </c>
      <c r="O41" s="3">
        <v>46150.6430555556</v>
      </c>
      <c r="P41" s="2" t="s">
        <v>731</v>
      </c>
      <c r="Q41" s="34"/>
      <c r="R41" s="1" t="s">
        <v>31</v>
      </c>
    </row>
    <row r="42" spans="2:18" ht="29" customHeight="1">
      <c r="B42" s="2" t="s">
        <v>1346</v>
      </c>
      <c r="C42" s="2" t="s">
        <v>730</v>
      </c>
      <c r="D42" s="1">
        <v>3</v>
      </c>
      <c r="E42" s="2" t="s">
        <v>1347</v>
      </c>
      <c r="F42" s="2" t="s">
        <v>1298</v>
      </c>
      <c r="G42" s="45" t="s">
        <v>702</v>
      </c>
      <c r="H42" s="45">
        <v>3</v>
      </c>
      <c r="I42" s="43" t="s">
        <v>702</v>
      </c>
      <c r="J42" s="43" t="s">
        <v>702</v>
      </c>
      <c r="K42" s="30">
        <v>60000</v>
      </c>
      <c r="L42" s="43" t="s">
        <v>702</v>
      </c>
      <c r="M42" s="3">
        <v>46130.6430555556</v>
      </c>
      <c r="N42" s="2" t="s">
        <v>731</v>
      </c>
      <c r="O42" s="3">
        <v>46150.6430555556</v>
      </c>
      <c r="P42" s="2" t="s">
        <v>731</v>
      </c>
      <c r="Q42" s="34"/>
      <c r="R42" s="1" t="s">
        <v>31</v>
      </c>
    </row>
    <row r="43" spans="2:18" ht="29" customHeight="1">
      <c r="B43" s="2" t="s">
        <v>1348</v>
      </c>
      <c r="C43" s="2" t="s">
        <v>730</v>
      </c>
      <c r="D43" s="1">
        <v>4</v>
      </c>
      <c r="E43" s="2" t="s">
        <v>1349</v>
      </c>
      <c r="F43" s="2" t="s">
        <v>1301</v>
      </c>
      <c r="G43" s="1">
        <v>5</v>
      </c>
      <c r="H43" s="45" t="s">
        <v>702</v>
      </c>
      <c r="I43" s="43" t="s">
        <v>702</v>
      </c>
      <c r="J43" s="43" t="s">
        <v>702</v>
      </c>
      <c r="K43" s="30">
        <v>35000</v>
      </c>
      <c r="L43" s="43" t="s">
        <v>702</v>
      </c>
      <c r="M43" s="3">
        <v>46130.6430555556</v>
      </c>
      <c r="N43" s="2" t="s">
        <v>731</v>
      </c>
      <c r="O43" s="3">
        <v>46150.6430555556</v>
      </c>
      <c r="P43" s="2" t="s">
        <v>731</v>
      </c>
      <c r="Q43" s="34"/>
      <c r="R43" s="1" t="s">
        <v>31</v>
      </c>
    </row>
    <row r="44" spans="2:18">
      <c r="B44" s="2" t="s">
        <v>1350</v>
      </c>
      <c r="C44" s="2" t="s">
        <v>733</v>
      </c>
      <c r="D44" s="1">
        <v>1</v>
      </c>
      <c r="E44" s="2" t="s">
        <v>1351</v>
      </c>
      <c r="F44" s="2" t="s">
        <v>1304</v>
      </c>
      <c r="G44" s="45">
        <v>12</v>
      </c>
      <c r="H44" s="45" t="s">
        <v>702</v>
      </c>
      <c r="I44" s="43" t="s">
        <v>702</v>
      </c>
      <c r="J44" s="43" t="s">
        <v>702</v>
      </c>
      <c r="K44" s="30">
        <v>72000</v>
      </c>
      <c r="L44" s="43" t="s">
        <v>702</v>
      </c>
      <c r="M44" s="3">
        <v>46130.404861111099</v>
      </c>
      <c r="N44" s="2" t="s">
        <v>734</v>
      </c>
      <c r="O44" s="3">
        <v>46150.404861111099</v>
      </c>
      <c r="P44" s="2" t="s">
        <v>734</v>
      </c>
      <c r="Q44" s="34"/>
      <c r="R44" s="1" t="s">
        <v>31</v>
      </c>
    </row>
    <row r="45" spans="2:18" ht="29" customHeight="1">
      <c r="B45" s="2" t="s">
        <v>1352</v>
      </c>
      <c r="C45" s="2" t="s">
        <v>733</v>
      </c>
      <c r="D45" s="1">
        <v>2</v>
      </c>
      <c r="E45" s="2" t="s">
        <v>1353</v>
      </c>
      <c r="F45" s="2" t="s">
        <v>1307</v>
      </c>
      <c r="G45" s="45" t="s">
        <v>702</v>
      </c>
      <c r="H45" s="1">
        <v>3</v>
      </c>
      <c r="I45" s="43" t="s">
        <v>702</v>
      </c>
      <c r="J45" s="43" t="s">
        <v>702</v>
      </c>
      <c r="K45" s="30">
        <v>90000</v>
      </c>
      <c r="L45" s="43" t="s">
        <v>702</v>
      </c>
      <c r="M45" s="3">
        <v>46130.404861111099</v>
      </c>
      <c r="N45" s="2" t="s">
        <v>734</v>
      </c>
      <c r="O45" s="3">
        <v>46150.404861111099</v>
      </c>
      <c r="P45" s="2" t="s">
        <v>734</v>
      </c>
      <c r="Q45" s="34"/>
      <c r="R45" s="1" t="s">
        <v>31</v>
      </c>
    </row>
    <row r="46" spans="2:18" ht="29" customHeight="1">
      <c r="B46" s="2" t="s">
        <v>1354</v>
      </c>
      <c r="C46" s="2" t="s">
        <v>733</v>
      </c>
      <c r="D46" s="1">
        <v>3</v>
      </c>
      <c r="E46" s="2" t="s">
        <v>1355</v>
      </c>
      <c r="F46" s="2" t="s">
        <v>1310</v>
      </c>
      <c r="G46" s="1">
        <v>4</v>
      </c>
      <c r="H46" s="45" t="s">
        <v>702</v>
      </c>
      <c r="I46" s="43" t="s">
        <v>702</v>
      </c>
      <c r="J46" s="43" t="s">
        <v>702</v>
      </c>
      <c r="K46" s="30">
        <v>48000</v>
      </c>
      <c r="L46" s="43" t="s">
        <v>702</v>
      </c>
      <c r="M46" s="3">
        <v>46130.404861111099</v>
      </c>
      <c r="N46" s="2" t="s">
        <v>734</v>
      </c>
      <c r="O46" s="3">
        <v>46150.404861111099</v>
      </c>
      <c r="P46" s="2" t="s">
        <v>734</v>
      </c>
      <c r="Q46" s="34"/>
      <c r="R46" s="1" t="s">
        <v>31</v>
      </c>
    </row>
    <row r="47" spans="2:18">
      <c r="B47" s="2" t="s">
        <v>1356</v>
      </c>
      <c r="C47" s="2" t="s">
        <v>733</v>
      </c>
      <c r="D47" s="1">
        <v>4</v>
      </c>
      <c r="E47" s="2" t="s">
        <v>1357</v>
      </c>
      <c r="F47" s="2" t="s">
        <v>1313</v>
      </c>
      <c r="G47" s="45" t="s">
        <v>702</v>
      </c>
      <c r="H47" s="1">
        <v>2</v>
      </c>
      <c r="I47" s="43" t="s">
        <v>702</v>
      </c>
      <c r="J47" s="43" t="s">
        <v>702</v>
      </c>
      <c r="K47" s="30">
        <v>80000</v>
      </c>
      <c r="L47" s="43" t="s">
        <v>702</v>
      </c>
      <c r="M47" s="3">
        <v>46130.404861111099</v>
      </c>
      <c r="N47" s="2" t="s">
        <v>734</v>
      </c>
      <c r="O47" s="3">
        <v>46150.404861111099</v>
      </c>
      <c r="P47" s="2" t="s">
        <v>734</v>
      </c>
      <c r="Q47" s="34"/>
      <c r="R47" s="1" t="s">
        <v>31</v>
      </c>
    </row>
    <row r="48" spans="2:18" ht="29" customHeight="1">
      <c r="B48" s="2" t="s">
        <v>1358</v>
      </c>
      <c r="C48" s="2" t="s">
        <v>736</v>
      </c>
      <c r="D48" s="1">
        <v>1</v>
      </c>
      <c r="E48" s="2" t="s">
        <v>1359</v>
      </c>
      <c r="F48" s="2" t="s">
        <v>1316</v>
      </c>
      <c r="G48" s="45" t="s">
        <v>702</v>
      </c>
      <c r="H48" s="45">
        <v>3</v>
      </c>
      <c r="I48" s="43" t="s">
        <v>702</v>
      </c>
      <c r="J48" s="43" t="s">
        <v>702</v>
      </c>
      <c r="K48" s="30">
        <v>150000</v>
      </c>
      <c r="L48" s="43" t="s">
        <v>702</v>
      </c>
      <c r="M48" s="3">
        <v>46130.541666666701</v>
      </c>
      <c r="N48" s="2" t="s">
        <v>737</v>
      </c>
      <c r="O48" s="3">
        <v>46150.541666666701</v>
      </c>
      <c r="P48" s="2" t="s">
        <v>737</v>
      </c>
      <c r="Q48" s="34"/>
      <c r="R48" s="1" t="s">
        <v>31</v>
      </c>
    </row>
    <row r="49" spans="2:18" ht="29" customHeight="1">
      <c r="B49" s="2" t="s">
        <v>1360</v>
      </c>
      <c r="C49" s="2" t="s">
        <v>736</v>
      </c>
      <c r="D49" s="1">
        <v>2</v>
      </c>
      <c r="E49" s="2" t="s">
        <v>1361</v>
      </c>
      <c r="F49" s="2" t="s">
        <v>1319</v>
      </c>
      <c r="G49" s="45">
        <v>3</v>
      </c>
      <c r="H49" s="45" t="s">
        <v>702</v>
      </c>
      <c r="I49" s="43" t="s">
        <v>702</v>
      </c>
      <c r="J49" s="43" t="s">
        <v>702</v>
      </c>
      <c r="K49" s="30">
        <v>52500</v>
      </c>
      <c r="L49" s="43" t="s">
        <v>702</v>
      </c>
      <c r="M49" s="3">
        <v>46130.541666666701</v>
      </c>
      <c r="N49" s="2" t="s">
        <v>737</v>
      </c>
      <c r="O49" s="3">
        <v>46150.541666666701</v>
      </c>
      <c r="P49" s="2" t="s">
        <v>737</v>
      </c>
      <c r="Q49" s="34"/>
      <c r="R49" s="1" t="s">
        <v>31</v>
      </c>
    </row>
    <row r="50" spans="2:18">
      <c r="B50" s="2" t="s">
        <v>1362</v>
      </c>
      <c r="C50" s="2" t="s">
        <v>736</v>
      </c>
      <c r="D50" s="1">
        <v>3</v>
      </c>
      <c r="E50" s="2" t="s">
        <v>1363</v>
      </c>
      <c r="F50" s="2" t="s">
        <v>1259</v>
      </c>
      <c r="G50" s="45" t="s">
        <v>702</v>
      </c>
      <c r="H50" s="45">
        <v>2</v>
      </c>
      <c r="I50" s="43" t="s">
        <v>702</v>
      </c>
      <c r="J50" s="43" t="s">
        <v>702</v>
      </c>
      <c r="K50" s="30">
        <v>70000</v>
      </c>
      <c r="L50" s="43" t="s">
        <v>702</v>
      </c>
      <c r="M50" s="3">
        <v>46130.541666666701</v>
      </c>
      <c r="N50" s="2" t="s">
        <v>737</v>
      </c>
      <c r="O50" s="3">
        <v>46150.541666666701</v>
      </c>
      <c r="P50" s="2" t="s">
        <v>737</v>
      </c>
      <c r="Q50" s="34"/>
      <c r="R50" s="1" t="s">
        <v>31</v>
      </c>
    </row>
    <row r="51" spans="2:18">
      <c r="B51" s="2" t="s">
        <v>1364</v>
      </c>
      <c r="C51" s="2" t="s">
        <v>736</v>
      </c>
      <c r="D51" s="1">
        <v>4</v>
      </c>
      <c r="E51" s="2" t="s">
        <v>1365</v>
      </c>
      <c r="F51" s="2" t="s">
        <v>1262</v>
      </c>
      <c r="G51" s="45">
        <v>7</v>
      </c>
      <c r="H51" s="45" t="s">
        <v>702</v>
      </c>
      <c r="I51" s="43" t="s">
        <v>702</v>
      </c>
      <c r="J51" s="43" t="s">
        <v>702</v>
      </c>
      <c r="K51" s="30">
        <v>105000</v>
      </c>
      <c r="L51" s="43" t="s">
        <v>702</v>
      </c>
      <c r="M51" s="3">
        <v>46130.541666666701</v>
      </c>
      <c r="N51" s="2" t="s">
        <v>737</v>
      </c>
      <c r="O51" s="3">
        <v>46150.541666666701</v>
      </c>
      <c r="P51" s="2" t="s">
        <v>737</v>
      </c>
      <c r="Q51" s="34"/>
      <c r="R51" s="1" t="s">
        <v>31</v>
      </c>
    </row>
    <row r="52" spans="2:18" ht="29" customHeight="1">
      <c r="B52" s="2" t="s">
        <v>1366</v>
      </c>
      <c r="C52" s="2" t="s">
        <v>739</v>
      </c>
      <c r="D52" s="1">
        <v>1</v>
      </c>
      <c r="E52" s="2" t="s">
        <v>1367</v>
      </c>
      <c r="F52" s="2" t="s">
        <v>1265</v>
      </c>
      <c r="G52" s="45">
        <v>2</v>
      </c>
      <c r="H52" s="45" t="s">
        <v>702</v>
      </c>
      <c r="I52" s="43" t="s">
        <v>702</v>
      </c>
      <c r="J52" s="43" t="s">
        <v>702</v>
      </c>
      <c r="K52" s="30">
        <v>35000</v>
      </c>
      <c r="L52" s="43" t="s">
        <v>702</v>
      </c>
      <c r="M52" s="3">
        <v>46131.636805555601</v>
      </c>
      <c r="N52" s="2" t="s">
        <v>92</v>
      </c>
      <c r="O52" s="3">
        <v>46151.636805555601</v>
      </c>
      <c r="P52" s="2" t="s">
        <v>92</v>
      </c>
      <c r="Q52" s="34"/>
      <c r="R52" s="1" t="s">
        <v>31</v>
      </c>
    </row>
    <row r="53" spans="2:18">
      <c r="B53" s="2" t="s">
        <v>1368</v>
      </c>
      <c r="C53" s="2" t="s">
        <v>739</v>
      </c>
      <c r="D53" s="1">
        <v>2</v>
      </c>
      <c r="E53" s="2" t="s">
        <v>1369</v>
      </c>
      <c r="F53" s="2" t="s">
        <v>1268</v>
      </c>
      <c r="G53" s="45" t="s">
        <v>702</v>
      </c>
      <c r="H53" s="45">
        <v>2</v>
      </c>
      <c r="I53" s="43" t="s">
        <v>702</v>
      </c>
      <c r="J53" s="43" t="s">
        <v>702</v>
      </c>
      <c r="K53" s="30">
        <v>50000</v>
      </c>
      <c r="L53" s="43" t="s">
        <v>702</v>
      </c>
      <c r="M53" s="3">
        <v>46131.636805555601</v>
      </c>
      <c r="N53" s="2" t="s">
        <v>92</v>
      </c>
      <c r="O53" s="3">
        <v>46151.636805555601</v>
      </c>
      <c r="P53" s="2" t="s">
        <v>92</v>
      </c>
      <c r="Q53" s="34"/>
      <c r="R53" s="1" t="s">
        <v>31</v>
      </c>
    </row>
    <row r="54" spans="2:18">
      <c r="B54" s="2" t="s">
        <v>1370</v>
      </c>
      <c r="C54" s="2" t="s">
        <v>739</v>
      </c>
      <c r="D54" s="1">
        <v>3</v>
      </c>
      <c r="E54" s="2" t="s">
        <v>1371</v>
      </c>
      <c r="F54" s="2" t="s">
        <v>1271</v>
      </c>
      <c r="G54" s="45">
        <v>6</v>
      </c>
      <c r="H54" s="45" t="s">
        <v>702</v>
      </c>
      <c r="I54" s="43" t="s">
        <v>702</v>
      </c>
      <c r="J54" s="43" t="s">
        <v>702</v>
      </c>
      <c r="K54" s="30">
        <v>60000</v>
      </c>
      <c r="L54" s="43" t="s">
        <v>702</v>
      </c>
      <c r="M54" s="3">
        <v>46131.636805555601</v>
      </c>
      <c r="N54" s="2" t="s">
        <v>92</v>
      </c>
      <c r="O54" s="3">
        <v>46151.636805555601</v>
      </c>
      <c r="P54" s="2" t="s">
        <v>92</v>
      </c>
      <c r="Q54" s="34"/>
      <c r="R54" s="1" t="s">
        <v>31</v>
      </c>
    </row>
    <row r="55" spans="2:18">
      <c r="B55" s="2" t="s">
        <v>1372</v>
      </c>
      <c r="C55" s="2" t="s">
        <v>739</v>
      </c>
      <c r="D55" s="1">
        <v>4</v>
      </c>
      <c r="E55" s="2" t="s">
        <v>1373</v>
      </c>
      <c r="F55" s="2" t="s">
        <v>1274</v>
      </c>
      <c r="G55" s="45" t="s">
        <v>702</v>
      </c>
      <c r="H55" s="45">
        <v>1</v>
      </c>
      <c r="I55" s="43" t="s">
        <v>702</v>
      </c>
      <c r="J55" s="43" t="s">
        <v>702</v>
      </c>
      <c r="K55" s="30">
        <v>40000</v>
      </c>
      <c r="L55" s="43" t="s">
        <v>702</v>
      </c>
      <c r="M55" s="3">
        <v>46131.636805555601</v>
      </c>
      <c r="N55" s="2" t="s">
        <v>92</v>
      </c>
      <c r="O55" s="3">
        <v>46151.636805555601</v>
      </c>
      <c r="P55" s="2" t="s">
        <v>92</v>
      </c>
      <c r="Q55" s="34"/>
      <c r="R55" s="1" t="s">
        <v>31</v>
      </c>
    </row>
    <row r="56" spans="2:18">
      <c r="B56" s="2" t="s">
        <v>1374</v>
      </c>
      <c r="C56" s="2" t="s">
        <v>741</v>
      </c>
      <c r="D56" s="1">
        <v>1</v>
      </c>
      <c r="E56" s="2" t="s">
        <v>1375</v>
      </c>
      <c r="F56" s="2" t="s">
        <v>1277</v>
      </c>
      <c r="G56" s="45" t="s">
        <v>702</v>
      </c>
      <c r="H56" s="1">
        <v>2</v>
      </c>
      <c r="I56" s="43" t="s">
        <v>702</v>
      </c>
      <c r="J56" s="43" t="s">
        <v>702</v>
      </c>
      <c r="K56" s="30">
        <v>70000</v>
      </c>
      <c r="L56" s="43" t="s">
        <v>702</v>
      </c>
      <c r="M56" s="3">
        <v>46131.398611111101</v>
      </c>
      <c r="N56" s="2" t="s">
        <v>742</v>
      </c>
      <c r="O56" s="3">
        <v>46151.398611111101</v>
      </c>
      <c r="P56" s="2" t="s">
        <v>742</v>
      </c>
      <c r="Q56" s="34"/>
      <c r="R56" s="1" t="s">
        <v>31</v>
      </c>
    </row>
    <row r="57" spans="2:18">
      <c r="B57" s="2" t="s">
        <v>1376</v>
      </c>
      <c r="C57" s="2" t="s">
        <v>741</v>
      </c>
      <c r="D57" s="1">
        <v>2</v>
      </c>
      <c r="E57" s="2" t="s">
        <v>1377</v>
      </c>
      <c r="F57" s="2" t="s">
        <v>1280</v>
      </c>
      <c r="G57" s="1">
        <v>5</v>
      </c>
      <c r="H57" s="45" t="s">
        <v>702</v>
      </c>
      <c r="I57" s="43" t="s">
        <v>702</v>
      </c>
      <c r="J57" s="43" t="s">
        <v>702</v>
      </c>
      <c r="K57" s="30">
        <v>75000</v>
      </c>
      <c r="L57" s="43" t="s">
        <v>702</v>
      </c>
      <c r="M57" s="3">
        <v>46131.398611111101</v>
      </c>
      <c r="N57" s="2" t="s">
        <v>742</v>
      </c>
      <c r="O57" s="3">
        <v>46151.398611111101</v>
      </c>
      <c r="P57" s="2" t="s">
        <v>742</v>
      </c>
      <c r="Q57" s="34"/>
      <c r="R57" s="1" t="s">
        <v>31</v>
      </c>
    </row>
    <row r="58" spans="2:18">
      <c r="B58" s="2" t="s">
        <v>1378</v>
      </c>
      <c r="C58" s="2" t="s">
        <v>741</v>
      </c>
      <c r="D58" s="1">
        <v>3</v>
      </c>
      <c r="E58" s="2" t="s">
        <v>1379</v>
      </c>
      <c r="F58" s="2" t="s">
        <v>1283</v>
      </c>
      <c r="G58" s="45" t="s">
        <v>702</v>
      </c>
      <c r="H58" s="1">
        <v>1</v>
      </c>
      <c r="I58" s="43" t="s">
        <v>702</v>
      </c>
      <c r="J58" s="43" t="s">
        <v>702</v>
      </c>
      <c r="K58" s="30">
        <v>50000</v>
      </c>
      <c r="L58" s="43" t="s">
        <v>702</v>
      </c>
      <c r="M58" s="3">
        <v>46131.398611111101</v>
      </c>
      <c r="N58" s="2" t="s">
        <v>742</v>
      </c>
      <c r="O58" s="3">
        <v>46151.398611111101</v>
      </c>
      <c r="P58" s="2" t="s">
        <v>742</v>
      </c>
      <c r="Q58" s="34"/>
      <c r="R58" s="1" t="s">
        <v>31</v>
      </c>
    </row>
    <row r="59" spans="2:18">
      <c r="B59" s="2" t="s">
        <v>1380</v>
      </c>
      <c r="C59" s="2" t="s">
        <v>741</v>
      </c>
      <c r="D59" s="1">
        <v>4</v>
      </c>
      <c r="E59" s="2" t="s">
        <v>1381</v>
      </c>
      <c r="F59" s="2" t="s">
        <v>1286</v>
      </c>
      <c r="G59" s="1">
        <v>9</v>
      </c>
      <c r="H59" s="45" t="s">
        <v>702</v>
      </c>
      <c r="I59" s="43" t="s">
        <v>702</v>
      </c>
      <c r="J59" s="43" t="s">
        <v>702</v>
      </c>
      <c r="K59" s="30">
        <v>90000</v>
      </c>
      <c r="L59" s="43" t="s">
        <v>702</v>
      </c>
      <c r="M59" s="3">
        <v>46131.398611111101</v>
      </c>
      <c r="N59" s="2" t="s">
        <v>742</v>
      </c>
      <c r="O59" s="3">
        <v>46151.398611111101</v>
      </c>
      <c r="P59" s="2" t="s">
        <v>742</v>
      </c>
      <c r="Q59" s="34"/>
      <c r="R59" s="1" t="s">
        <v>31</v>
      </c>
    </row>
    <row r="60" spans="2:18">
      <c r="B60" s="2" t="s">
        <v>1382</v>
      </c>
      <c r="C60" s="2" t="s">
        <v>744</v>
      </c>
      <c r="D60" s="1">
        <v>1</v>
      </c>
      <c r="E60" s="2" t="s">
        <v>1383</v>
      </c>
      <c r="F60" s="2" t="s">
        <v>1289</v>
      </c>
      <c r="G60" s="45">
        <v>4</v>
      </c>
      <c r="H60" s="45" t="s">
        <v>702</v>
      </c>
      <c r="I60" s="43" t="s">
        <v>702</v>
      </c>
      <c r="J60" s="43" t="s">
        <v>702</v>
      </c>
      <c r="K60" s="30">
        <v>50000</v>
      </c>
      <c r="L60" s="43" t="s">
        <v>702</v>
      </c>
      <c r="M60" s="3">
        <v>46132.535416666702</v>
      </c>
      <c r="N60" s="2" t="s">
        <v>745</v>
      </c>
      <c r="O60" s="3">
        <v>46152.535416666702</v>
      </c>
      <c r="P60" s="2" t="s">
        <v>745</v>
      </c>
      <c r="Q60" s="34"/>
      <c r="R60" s="1" t="s">
        <v>31</v>
      </c>
    </row>
    <row r="61" spans="2:18">
      <c r="B61" s="2" t="s">
        <v>1384</v>
      </c>
      <c r="C61" s="2" t="s">
        <v>744</v>
      </c>
      <c r="D61" s="1">
        <v>2</v>
      </c>
      <c r="E61" s="2" t="s">
        <v>1385</v>
      </c>
      <c r="F61" s="2" t="s">
        <v>1292</v>
      </c>
      <c r="G61" s="45" t="s">
        <v>702</v>
      </c>
      <c r="H61" s="45">
        <v>1</v>
      </c>
      <c r="I61" s="43" t="s">
        <v>702</v>
      </c>
      <c r="J61" s="43" t="s">
        <v>702</v>
      </c>
      <c r="K61" s="30">
        <v>50000</v>
      </c>
      <c r="L61" s="43" t="s">
        <v>702</v>
      </c>
      <c r="M61" s="3">
        <v>46132.535416666702</v>
      </c>
      <c r="N61" s="2" t="s">
        <v>745</v>
      </c>
      <c r="O61" s="3">
        <v>46152.535416666702</v>
      </c>
      <c r="P61" s="2" t="s">
        <v>745</v>
      </c>
      <c r="Q61" s="34"/>
      <c r="R61" s="1" t="s">
        <v>31</v>
      </c>
    </row>
    <row r="62" spans="2:18">
      <c r="B62" s="2" t="s">
        <v>1386</v>
      </c>
      <c r="C62" s="2" t="s">
        <v>744</v>
      </c>
      <c r="D62" s="1">
        <v>3</v>
      </c>
      <c r="E62" s="2" t="s">
        <v>1387</v>
      </c>
      <c r="F62" s="2" t="s">
        <v>1295</v>
      </c>
      <c r="G62" s="45">
        <v>8</v>
      </c>
      <c r="H62" s="45" t="s">
        <v>702</v>
      </c>
      <c r="I62" s="43" t="s">
        <v>702</v>
      </c>
      <c r="J62" s="43" t="s">
        <v>702</v>
      </c>
      <c r="K62" s="30">
        <v>24000</v>
      </c>
      <c r="L62" s="43" t="s">
        <v>702</v>
      </c>
      <c r="M62" s="3">
        <v>46132.535416666702</v>
      </c>
      <c r="N62" s="2" t="s">
        <v>745</v>
      </c>
      <c r="O62" s="3">
        <v>46152.535416666702</v>
      </c>
      <c r="P62" s="2" t="s">
        <v>745</v>
      </c>
      <c r="Q62" s="34"/>
      <c r="R62" s="1" t="s">
        <v>31</v>
      </c>
    </row>
    <row r="63" spans="2:18">
      <c r="B63" s="2" t="s">
        <v>1388</v>
      </c>
      <c r="C63" s="2" t="s">
        <v>744</v>
      </c>
      <c r="D63" s="1">
        <v>4</v>
      </c>
      <c r="E63" s="2" t="s">
        <v>1389</v>
      </c>
      <c r="F63" s="2" t="s">
        <v>1298</v>
      </c>
      <c r="G63" s="45" t="s">
        <v>702</v>
      </c>
      <c r="H63" s="1">
        <v>3</v>
      </c>
      <c r="I63" s="43" t="s">
        <v>702</v>
      </c>
      <c r="J63" s="43" t="s">
        <v>702</v>
      </c>
      <c r="K63" s="30">
        <v>60000</v>
      </c>
      <c r="L63" s="43" t="s">
        <v>702</v>
      </c>
      <c r="M63" s="3">
        <v>46132.535416666702</v>
      </c>
      <c r="N63" s="2" t="s">
        <v>745</v>
      </c>
      <c r="O63" s="3">
        <v>46152.535416666702</v>
      </c>
      <c r="P63" s="2" t="s">
        <v>745</v>
      </c>
      <c r="Q63" s="34"/>
      <c r="R63" s="1" t="s">
        <v>31</v>
      </c>
    </row>
    <row r="64" spans="2:18">
      <c r="B64" s="2" t="s">
        <v>1390</v>
      </c>
      <c r="C64" s="2" t="s">
        <v>747</v>
      </c>
      <c r="D64" s="1">
        <v>1</v>
      </c>
      <c r="E64" s="2" t="s">
        <v>1391</v>
      </c>
      <c r="F64" s="2" t="s">
        <v>1301</v>
      </c>
      <c r="G64" s="45" t="s">
        <v>702</v>
      </c>
      <c r="H64" s="45">
        <v>1</v>
      </c>
      <c r="I64" s="43" t="s">
        <v>702</v>
      </c>
      <c r="J64" s="43" t="s">
        <v>702</v>
      </c>
      <c r="K64" s="30">
        <v>25000</v>
      </c>
      <c r="L64" s="43" t="s">
        <v>702</v>
      </c>
      <c r="M64" s="3">
        <v>46132.672222222202</v>
      </c>
      <c r="N64" s="2" t="s">
        <v>748</v>
      </c>
      <c r="O64" s="3">
        <v>46152.672222222202</v>
      </c>
      <c r="P64" s="2" t="s">
        <v>748</v>
      </c>
      <c r="Q64" s="34"/>
      <c r="R64" s="1" t="s">
        <v>31</v>
      </c>
    </row>
    <row r="65" spans="2:18">
      <c r="B65" s="2" t="s">
        <v>1392</v>
      </c>
      <c r="C65" s="2" t="s">
        <v>747</v>
      </c>
      <c r="D65" s="1">
        <v>2</v>
      </c>
      <c r="E65" s="2" t="s">
        <v>1393</v>
      </c>
      <c r="F65" s="2" t="s">
        <v>1304</v>
      </c>
      <c r="G65" s="45">
        <v>7</v>
      </c>
      <c r="H65" s="45" t="s">
        <v>702</v>
      </c>
      <c r="I65" s="43" t="s">
        <v>702</v>
      </c>
      <c r="J65" s="43" t="s">
        <v>702</v>
      </c>
      <c r="K65" s="30">
        <v>42000</v>
      </c>
      <c r="L65" s="43" t="s">
        <v>702</v>
      </c>
      <c r="M65" s="3">
        <v>46132.672222222202</v>
      </c>
      <c r="N65" s="2" t="s">
        <v>748</v>
      </c>
      <c r="O65" s="3">
        <v>46152.672222222202</v>
      </c>
      <c r="P65" s="2" t="s">
        <v>748</v>
      </c>
      <c r="Q65" s="34"/>
      <c r="R65" s="1" t="s">
        <v>31</v>
      </c>
    </row>
    <row r="66" spans="2:18">
      <c r="B66" s="2" t="s">
        <v>1394</v>
      </c>
      <c r="C66" s="2" t="s">
        <v>747</v>
      </c>
      <c r="D66" s="1">
        <v>3</v>
      </c>
      <c r="E66" s="2" t="s">
        <v>1395</v>
      </c>
      <c r="F66" s="2" t="s">
        <v>1307</v>
      </c>
      <c r="G66" s="45" t="s">
        <v>702</v>
      </c>
      <c r="H66" s="45">
        <v>3</v>
      </c>
      <c r="I66" s="43" t="s">
        <v>702</v>
      </c>
      <c r="J66" s="43" t="s">
        <v>702</v>
      </c>
      <c r="K66" s="30">
        <v>90000</v>
      </c>
      <c r="L66" s="43" t="s">
        <v>702</v>
      </c>
      <c r="M66" s="3">
        <v>46132.672222222202</v>
      </c>
      <c r="N66" s="2" t="s">
        <v>748</v>
      </c>
      <c r="O66" s="3">
        <v>46152.672222222202</v>
      </c>
      <c r="P66" s="2" t="s">
        <v>748</v>
      </c>
      <c r="Q66" s="34"/>
      <c r="R66" s="1" t="s">
        <v>31</v>
      </c>
    </row>
    <row r="67" spans="2:18">
      <c r="B67" s="2" t="s">
        <v>1396</v>
      </c>
      <c r="C67" s="2" t="s">
        <v>747</v>
      </c>
      <c r="D67" s="1">
        <v>4</v>
      </c>
      <c r="E67" s="2" t="s">
        <v>1397</v>
      </c>
      <c r="F67" s="2" t="s">
        <v>1310</v>
      </c>
      <c r="G67" s="45">
        <v>11</v>
      </c>
      <c r="H67" s="45" t="s">
        <v>702</v>
      </c>
      <c r="I67" s="43" t="s">
        <v>702</v>
      </c>
      <c r="J67" s="43" t="s">
        <v>702</v>
      </c>
      <c r="K67" s="30">
        <v>132000</v>
      </c>
      <c r="L67" s="43" t="s">
        <v>702</v>
      </c>
      <c r="M67" s="3">
        <v>46132.672222222202</v>
      </c>
      <c r="N67" s="2" t="s">
        <v>748</v>
      </c>
      <c r="O67" s="3">
        <v>46152.672222222202</v>
      </c>
      <c r="P67" s="2" t="s">
        <v>748</v>
      </c>
      <c r="Q67" s="34"/>
      <c r="R67" s="1" t="s">
        <v>31</v>
      </c>
    </row>
    <row r="68" spans="2:18">
      <c r="B68" s="2" t="s">
        <v>1398</v>
      </c>
      <c r="C68" s="2" t="s">
        <v>750</v>
      </c>
      <c r="D68" s="1">
        <v>1</v>
      </c>
      <c r="E68" s="2" t="s">
        <v>1399</v>
      </c>
      <c r="F68" s="2" t="s">
        <v>1313</v>
      </c>
      <c r="G68" s="1">
        <v>6</v>
      </c>
      <c r="H68" s="45" t="s">
        <v>702</v>
      </c>
      <c r="I68" s="43" t="s">
        <v>702</v>
      </c>
      <c r="J68" s="43" t="s">
        <v>702</v>
      </c>
      <c r="K68" s="30">
        <v>75000</v>
      </c>
      <c r="L68" s="43" t="s">
        <v>702</v>
      </c>
      <c r="M68" s="3">
        <v>46133.392361111102</v>
      </c>
      <c r="N68" s="2" t="s">
        <v>751</v>
      </c>
      <c r="O68" s="3">
        <v>46153.392361111102</v>
      </c>
      <c r="P68" s="2" t="s">
        <v>751</v>
      </c>
      <c r="Q68" s="34"/>
      <c r="R68" s="1" t="s">
        <v>31</v>
      </c>
    </row>
    <row r="69" spans="2:18">
      <c r="B69" s="2" t="s">
        <v>1400</v>
      </c>
      <c r="C69" s="2" t="s">
        <v>750</v>
      </c>
      <c r="D69" s="1">
        <v>2</v>
      </c>
      <c r="E69" s="2" t="s">
        <v>1401</v>
      </c>
      <c r="F69" s="2" t="s">
        <v>1316</v>
      </c>
      <c r="G69" s="45" t="s">
        <v>702</v>
      </c>
      <c r="H69" s="1">
        <v>3</v>
      </c>
      <c r="I69" s="43" t="s">
        <v>702</v>
      </c>
      <c r="J69" s="43" t="s">
        <v>702</v>
      </c>
      <c r="K69" s="30">
        <v>150000</v>
      </c>
      <c r="L69" s="43" t="s">
        <v>702</v>
      </c>
      <c r="M69" s="3">
        <v>46133.392361111102</v>
      </c>
      <c r="N69" s="2" t="s">
        <v>751</v>
      </c>
      <c r="O69" s="3">
        <v>46153.392361111102</v>
      </c>
      <c r="P69" s="2" t="s">
        <v>751</v>
      </c>
      <c r="Q69" s="34"/>
      <c r="R69" s="1" t="s">
        <v>31</v>
      </c>
    </row>
    <row r="70" spans="2:18">
      <c r="B70" s="2" t="s">
        <v>1402</v>
      </c>
      <c r="C70" s="2" t="s">
        <v>750</v>
      </c>
      <c r="D70" s="1">
        <v>3</v>
      </c>
      <c r="E70" s="2" t="s">
        <v>1403</v>
      </c>
      <c r="F70" s="2" t="s">
        <v>1319</v>
      </c>
      <c r="G70" s="1">
        <v>10</v>
      </c>
      <c r="H70" s="45" t="s">
        <v>702</v>
      </c>
      <c r="I70" s="43" t="s">
        <v>702</v>
      </c>
      <c r="J70" s="43" t="s">
        <v>702</v>
      </c>
      <c r="K70" s="30">
        <v>175000</v>
      </c>
      <c r="L70" s="43" t="s">
        <v>702</v>
      </c>
      <c r="M70" s="3">
        <v>46133.392361111102</v>
      </c>
      <c r="N70" s="2" t="s">
        <v>751</v>
      </c>
      <c r="O70" s="3">
        <v>46153.392361111102</v>
      </c>
      <c r="P70" s="2" t="s">
        <v>751</v>
      </c>
      <c r="Q70" s="34"/>
      <c r="R70" s="1" t="s">
        <v>31</v>
      </c>
    </row>
    <row r="71" spans="2:18" ht="29" customHeight="1">
      <c r="B71" s="2" t="s">
        <v>1404</v>
      </c>
      <c r="C71" s="2" t="s">
        <v>750</v>
      </c>
      <c r="D71" s="1">
        <v>4</v>
      </c>
      <c r="E71" s="2" t="s">
        <v>1405</v>
      </c>
      <c r="F71" s="2" t="s">
        <v>1259</v>
      </c>
      <c r="G71" s="45" t="s">
        <v>702</v>
      </c>
      <c r="H71" s="1">
        <v>2</v>
      </c>
      <c r="I71" s="43" t="s">
        <v>702</v>
      </c>
      <c r="J71" s="43" t="s">
        <v>702</v>
      </c>
      <c r="K71" s="30">
        <v>70000</v>
      </c>
      <c r="L71" s="43" t="s">
        <v>702</v>
      </c>
      <c r="M71" s="3">
        <v>46133.392361111102</v>
      </c>
      <c r="N71" s="2" t="s">
        <v>751</v>
      </c>
      <c r="O71" s="3">
        <v>46153.392361111102</v>
      </c>
      <c r="P71" s="2" t="s">
        <v>751</v>
      </c>
      <c r="Q71" s="34"/>
      <c r="R71" s="1" t="s">
        <v>31</v>
      </c>
    </row>
    <row r="72" spans="2:18">
      <c r="B72" s="2" t="s">
        <v>1406</v>
      </c>
      <c r="C72" s="2" t="s">
        <v>753</v>
      </c>
      <c r="D72" s="1">
        <v>1</v>
      </c>
      <c r="E72" s="2" t="s">
        <v>1407</v>
      </c>
      <c r="F72" s="2" t="s">
        <v>1262</v>
      </c>
      <c r="G72" s="45" t="s">
        <v>702</v>
      </c>
      <c r="H72" s="45">
        <v>3</v>
      </c>
      <c r="I72" s="43" t="s">
        <v>702</v>
      </c>
      <c r="J72" s="43" t="s">
        <v>702</v>
      </c>
      <c r="K72" s="30">
        <v>127500</v>
      </c>
      <c r="L72" s="43" t="s">
        <v>702</v>
      </c>
      <c r="M72" s="3">
        <v>46133.529166666704</v>
      </c>
      <c r="N72" s="2" t="s">
        <v>754</v>
      </c>
      <c r="O72" s="3">
        <v>46153.529166666704</v>
      </c>
      <c r="P72" s="2" t="s">
        <v>754</v>
      </c>
      <c r="Q72" s="34"/>
      <c r="R72" s="1" t="s">
        <v>31</v>
      </c>
    </row>
    <row r="73" spans="2:18">
      <c r="B73" s="2" t="s">
        <v>1408</v>
      </c>
      <c r="C73" s="2" t="s">
        <v>753</v>
      </c>
      <c r="D73" s="1">
        <v>2</v>
      </c>
      <c r="E73" s="2" t="s">
        <v>1409</v>
      </c>
      <c r="F73" s="2" t="s">
        <v>1265</v>
      </c>
      <c r="G73" s="45">
        <v>9</v>
      </c>
      <c r="H73" s="45" t="s">
        <v>702</v>
      </c>
      <c r="I73" s="43" t="s">
        <v>702</v>
      </c>
      <c r="J73" s="43" t="s">
        <v>702</v>
      </c>
      <c r="K73" s="30">
        <v>157500</v>
      </c>
      <c r="L73" s="43" t="s">
        <v>702</v>
      </c>
      <c r="M73" s="3">
        <v>46133.529166666704</v>
      </c>
      <c r="N73" s="2" t="s">
        <v>754</v>
      </c>
      <c r="O73" s="3">
        <v>46153.529166666704</v>
      </c>
      <c r="P73" s="2" t="s">
        <v>754</v>
      </c>
      <c r="Q73" s="34"/>
      <c r="R73" s="1" t="s">
        <v>31</v>
      </c>
    </row>
    <row r="74" spans="2:18" ht="29" customHeight="1">
      <c r="B74" s="2" t="s">
        <v>1410</v>
      </c>
      <c r="C74" s="2" t="s">
        <v>753</v>
      </c>
      <c r="D74" s="1">
        <v>3</v>
      </c>
      <c r="E74" s="2" t="s">
        <v>1411</v>
      </c>
      <c r="F74" s="2" t="s">
        <v>1268</v>
      </c>
      <c r="G74" s="45" t="s">
        <v>702</v>
      </c>
      <c r="H74" s="45">
        <v>2</v>
      </c>
      <c r="I74" s="43" t="s">
        <v>702</v>
      </c>
      <c r="J74" s="43" t="s">
        <v>702</v>
      </c>
      <c r="K74" s="30">
        <v>50000</v>
      </c>
      <c r="L74" s="43" t="s">
        <v>702</v>
      </c>
      <c r="M74" s="3">
        <v>46133.529166666704</v>
      </c>
      <c r="N74" s="2" t="s">
        <v>754</v>
      </c>
      <c r="O74" s="3">
        <v>46153.529166666704</v>
      </c>
      <c r="P74" s="2" t="s">
        <v>754</v>
      </c>
      <c r="Q74" s="34"/>
      <c r="R74" s="1" t="s">
        <v>31</v>
      </c>
    </row>
    <row r="75" spans="2:18">
      <c r="B75" s="2" t="s">
        <v>1412</v>
      </c>
      <c r="C75" s="2" t="s">
        <v>753</v>
      </c>
      <c r="D75" s="1">
        <v>4</v>
      </c>
      <c r="E75" s="2" t="s">
        <v>1413</v>
      </c>
      <c r="F75" s="2" t="s">
        <v>1271</v>
      </c>
      <c r="G75" s="45">
        <v>1</v>
      </c>
      <c r="H75" s="45" t="s">
        <v>702</v>
      </c>
      <c r="I75" s="43" t="s">
        <v>702</v>
      </c>
      <c r="J75" s="43" t="s">
        <v>702</v>
      </c>
      <c r="K75" s="30">
        <v>10000</v>
      </c>
      <c r="L75" s="43" t="s">
        <v>702</v>
      </c>
      <c r="M75" s="3">
        <v>46133.529166666704</v>
      </c>
      <c r="N75" s="2" t="s">
        <v>754</v>
      </c>
      <c r="O75" s="3">
        <v>46153.529166666704</v>
      </c>
      <c r="P75" s="2" t="s">
        <v>754</v>
      </c>
      <c r="Q75" s="34"/>
      <c r="R75" s="1" t="s">
        <v>31</v>
      </c>
    </row>
    <row r="76" spans="2:18">
      <c r="B76" s="2" t="s">
        <v>1414</v>
      </c>
      <c r="C76" s="2" t="s">
        <v>756</v>
      </c>
      <c r="D76" s="1">
        <v>1</v>
      </c>
      <c r="E76" s="2" t="s">
        <v>1415</v>
      </c>
      <c r="F76" s="2" t="s">
        <v>1274</v>
      </c>
      <c r="G76" s="1">
        <v>8</v>
      </c>
      <c r="H76" s="45" t="s">
        <v>702</v>
      </c>
      <c r="I76" s="43" t="s">
        <v>702</v>
      </c>
      <c r="J76" s="43" t="s">
        <v>702</v>
      </c>
      <c r="K76" s="30">
        <v>100000</v>
      </c>
      <c r="L76" s="43" t="s">
        <v>702</v>
      </c>
      <c r="M76" s="3">
        <v>46134.665972222203</v>
      </c>
      <c r="N76" s="2" t="s">
        <v>757</v>
      </c>
      <c r="O76" s="3">
        <v>46154.665972222203</v>
      </c>
      <c r="P76" s="2" t="s">
        <v>757</v>
      </c>
      <c r="Q76" s="34"/>
      <c r="R76" s="1" t="s">
        <v>31</v>
      </c>
    </row>
    <row r="77" spans="2:18" ht="29" customHeight="1">
      <c r="B77" s="2" t="s">
        <v>1416</v>
      </c>
      <c r="C77" s="2" t="s">
        <v>756</v>
      </c>
      <c r="D77" s="1">
        <v>2</v>
      </c>
      <c r="E77" s="2" t="s">
        <v>1417</v>
      </c>
      <c r="F77" s="2" t="s">
        <v>1277</v>
      </c>
      <c r="G77" s="45" t="s">
        <v>702</v>
      </c>
      <c r="H77" s="1">
        <v>2</v>
      </c>
      <c r="I77" s="43" t="s">
        <v>702</v>
      </c>
      <c r="J77" s="43" t="s">
        <v>702</v>
      </c>
      <c r="K77" s="30">
        <v>70000</v>
      </c>
      <c r="L77" s="43" t="s">
        <v>702</v>
      </c>
      <c r="M77" s="3">
        <v>46134.665972222203</v>
      </c>
      <c r="N77" s="2" t="s">
        <v>757</v>
      </c>
      <c r="O77" s="3">
        <v>46154.665972222203</v>
      </c>
      <c r="P77" s="2" t="s">
        <v>757</v>
      </c>
      <c r="Q77" s="34"/>
      <c r="R77" s="1" t="s">
        <v>31</v>
      </c>
    </row>
    <row r="78" spans="2:18">
      <c r="B78" s="2" t="s">
        <v>1418</v>
      </c>
      <c r="C78" s="2" t="s">
        <v>756</v>
      </c>
      <c r="D78" s="1">
        <v>3</v>
      </c>
      <c r="E78" s="2" t="s">
        <v>1419</v>
      </c>
      <c r="F78" s="2" t="s">
        <v>1280</v>
      </c>
      <c r="G78" s="45">
        <v>12</v>
      </c>
      <c r="H78" s="45" t="s">
        <v>702</v>
      </c>
      <c r="I78" s="43" t="s">
        <v>702</v>
      </c>
      <c r="J78" s="43" t="s">
        <v>702</v>
      </c>
      <c r="K78" s="30">
        <v>180000</v>
      </c>
      <c r="L78" s="43" t="s">
        <v>702</v>
      </c>
      <c r="M78" s="3">
        <v>46134.665972222203</v>
      </c>
      <c r="N78" s="2" t="s">
        <v>757</v>
      </c>
      <c r="O78" s="3">
        <v>46154.665972222203</v>
      </c>
      <c r="P78" s="2" t="s">
        <v>757</v>
      </c>
      <c r="Q78" s="34"/>
      <c r="R78" s="1" t="s">
        <v>31</v>
      </c>
    </row>
    <row r="79" spans="2:18">
      <c r="B79" s="2" t="s">
        <v>1420</v>
      </c>
      <c r="C79" s="2" t="s">
        <v>756</v>
      </c>
      <c r="D79" s="1">
        <v>4</v>
      </c>
      <c r="E79" s="2" t="s">
        <v>1421</v>
      </c>
      <c r="F79" s="2" t="s">
        <v>1283</v>
      </c>
      <c r="G79" s="45" t="s">
        <v>702</v>
      </c>
      <c r="H79" s="45">
        <v>1</v>
      </c>
      <c r="I79" s="43" t="s">
        <v>702</v>
      </c>
      <c r="J79" s="43" t="s">
        <v>702</v>
      </c>
      <c r="K79" s="30">
        <v>50000</v>
      </c>
      <c r="L79" s="43" t="s">
        <v>702</v>
      </c>
      <c r="M79" s="3">
        <v>46134.665972222203</v>
      </c>
      <c r="N79" s="2" t="s">
        <v>757</v>
      </c>
      <c r="O79" s="3">
        <v>46154.665972222203</v>
      </c>
      <c r="P79" s="2" t="s">
        <v>757</v>
      </c>
      <c r="Q79" s="34"/>
      <c r="R79" s="1" t="s">
        <v>31</v>
      </c>
    </row>
    <row r="80" spans="2:18" ht="29" customHeight="1">
      <c r="B80" s="2" t="s">
        <v>1422</v>
      </c>
      <c r="C80" s="2" t="s">
        <v>759</v>
      </c>
      <c r="D80" s="1">
        <v>1</v>
      </c>
      <c r="E80" s="2" t="s">
        <v>1423</v>
      </c>
      <c r="F80" s="2" t="s">
        <v>1286</v>
      </c>
      <c r="G80" s="45" t="s">
        <v>702</v>
      </c>
      <c r="H80" s="45">
        <v>2</v>
      </c>
      <c r="I80" s="43" t="s">
        <v>702</v>
      </c>
      <c r="J80" s="43" t="s">
        <v>702</v>
      </c>
      <c r="K80" s="30">
        <v>60000</v>
      </c>
      <c r="L80" s="43" t="s">
        <v>702</v>
      </c>
      <c r="M80" s="3">
        <v>46134.386111111096</v>
      </c>
      <c r="N80" s="2" t="s">
        <v>760</v>
      </c>
      <c r="O80" s="3">
        <v>46154.386111111096</v>
      </c>
      <c r="P80" s="2" t="s">
        <v>760</v>
      </c>
      <c r="Q80" s="34"/>
      <c r="R80" s="1" t="s">
        <v>31</v>
      </c>
    </row>
    <row r="81" spans="2:18">
      <c r="B81" s="2" t="s">
        <v>1424</v>
      </c>
      <c r="C81" s="2" t="s">
        <v>759</v>
      </c>
      <c r="D81" s="1">
        <v>2</v>
      </c>
      <c r="E81" s="2" t="s">
        <v>1425</v>
      </c>
      <c r="F81" s="2" t="s">
        <v>1289</v>
      </c>
      <c r="G81" s="45">
        <v>11</v>
      </c>
      <c r="H81" s="45" t="s">
        <v>702</v>
      </c>
      <c r="I81" s="43" t="s">
        <v>702</v>
      </c>
      <c r="J81" s="43" t="s">
        <v>702</v>
      </c>
      <c r="K81" s="30">
        <v>137500</v>
      </c>
      <c r="L81" s="43" t="s">
        <v>702</v>
      </c>
      <c r="M81" s="3">
        <v>46134.386111111096</v>
      </c>
      <c r="N81" s="2" t="s">
        <v>760</v>
      </c>
      <c r="O81" s="3">
        <v>46154.386111111096</v>
      </c>
      <c r="P81" s="2" t="s">
        <v>760</v>
      </c>
      <c r="Q81" s="34"/>
      <c r="R81" s="1" t="s">
        <v>31</v>
      </c>
    </row>
    <row r="82" spans="2:18">
      <c r="B82" s="2" t="s">
        <v>1426</v>
      </c>
      <c r="C82" s="2" t="s">
        <v>759</v>
      </c>
      <c r="D82" s="1">
        <v>3</v>
      </c>
      <c r="E82" s="2" t="s">
        <v>1427</v>
      </c>
      <c r="F82" s="2" t="s">
        <v>1292</v>
      </c>
      <c r="G82" s="45" t="s">
        <v>702</v>
      </c>
      <c r="H82" s="45">
        <v>1</v>
      </c>
      <c r="I82" s="43" t="s">
        <v>702</v>
      </c>
      <c r="J82" s="43" t="s">
        <v>702</v>
      </c>
      <c r="K82" s="30">
        <v>50000</v>
      </c>
      <c r="L82" s="43" t="s">
        <v>702</v>
      </c>
      <c r="M82" s="3">
        <v>46134.386111111096</v>
      </c>
      <c r="N82" s="2" t="s">
        <v>760</v>
      </c>
      <c r="O82" s="3">
        <v>46154.386111111096</v>
      </c>
      <c r="P82" s="2" t="s">
        <v>760</v>
      </c>
      <c r="Q82" s="34"/>
      <c r="R82" s="1" t="s">
        <v>31</v>
      </c>
    </row>
    <row r="83" spans="2:18">
      <c r="B83" s="2" t="s">
        <v>1428</v>
      </c>
      <c r="C83" s="2" t="s">
        <v>759</v>
      </c>
      <c r="D83" s="1">
        <v>4</v>
      </c>
      <c r="E83" s="2" t="s">
        <v>1429</v>
      </c>
      <c r="F83" s="2" t="s">
        <v>1295</v>
      </c>
      <c r="G83" s="45">
        <v>3</v>
      </c>
      <c r="H83" s="45" t="s">
        <v>702</v>
      </c>
      <c r="I83" s="43" t="s">
        <v>702</v>
      </c>
      <c r="J83" s="43" t="s">
        <v>702</v>
      </c>
      <c r="K83" s="30">
        <v>9000</v>
      </c>
      <c r="L83" s="43" t="s">
        <v>702</v>
      </c>
      <c r="M83" s="3">
        <v>46134.386111111096</v>
      </c>
      <c r="N83" s="2" t="s">
        <v>760</v>
      </c>
      <c r="O83" s="3">
        <v>46154.386111111096</v>
      </c>
      <c r="P83" s="2" t="s">
        <v>760</v>
      </c>
      <c r="Q83" s="34"/>
      <c r="R83" s="1" t="s">
        <v>31</v>
      </c>
    </row>
    <row r="84" spans="2:18">
      <c r="B84" s="2" t="s">
        <v>1430</v>
      </c>
      <c r="C84" s="2" t="s">
        <v>762</v>
      </c>
      <c r="D84" s="1">
        <v>1</v>
      </c>
      <c r="E84" s="2" t="s">
        <v>1431</v>
      </c>
      <c r="F84" s="2" t="s">
        <v>1298</v>
      </c>
      <c r="G84" s="1">
        <v>10</v>
      </c>
      <c r="H84" s="45" t="s">
        <v>702</v>
      </c>
      <c r="I84" s="43" t="s">
        <v>702</v>
      </c>
      <c r="J84" s="43" t="s">
        <v>702</v>
      </c>
      <c r="K84" s="30">
        <v>50000</v>
      </c>
      <c r="L84" s="43" t="s">
        <v>702</v>
      </c>
      <c r="M84" s="3">
        <v>46135.522916666698</v>
      </c>
      <c r="N84" s="2" t="s">
        <v>763</v>
      </c>
      <c r="O84" s="3">
        <v>46155.522916666698</v>
      </c>
      <c r="P84" s="2" t="s">
        <v>763</v>
      </c>
      <c r="Q84" s="34"/>
      <c r="R84" s="1" t="s">
        <v>31</v>
      </c>
    </row>
    <row r="85" spans="2:18">
      <c r="B85" s="2" t="s">
        <v>1432</v>
      </c>
      <c r="C85" s="2" t="s">
        <v>762</v>
      </c>
      <c r="D85" s="1">
        <v>2</v>
      </c>
      <c r="E85" s="2" t="s">
        <v>1433</v>
      </c>
      <c r="F85" s="2" t="s">
        <v>1301</v>
      </c>
      <c r="G85" s="45" t="s">
        <v>702</v>
      </c>
      <c r="H85" s="1">
        <v>1</v>
      </c>
      <c r="I85" s="43" t="s">
        <v>702</v>
      </c>
      <c r="J85" s="43" t="s">
        <v>702</v>
      </c>
      <c r="K85" s="30">
        <v>25000</v>
      </c>
      <c r="L85" s="43" t="s">
        <v>702</v>
      </c>
      <c r="M85" s="3">
        <v>46135.522916666698</v>
      </c>
      <c r="N85" s="2" t="s">
        <v>763</v>
      </c>
      <c r="O85" s="3">
        <v>46155.522916666698</v>
      </c>
      <c r="P85" s="2" t="s">
        <v>763</v>
      </c>
      <c r="Q85" s="34"/>
      <c r="R85" s="1" t="s">
        <v>31</v>
      </c>
    </row>
    <row r="86" spans="2:18">
      <c r="B86" s="2" t="s">
        <v>1434</v>
      </c>
      <c r="C86" s="2" t="s">
        <v>762</v>
      </c>
      <c r="D86" s="1">
        <v>3</v>
      </c>
      <c r="E86" s="2" t="s">
        <v>1435</v>
      </c>
      <c r="F86" s="2" t="s">
        <v>1304</v>
      </c>
      <c r="G86" s="1">
        <v>2</v>
      </c>
      <c r="H86" s="45" t="s">
        <v>702</v>
      </c>
      <c r="I86" s="43" t="s">
        <v>702</v>
      </c>
      <c r="J86" s="43" t="s">
        <v>702</v>
      </c>
      <c r="K86" s="30">
        <v>12000</v>
      </c>
      <c r="L86" s="43" t="s">
        <v>702</v>
      </c>
      <c r="M86" s="3">
        <v>46135.522916666698</v>
      </c>
      <c r="N86" s="2" t="s">
        <v>763</v>
      </c>
      <c r="O86" s="3">
        <v>46155.522916666698</v>
      </c>
      <c r="P86" s="2" t="s">
        <v>763</v>
      </c>
      <c r="Q86" s="34"/>
      <c r="R86" s="1" t="s">
        <v>31</v>
      </c>
    </row>
    <row r="87" spans="2:18" ht="29" customHeight="1">
      <c r="B87" s="2" t="s">
        <v>1436</v>
      </c>
      <c r="C87" s="2" t="s">
        <v>762</v>
      </c>
      <c r="D87" s="1">
        <v>4</v>
      </c>
      <c r="E87" s="2" t="s">
        <v>1437</v>
      </c>
      <c r="F87" s="2" t="s">
        <v>1307</v>
      </c>
      <c r="G87" s="45" t="s">
        <v>702</v>
      </c>
      <c r="H87" s="45">
        <v>3</v>
      </c>
      <c r="I87" s="43" t="s">
        <v>702</v>
      </c>
      <c r="J87" s="43" t="s">
        <v>702</v>
      </c>
      <c r="K87" s="30">
        <v>90000</v>
      </c>
      <c r="L87" s="43" t="s">
        <v>702</v>
      </c>
      <c r="M87" s="3">
        <v>46135.522916666698</v>
      </c>
      <c r="N87" s="2" t="s">
        <v>763</v>
      </c>
      <c r="O87" s="3">
        <v>46155.522916666698</v>
      </c>
      <c r="P87" s="2" t="s">
        <v>763</v>
      </c>
      <c r="Q87" s="34"/>
      <c r="R87" s="1" t="s">
        <v>31</v>
      </c>
    </row>
    <row r="88" spans="2:18">
      <c r="B88" s="2" t="s">
        <v>1438</v>
      </c>
      <c r="C88" s="2" t="s">
        <v>765</v>
      </c>
      <c r="D88" s="1">
        <v>1</v>
      </c>
      <c r="E88" s="2" t="s">
        <v>1439</v>
      </c>
      <c r="F88" s="2" t="s">
        <v>1310</v>
      </c>
      <c r="G88" s="45" t="s">
        <v>702</v>
      </c>
      <c r="H88" s="1">
        <v>1</v>
      </c>
      <c r="I88" s="43" t="s">
        <v>702</v>
      </c>
      <c r="J88" s="43" t="s">
        <v>702</v>
      </c>
      <c r="K88" s="30">
        <v>40000</v>
      </c>
      <c r="L88" s="43" t="s">
        <v>702</v>
      </c>
      <c r="M88" s="3">
        <v>46135.659722222197</v>
      </c>
      <c r="N88" s="2" t="s">
        <v>766</v>
      </c>
      <c r="O88" s="3">
        <v>46155.659722222197</v>
      </c>
      <c r="P88" s="2" t="s">
        <v>766</v>
      </c>
      <c r="Q88" s="34"/>
      <c r="R88" s="1" t="s">
        <v>31</v>
      </c>
    </row>
    <row r="89" spans="2:18">
      <c r="B89" s="2" t="s">
        <v>1440</v>
      </c>
      <c r="C89" s="2" t="s">
        <v>765</v>
      </c>
      <c r="D89" s="1">
        <v>2</v>
      </c>
      <c r="E89" s="2" t="s">
        <v>1441</v>
      </c>
      <c r="F89" s="2" t="s">
        <v>1313</v>
      </c>
      <c r="G89" s="1">
        <v>1</v>
      </c>
      <c r="H89" s="45" t="s">
        <v>702</v>
      </c>
      <c r="I89" s="43" t="s">
        <v>702</v>
      </c>
      <c r="J89" s="43" t="s">
        <v>702</v>
      </c>
      <c r="K89" s="30">
        <v>12500</v>
      </c>
      <c r="L89" s="43" t="s">
        <v>702</v>
      </c>
      <c r="M89" s="3">
        <v>46135.659722222197</v>
      </c>
      <c r="N89" s="2" t="s">
        <v>766</v>
      </c>
      <c r="O89" s="3">
        <v>46155.659722222197</v>
      </c>
      <c r="P89" s="2" t="s">
        <v>766</v>
      </c>
      <c r="Q89" s="34"/>
      <c r="R89" s="1" t="s">
        <v>31</v>
      </c>
    </row>
    <row r="90" spans="2:18" ht="29" customHeight="1">
      <c r="B90" s="2" t="s">
        <v>1442</v>
      </c>
      <c r="C90" s="2" t="s">
        <v>765</v>
      </c>
      <c r="D90" s="1">
        <v>3</v>
      </c>
      <c r="E90" s="2" t="s">
        <v>1443</v>
      </c>
      <c r="F90" s="2" t="s">
        <v>1316</v>
      </c>
      <c r="G90" s="45" t="s">
        <v>702</v>
      </c>
      <c r="H90" s="1">
        <v>3</v>
      </c>
      <c r="I90" s="43" t="s">
        <v>702</v>
      </c>
      <c r="J90" s="43" t="s">
        <v>702</v>
      </c>
      <c r="K90" s="30">
        <v>150000</v>
      </c>
      <c r="L90" s="43" t="s">
        <v>702</v>
      </c>
      <c r="M90" s="3">
        <v>46135.659722222197</v>
      </c>
      <c r="N90" s="2" t="s">
        <v>766</v>
      </c>
      <c r="O90" s="3">
        <v>46155.659722222197</v>
      </c>
      <c r="P90" s="2" t="s">
        <v>766</v>
      </c>
      <c r="Q90" s="34"/>
      <c r="R90" s="1" t="s">
        <v>31</v>
      </c>
    </row>
    <row r="91" spans="2:18" ht="29" customHeight="1">
      <c r="B91" s="2" t="s">
        <v>1444</v>
      </c>
      <c r="C91" s="2" t="s">
        <v>765</v>
      </c>
      <c r="D91" s="1">
        <v>4</v>
      </c>
      <c r="E91" s="2" t="s">
        <v>1445</v>
      </c>
      <c r="F91" s="2" t="s">
        <v>1319</v>
      </c>
      <c r="G91" s="1">
        <v>5</v>
      </c>
      <c r="H91" s="45" t="s">
        <v>702</v>
      </c>
      <c r="I91" s="43" t="s">
        <v>702</v>
      </c>
      <c r="J91" s="43" t="s">
        <v>702</v>
      </c>
      <c r="K91" s="30">
        <v>87500</v>
      </c>
      <c r="L91" s="43" t="s">
        <v>702</v>
      </c>
      <c r="M91" s="3">
        <v>46135.659722222197</v>
      </c>
      <c r="N91" s="2" t="s">
        <v>766</v>
      </c>
      <c r="O91" s="3">
        <v>46155.659722222197</v>
      </c>
      <c r="P91" s="2" t="s">
        <v>766</v>
      </c>
      <c r="Q91" s="34"/>
      <c r="R91" s="1" t="s">
        <v>31</v>
      </c>
    </row>
    <row r="92" spans="2:18">
      <c r="B92" s="2" t="s">
        <v>1446</v>
      </c>
      <c r="C92" s="2" t="s">
        <v>768</v>
      </c>
      <c r="D92" s="1">
        <v>1</v>
      </c>
      <c r="E92" s="2" t="s">
        <v>1447</v>
      </c>
      <c r="F92" s="2" t="s">
        <v>1259</v>
      </c>
      <c r="G92" s="45">
        <v>12</v>
      </c>
      <c r="H92" s="45" t="s">
        <v>702</v>
      </c>
      <c r="I92" s="43" t="s">
        <v>702</v>
      </c>
      <c r="J92" s="43" t="s">
        <v>702</v>
      </c>
      <c r="K92" s="30">
        <v>150000</v>
      </c>
      <c r="L92" s="43" t="s">
        <v>702</v>
      </c>
      <c r="M92" s="3">
        <v>46136.421527777798</v>
      </c>
      <c r="N92" s="2" t="s">
        <v>769</v>
      </c>
      <c r="O92" s="3">
        <v>46156.421527777798</v>
      </c>
      <c r="P92" s="2" t="s">
        <v>769</v>
      </c>
      <c r="Q92" s="34"/>
      <c r="R92" s="1" t="s">
        <v>31</v>
      </c>
    </row>
    <row r="93" spans="2:18" ht="29" customHeight="1">
      <c r="B93" s="2" t="s">
        <v>1448</v>
      </c>
      <c r="C93" s="2" t="s">
        <v>768</v>
      </c>
      <c r="D93" s="1">
        <v>2</v>
      </c>
      <c r="E93" s="2" t="s">
        <v>1449</v>
      </c>
      <c r="F93" s="2" t="s">
        <v>1262</v>
      </c>
      <c r="G93" s="45" t="s">
        <v>702</v>
      </c>
      <c r="H93" s="45">
        <v>3</v>
      </c>
      <c r="I93" s="43" t="s">
        <v>702</v>
      </c>
      <c r="J93" s="43" t="s">
        <v>702</v>
      </c>
      <c r="K93" s="30">
        <v>127500</v>
      </c>
      <c r="L93" s="43" t="s">
        <v>702</v>
      </c>
      <c r="M93" s="3">
        <v>46136.421527777798</v>
      </c>
      <c r="N93" s="2" t="s">
        <v>769</v>
      </c>
      <c r="O93" s="3">
        <v>46156.421527777798</v>
      </c>
      <c r="P93" s="2" t="s">
        <v>769</v>
      </c>
      <c r="Q93" s="34"/>
      <c r="R93" s="1" t="s">
        <v>31</v>
      </c>
    </row>
    <row r="94" spans="2:18" ht="29" customHeight="1">
      <c r="B94" s="2" t="s">
        <v>1450</v>
      </c>
      <c r="C94" s="2" t="s">
        <v>768</v>
      </c>
      <c r="D94" s="1">
        <v>3</v>
      </c>
      <c r="E94" s="2" t="s">
        <v>1451</v>
      </c>
      <c r="F94" s="2" t="s">
        <v>1265</v>
      </c>
      <c r="G94" s="45">
        <v>4</v>
      </c>
      <c r="H94" s="45" t="s">
        <v>702</v>
      </c>
      <c r="I94" s="43" t="s">
        <v>702</v>
      </c>
      <c r="J94" s="43" t="s">
        <v>702</v>
      </c>
      <c r="K94" s="30">
        <v>70000</v>
      </c>
      <c r="L94" s="43" t="s">
        <v>702</v>
      </c>
      <c r="M94" s="3">
        <v>46136.421527777798</v>
      </c>
      <c r="N94" s="2" t="s">
        <v>769</v>
      </c>
      <c r="O94" s="3">
        <v>46156.421527777798</v>
      </c>
      <c r="P94" s="2" t="s">
        <v>769</v>
      </c>
      <c r="Q94" s="34"/>
      <c r="R94" s="1" t="s">
        <v>31</v>
      </c>
    </row>
    <row r="95" spans="2:18">
      <c r="B95" s="2" t="s">
        <v>1452</v>
      </c>
      <c r="C95" s="2" t="s">
        <v>768</v>
      </c>
      <c r="D95" s="1">
        <v>4</v>
      </c>
      <c r="E95" s="2" t="s">
        <v>1453</v>
      </c>
      <c r="F95" s="2" t="s">
        <v>1268</v>
      </c>
      <c r="G95" s="45" t="s">
        <v>702</v>
      </c>
      <c r="H95" s="45">
        <v>2</v>
      </c>
      <c r="I95" s="43" t="s">
        <v>702</v>
      </c>
      <c r="J95" s="43" t="s">
        <v>702</v>
      </c>
      <c r="K95" s="30">
        <v>50000</v>
      </c>
      <c r="L95" s="43" t="s">
        <v>702</v>
      </c>
      <c r="M95" s="3">
        <v>46136.421527777798</v>
      </c>
      <c r="N95" s="2" t="s">
        <v>769</v>
      </c>
      <c r="O95" s="3">
        <v>46156.421527777798</v>
      </c>
      <c r="P95" s="2" t="s">
        <v>769</v>
      </c>
      <c r="Q95" s="34"/>
      <c r="R95" s="1" t="s">
        <v>31</v>
      </c>
    </row>
    <row r="96" spans="2:18" ht="29" customHeight="1">
      <c r="B96" s="2" t="s">
        <v>1454</v>
      </c>
      <c r="C96" s="2" t="s">
        <v>771</v>
      </c>
      <c r="D96" s="1">
        <v>1</v>
      </c>
      <c r="E96" s="2" t="s">
        <v>1455</v>
      </c>
      <c r="F96" s="2" t="s">
        <v>1271</v>
      </c>
      <c r="G96" s="45" t="s">
        <v>702</v>
      </c>
      <c r="H96" s="1">
        <v>3</v>
      </c>
      <c r="I96" s="43" t="s">
        <v>702</v>
      </c>
      <c r="J96" s="43" t="s">
        <v>702</v>
      </c>
      <c r="K96" s="30">
        <v>96000</v>
      </c>
      <c r="L96" s="43" t="s">
        <v>702</v>
      </c>
      <c r="M96" s="3">
        <v>46136.516666666699</v>
      </c>
      <c r="N96" s="2" t="s">
        <v>772</v>
      </c>
      <c r="O96" s="3">
        <v>46156.516666666699</v>
      </c>
      <c r="P96" s="2" t="s">
        <v>772</v>
      </c>
      <c r="Q96" s="34"/>
      <c r="R96" s="1" t="s">
        <v>31</v>
      </c>
    </row>
    <row r="97" spans="2:18" ht="29" customHeight="1">
      <c r="B97" s="2" t="s">
        <v>1456</v>
      </c>
      <c r="C97" s="2" t="s">
        <v>771</v>
      </c>
      <c r="D97" s="1">
        <v>2</v>
      </c>
      <c r="E97" s="2" t="s">
        <v>1457</v>
      </c>
      <c r="F97" s="2" t="s">
        <v>1274</v>
      </c>
      <c r="G97" s="1">
        <v>3</v>
      </c>
      <c r="H97" s="45" t="s">
        <v>702</v>
      </c>
      <c r="I97" s="43" t="s">
        <v>702</v>
      </c>
      <c r="J97" s="43" t="s">
        <v>702</v>
      </c>
      <c r="K97" s="30">
        <v>37500</v>
      </c>
      <c r="L97" s="43" t="s">
        <v>702</v>
      </c>
      <c r="M97" s="3">
        <v>46136.516666666699</v>
      </c>
      <c r="N97" s="2" t="s">
        <v>772</v>
      </c>
      <c r="O97" s="3">
        <v>46156.516666666699</v>
      </c>
      <c r="P97" s="2" t="s">
        <v>772</v>
      </c>
      <c r="Q97" s="34"/>
      <c r="R97" s="1" t="s">
        <v>31</v>
      </c>
    </row>
    <row r="98" spans="2:18">
      <c r="B98" s="2" t="s">
        <v>1458</v>
      </c>
      <c r="C98" s="2" t="s">
        <v>771</v>
      </c>
      <c r="D98" s="1">
        <v>3</v>
      </c>
      <c r="E98" s="2" t="s">
        <v>1459</v>
      </c>
      <c r="F98" s="2" t="s">
        <v>1277</v>
      </c>
      <c r="G98" s="45" t="s">
        <v>702</v>
      </c>
      <c r="H98" s="45">
        <v>2</v>
      </c>
      <c r="I98" s="43" t="s">
        <v>702</v>
      </c>
      <c r="J98" s="43" t="s">
        <v>702</v>
      </c>
      <c r="K98" s="30">
        <v>70000</v>
      </c>
      <c r="L98" s="43" t="s">
        <v>702</v>
      </c>
      <c r="M98" s="3">
        <v>46136.516666666699</v>
      </c>
      <c r="N98" s="2" t="s">
        <v>772</v>
      </c>
      <c r="O98" s="3">
        <v>46156.516666666699</v>
      </c>
      <c r="P98" s="2" t="s">
        <v>772</v>
      </c>
      <c r="Q98" s="34"/>
      <c r="R98" s="1" t="s">
        <v>31</v>
      </c>
    </row>
    <row r="99" spans="2:18">
      <c r="B99" s="2" t="s">
        <v>1460</v>
      </c>
      <c r="C99" s="2" t="s">
        <v>771</v>
      </c>
      <c r="D99" s="1">
        <v>4</v>
      </c>
      <c r="E99" s="2" t="s">
        <v>1461</v>
      </c>
      <c r="F99" s="2" t="s">
        <v>1280</v>
      </c>
      <c r="G99" s="45">
        <v>7</v>
      </c>
      <c r="H99" s="45" t="s">
        <v>702</v>
      </c>
      <c r="I99" s="43" t="s">
        <v>702</v>
      </c>
      <c r="J99" s="43" t="s">
        <v>702</v>
      </c>
      <c r="K99" s="30">
        <v>105000</v>
      </c>
      <c r="L99" s="43" t="s">
        <v>702</v>
      </c>
      <c r="M99" s="3">
        <v>46136.516666666699</v>
      </c>
      <c r="N99" s="2" t="s">
        <v>772</v>
      </c>
      <c r="O99" s="3">
        <v>46156.516666666699</v>
      </c>
      <c r="P99" s="2" t="s">
        <v>772</v>
      </c>
      <c r="Q99" s="34"/>
      <c r="R99" s="1" t="s">
        <v>31</v>
      </c>
    </row>
    <row r="100" spans="2:18" ht="29" customHeight="1">
      <c r="B100" s="2" t="s">
        <v>1462</v>
      </c>
      <c r="C100" s="2" t="s">
        <v>774</v>
      </c>
      <c r="D100" s="1">
        <v>1</v>
      </c>
      <c r="E100" s="2" t="s">
        <v>1463</v>
      </c>
      <c r="F100" s="2" t="s">
        <v>1283</v>
      </c>
      <c r="G100" s="1">
        <v>2</v>
      </c>
      <c r="H100" s="45" t="s">
        <v>702</v>
      </c>
      <c r="I100" s="43" t="s">
        <v>702</v>
      </c>
      <c r="J100" s="43" t="s">
        <v>702</v>
      </c>
      <c r="K100" s="30">
        <v>35000</v>
      </c>
      <c r="L100" s="43" t="s">
        <v>702</v>
      </c>
      <c r="M100" s="3">
        <v>46136.653472222199</v>
      </c>
      <c r="N100" s="2" t="s">
        <v>775</v>
      </c>
      <c r="O100" s="3">
        <v>46156.653472222199</v>
      </c>
      <c r="P100" s="2" t="s">
        <v>775</v>
      </c>
      <c r="Q100" s="34"/>
      <c r="R100" s="1" t="s">
        <v>31</v>
      </c>
    </row>
    <row r="101" spans="2:18">
      <c r="B101" s="2" t="s">
        <v>1464</v>
      </c>
      <c r="C101" s="2" t="s">
        <v>774</v>
      </c>
      <c r="D101" s="1">
        <v>2</v>
      </c>
      <c r="E101" s="2" t="s">
        <v>1465</v>
      </c>
      <c r="F101" s="2" t="s">
        <v>1286</v>
      </c>
      <c r="G101" s="45" t="s">
        <v>702</v>
      </c>
      <c r="H101" s="1">
        <v>2</v>
      </c>
      <c r="I101" s="43" t="s">
        <v>702</v>
      </c>
      <c r="J101" s="43" t="s">
        <v>702</v>
      </c>
      <c r="K101" s="30">
        <v>60000</v>
      </c>
      <c r="L101" s="43" t="s">
        <v>702</v>
      </c>
      <c r="M101" s="3">
        <v>46136.653472222199</v>
      </c>
      <c r="N101" s="2" t="s">
        <v>775</v>
      </c>
      <c r="O101" s="3">
        <v>46156.653472222199</v>
      </c>
      <c r="P101" s="2" t="s">
        <v>775</v>
      </c>
      <c r="Q101" s="34"/>
      <c r="R101" s="1" t="s">
        <v>31</v>
      </c>
    </row>
    <row r="102" spans="2:18">
      <c r="B102" s="2" t="s">
        <v>1466</v>
      </c>
      <c r="C102" s="2" t="s">
        <v>774</v>
      </c>
      <c r="D102" s="1">
        <v>3</v>
      </c>
      <c r="E102" s="2" t="s">
        <v>1467</v>
      </c>
      <c r="F102" s="2" t="s">
        <v>1289</v>
      </c>
      <c r="G102" s="1">
        <v>6</v>
      </c>
      <c r="H102" s="45" t="s">
        <v>702</v>
      </c>
      <c r="I102" s="43" t="s">
        <v>702</v>
      </c>
      <c r="J102" s="43" t="s">
        <v>702</v>
      </c>
      <c r="K102" s="30">
        <v>75000</v>
      </c>
      <c r="L102" s="43" t="s">
        <v>702</v>
      </c>
      <c r="M102" s="3">
        <v>46136.653472222199</v>
      </c>
      <c r="N102" s="2" t="s">
        <v>775</v>
      </c>
      <c r="O102" s="3">
        <v>46156.653472222199</v>
      </c>
      <c r="P102" s="2" t="s">
        <v>775</v>
      </c>
      <c r="Q102" s="34"/>
      <c r="R102" s="1" t="s">
        <v>31</v>
      </c>
    </row>
    <row r="103" spans="2:18">
      <c r="B103" s="2" t="s">
        <v>1468</v>
      </c>
      <c r="C103" s="2" t="s">
        <v>774</v>
      </c>
      <c r="D103" s="1">
        <v>4</v>
      </c>
      <c r="E103" s="2" t="s">
        <v>1469</v>
      </c>
      <c r="F103" s="2" t="s">
        <v>1292</v>
      </c>
      <c r="G103" s="45" t="s">
        <v>702</v>
      </c>
      <c r="H103" s="1">
        <v>1</v>
      </c>
      <c r="I103" s="43" t="s">
        <v>702</v>
      </c>
      <c r="J103" s="43" t="s">
        <v>702</v>
      </c>
      <c r="K103" s="30">
        <v>50000</v>
      </c>
      <c r="L103" s="43" t="s">
        <v>702</v>
      </c>
      <c r="M103" s="3">
        <v>46136.653472222199</v>
      </c>
      <c r="N103" s="2" t="s">
        <v>775</v>
      </c>
      <c r="O103" s="3">
        <v>46156.653472222199</v>
      </c>
      <c r="P103" s="2" t="s">
        <v>775</v>
      </c>
      <c r="Q103" s="34"/>
      <c r="R103" s="1" t="s">
        <v>31</v>
      </c>
    </row>
    <row r="104" spans="2:18">
      <c r="B104" s="2" t="s">
        <v>1470</v>
      </c>
      <c r="C104" s="2" t="s">
        <v>777</v>
      </c>
      <c r="D104" s="1">
        <v>1</v>
      </c>
      <c r="E104" s="2" t="s">
        <v>1471</v>
      </c>
      <c r="F104" s="2" t="s">
        <v>1295</v>
      </c>
      <c r="G104" s="45" t="s">
        <v>702</v>
      </c>
      <c r="H104" s="45">
        <v>2</v>
      </c>
      <c r="I104" s="43" t="s">
        <v>702</v>
      </c>
      <c r="J104" s="43" t="s">
        <v>702</v>
      </c>
      <c r="K104" s="30">
        <v>30000</v>
      </c>
      <c r="L104" s="43" t="s">
        <v>702</v>
      </c>
      <c r="M104" s="3">
        <v>46137.4152777778</v>
      </c>
      <c r="N104" s="2" t="s">
        <v>150</v>
      </c>
      <c r="O104" s="3">
        <v>46157.4152777778</v>
      </c>
      <c r="P104" s="2" t="s">
        <v>150</v>
      </c>
      <c r="Q104" s="34"/>
      <c r="R104" s="1" t="s">
        <v>31</v>
      </c>
    </row>
    <row r="105" spans="2:18">
      <c r="B105" s="2" t="s">
        <v>1472</v>
      </c>
      <c r="C105" s="2" t="s">
        <v>777</v>
      </c>
      <c r="D105" s="1">
        <v>2</v>
      </c>
      <c r="E105" s="2" t="s">
        <v>1473</v>
      </c>
      <c r="F105" s="2" t="s">
        <v>1298</v>
      </c>
      <c r="G105" s="45">
        <v>5</v>
      </c>
      <c r="H105" s="45" t="s">
        <v>702</v>
      </c>
      <c r="I105" s="43" t="s">
        <v>702</v>
      </c>
      <c r="J105" s="43" t="s">
        <v>702</v>
      </c>
      <c r="K105" s="30">
        <v>25000</v>
      </c>
      <c r="L105" s="43" t="s">
        <v>702</v>
      </c>
      <c r="M105" s="3">
        <v>46137.4152777778</v>
      </c>
      <c r="N105" s="2" t="s">
        <v>150</v>
      </c>
      <c r="O105" s="3">
        <v>46157.4152777778</v>
      </c>
      <c r="P105" s="2" t="s">
        <v>150</v>
      </c>
      <c r="Q105" s="34"/>
      <c r="R105" s="1" t="s">
        <v>31</v>
      </c>
    </row>
    <row r="106" spans="2:18">
      <c r="B106" s="2" t="s">
        <v>1474</v>
      </c>
      <c r="C106" s="2" t="s">
        <v>777</v>
      </c>
      <c r="D106" s="1">
        <v>3</v>
      </c>
      <c r="E106" s="2" t="s">
        <v>1475</v>
      </c>
      <c r="F106" s="2" t="s">
        <v>1301</v>
      </c>
      <c r="G106" s="45" t="s">
        <v>702</v>
      </c>
      <c r="H106" s="45">
        <v>1</v>
      </c>
      <c r="I106" s="43" t="s">
        <v>702</v>
      </c>
      <c r="J106" s="43" t="s">
        <v>702</v>
      </c>
      <c r="K106" s="30">
        <v>25000</v>
      </c>
      <c r="L106" s="43" t="s">
        <v>702</v>
      </c>
      <c r="M106" s="3">
        <v>46137.4152777778</v>
      </c>
      <c r="N106" s="2" t="s">
        <v>150</v>
      </c>
      <c r="O106" s="3">
        <v>46157.4152777778</v>
      </c>
      <c r="P106" s="2" t="s">
        <v>150</v>
      </c>
      <c r="Q106" s="34"/>
      <c r="R106" s="1" t="s">
        <v>31</v>
      </c>
    </row>
    <row r="107" spans="2:18">
      <c r="B107" s="2" t="s">
        <v>1476</v>
      </c>
      <c r="C107" s="2" t="s">
        <v>777</v>
      </c>
      <c r="D107" s="1">
        <v>4</v>
      </c>
      <c r="E107" s="2" t="s">
        <v>1477</v>
      </c>
      <c r="F107" s="2" t="s">
        <v>1304</v>
      </c>
      <c r="G107" s="45">
        <v>9</v>
      </c>
      <c r="H107" s="45" t="s">
        <v>702</v>
      </c>
      <c r="I107" s="43" t="s">
        <v>702</v>
      </c>
      <c r="J107" s="43" t="s">
        <v>702</v>
      </c>
      <c r="K107" s="30">
        <v>54000</v>
      </c>
      <c r="L107" s="43" t="s">
        <v>702</v>
      </c>
      <c r="M107" s="3">
        <v>46137.4152777778</v>
      </c>
      <c r="N107" s="2" t="s">
        <v>150</v>
      </c>
      <c r="O107" s="3">
        <v>46157.4152777778</v>
      </c>
      <c r="P107" s="2" t="s">
        <v>150</v>
      </c>
      <c r="Q107" s="34"/>
      <c r="R107" s="1" t="s">
        <v>31</v>
      </c>
    </row>
    <row r="108" spans="2:18">
      <c r="B108" s="2" t="s">
        <v>1478</v>
      </c>
      <c r="C108" s="2" t="s">
        <v>779</v>
      </c>
      <c r="D108" s="1">
        <v>1</v>
      </c>
      <c r="E108" s="2" t="s">
        <v>1479</v>
      </c>
      <c r="F108" s="2" t="s">
        <v>1307</v>
      </c>
      <c r="G108" s="1">
        <v>4</v>
      </c>
      <c r="H108" s="45" t="s">
        <v>702</v>
      </c>
      <c r="I108" s="43" t="s">
        <v>702</v>
      </c>
      <c r="J108" s="43" t="s">
        <v>702</v>
      </c>
      <c r="K108" s="30">
        <v>32000</v>
      </c>
      <c r="L108" s="43" t="s">
        <v>702</v>
      </c>
      <c r="M108" s="3">
        <v>46137.510416666701</v>
      </c>
      <c r="N108" s="2" t="s">
        <v>154</v>
      </c>
      <c r="O108" s="3">
        <v>46157.510416666701</v>
      </c>
      <c r="P108" s="2" t="s">
        <v>154</v>
      </c>
      <c r="Q108" s="34"/>
      <c r="R108" s="1" t="s">
        <v>31</v>
      </c>
    </row>
    <row r="109" spans="2:18">
      <c r="B109" s="2" t="s">
        <v>1480</v>
      </c>
      <c r="C109" s="2" t="s">
        <v>779</v>
      </c>
      <c r="D109" s="1">
        <v>2</v>
      </c>
      <c r="E109" s="2" t="s">
        <v>1481</v>
      </c>
      <c r="F109" s="2" t="s">
        <v>1310</v>
      </c>
      <c r="G109" s="45" t="s">
        <v>702</v>
      </c>
      <c r="H109" s="1">
        <v>1</v>
      </c>
      <c r="I109" s="43" t="s">
        <v>702</v>
      </c>
      <c r="J109" s="43" t="s">
        <v>702</v>
      </c>
      <c r="K109" s="30">
        <v>40000</v>
      </c>
      <c r="L109" s="43" t="s">
        <v>702</v>
      </c>
      <c r="M109" s="3">
        <v>46137.510416666701</v>
      </c>
      <c r="N109" s="2" t="s">
        <v>154</v>
      </c>
      <c r="O109" s="3">
        <v>46157.510416666701</v>
      </c>
      <c r="P109" s="2" t="s">
        <v>154</v>
      </c>
      <c r="Q109" s="34"/>
      <c r="R109" s="1" t="s">
        <v>31</v>
      </c>
    </row>
    <row r="110" spans="2:18">
      <c r="B110" s="2" t="s">
        <v>1482</v>
      </c>
      <c r="C110" s="2" t="s">
        <v>779</v>
      </c>
      <c r="D110" s="1">
        <v>3</v>
      </c>
      <c r="E110" s="2" t="s">
        <v>1483</v>
      </c>
      <c r="F110" s="2" t="s">
        <v>1313</v>
      </c>
      <c r="G110" s="1">
        <v>8</v>
      </c>
      <c r="H110" s="45" t="s">
        <v>702</v>
      </c>
      <c r="I110" s="43" t="s">
        <v>702</v>
      </c>
      <c r="J110" s="43" t="s">
        <v>702</v>
      </c>
      <c r="K110" s="30">
        <v>100000</v>
      </c>
      <c r="L110" s="43" t="s">
        <v>702</v>
      </c>
      <c r="M110" s="3">
        <v>46137.510416666701</v>
      </c>
      <c r="N110" s="2" t="s">
        <v>154</v>
      </c>
      <c r="O110" s="3">
        <v>46157.510416666701</v>
      </c>
      <c r="P110" s="2" t="s">
        <v>154</v>
      </c>
      <c r="Q110" s="34"/>
      <c r="R110" s="1" t="s">
        <v>31</v>
      </c>
    </row>
    <row r="111" spans="2:18">
      <c r="B111" s="2" t="s">
        <v>1484</v>
      </c>
      <c r="C111" s="2" t="s">
        <v>779</v>
      </c>
      <c r="D111" s="1">
        <v>4</v>
      </c>
      <c r="E111" s="2" t="s">
        <v>1485</v>
      </c>
      <c r="F111" s="2" t="s">
        <v>1316</v>
      </c>
      <c r="G111" s="45" t="s">
        <v>702</v>
      </c>
      <c r="H111" s="1">
        <v>3</v>
      </c>
      <c r="I111" s="43" t="s">
        <v>702</v>
      </c>
      <c r="J111" s="43" t="s">
        <v>702</v>
      </c>
      <c r="K111" s="30">
        <v>150000</v>
      </c>
      <c r="L111" s="43" t="s">
        <v>702</v>
      </c>
      <c r="M111" s="3">
        <v>46137.510416666701</v>
      </c>
      <c r="N111" s="2" t="s">
        <v>154</v>
      </c>
      <c r="O111" s="3">
        <v>46157.510416666701</v>
      </c>
      <c r="P111" s="2" t="s">
        <v>154</v>
      </c>
      <c r="Q111" s="34"/>
      <c r="R111" s="1" t="s">
        <v>31</v>
      </c>
    </row>
    <row r="112" spans="2:18">
      <c r="B112" s="2" t="s">
        <v>1486</v>
      </c>
      <c r="C112" s="2" t="s">
        <v>781</v>
      </c>
      <c r="D112" s="1">
        <v>1</v>
      </c>
      <c r="E112" s="2" t="s">
        <v>1487</v>
      </c>
      <c r="F112" s="2" t="s">
        <v>1319</v>
      </c>
      <c r="G112" s="45" t="s">
        <v>702</v>
      </c>
      <c r="H112" s="45">
        <v>1</v>
      </c>
      <c r="I112" s="43" t="s">
        <v>702</v>
      </c>
      <c r="J112" s="43" t="s">
        <v>702</v>
      </c>
      <c r="K112" s="30">
        <v>60000</v>
      </c>
      <c r="L112" s="43" t="s">
        <v>702</v>
      </c>
      <c r="M112" s="3">
        <v>46138.6472222222</v>
      </c>
      <c r="N112" s="2" t="s">
        <v>782</v>
      </c>
      <c r="O112" s="3">
        <v>46158.6472222222</v>
      </c>
      <c r="P112" s="2" t="s">
        <v>782</v>
      </c>
      <c r="Q112" s="34"/>
      <c r="R112" s="1" t="s">
        <v>31</v>
      </c>
    </row>
    <row r="113" spans="2:18">
      <c r="B113" s="2" t="s">
        <v>1488</v>
      </c>
      <c r="C113" s="2" t="s">
        <v>781</v>
      </c>
      <c r="D113" s="1">
        <v>2</v>
      </c>
      <c r="E113" s="2" t="s">
        <v>1489</v>
      </c>
      <c r="F113" s="2" t="s">
        <v>1259</v>
      </c>
      <c r="G113" s="1">
        <v>7</v>
      </c>
      <c r="H113" s="45" t="s">
        <v>702</v>
      </c>
      <c r="I113" s="43" t="s">
        <v>702</v>
      </c>
      <c r="J113" s="43" t="s">
        <v>702</v>
      </c>
      <c r="K113" s="30">
        <v>87500</v>
      </c>
      <c r="L113" s="43" t="s">
        <v>702</v>
      </c>
      <c r="M113" s="3">
        <v>46138.6472222222</v>
      </c>
      <c r="N113" s="2" t="s">
        <v>782</v>
      </c>
      <c r="O113" s="3">
        <v>46158.6472222222</v>
      </c>
      <c r="P113" s="2" t="s">
        <v>782</v>
      </c>
      <c r="Q113" s="34"/>
      <c r="R113" s="1" t="s">
        <v>31</v>
      </c>
    </row>
    <row r="114" spans="2:18">
      <c r="B114" s="2" t="s">
        <v>1490</v>
      </c>
      <c r="C114" s="2" t="s">
        <v>781</v>
      </c>
      <c r="D114" s="1">
        <v>3</v>
      </c>
      <c r="E114" s="2" t="s">
        <v>1491</v>
      </c>
      <c r="F114" s="2" t="s">
        <v>1262</v>
      </c>
      <c r="G114" s="45" t="s">
        <v>702</v>
      </c>
      <c r="H114" s="1">
        <v>3</v>
      </c>
      <c r="I114" s="43" t="s">
        <v>702</v>
      </c>
      <c r="J114" s="43" t="s">
        <v>702</v>
      </c>
      <c r="K114" s="30">
        <v>127500</v>
      </c>
      <c r="L114" s="43" t="s">
        <v>702</v>
      </c>
      <c r="M114" s="3">
        <v>46138.6472222222</v>
      </c>
      <c r="N114" s="2" t="s">
        <v>782</v>
      </c>
      <c r="O114" s="3">
        <v>46158.6472222222</v>
      </c>
      <c r="P114" s="2" t="s">
        <v>782</v>
      </c>
      <c r="Q114" s="34"/>
      <c r="R114" s="1" t="s">
        <v>31</v>
      </c>
    </row>
    <row r="115" spans="2:18">
      <c r="B115" s="2" t="s">
        <v>1492</v>
      </c>
      <c r="C115" s="2" t="s">
        <v>781</v>
      </c>
      <c r="D115" s="1">
        <v>4</v>
      </c>
      <c r="E115" s="2" t="s">
        <v>1493</v>
      </c>
      <c r="F115" s="2" t="s">
        <v>1265</v>
      </c>
      <c r="G115" s="45">
        <v>11</v>
      </c>
      <c r="H115" s="45" t="s">
        <v>702</v>
      </c>
      <c r="I115" s="43" t="s">
        <v>702</v>
      </c>
      <c r="J115" s="43" t="s">
        <v>702</v>
      </c>
      <c r="K115" s="30">
        <v>192500</v>
      </c>
      <c r="L115" s="43" t="s">
        <v>702</v>
      </c>
      <c r="M115" s="3">
        <v>46138.6472222222</v>
      </c>
      <c r="N115" s="2" t="s">
        <v>782</v>
      </c>
      <c r="O115" s="3">
        <v>46158.6472222222</v>
      </c>
      <c r="P115" s="2" t="s">
        <v>782</v>
      </c>
      <c r="Q115" s="34"/>
      <c r="R115" s="1" t="s">
        <v>31</v>
      </c>
    </row>
    <row r="116" spans="2:18">
      <c r="B116" s="2" t="s">
        <v>1494</v>
      </c>
      <c r="C116" s="2" t="s">
        <v>784</v>
      </c>
      <c r="D116" s="1">
        <v>1</v>
      </c>
      <c r="E116" s="2" t="s">
        <v>1495</v>
      </c>
      <c r="F116" s="2" t="s">
        <v>1268</v>
      </c>
      <c r="G116" s="1">
        <v>6</v>
      </c>
      <c r="H116" s="45" t="s">
        <v>702</v>
      </c>
      <c r="I116" s="43" t="s">
        <v>702</v>
      </c>
      <c r="J116" s="43" t="s">
        <v>702</v>
      </c>
      <c r="K116" s="30">
        <v>45000</v>
      </c>
      <c r="L116" s="43" t="s">
        <v>702</v>
      </c>
      <c r="M116" s="3">
        <v>46138.409027777801</v>
      </c>
      <c r="N116" s="2" t="s">
        <v>785</v>
      </c>
      <c r="O116" s="3">
        <v>46158.409027777801</v>
      </c>
      <c r="P116" s="2" t="s">
        <v>785</v>
      </c>
      <c r="Q116" s="34"/>
      <c r="R116" s="1" t="s">
        <v>31</v>
      </c>
    </row>
    <row r="117" spans="2:18">
      <c r="B117" s="2" t="s">
        <v>1496</v>
      </c>
      <c r="C117" s="2" t="s">
        <v>784</v>
      </c>
      <c r="D117" s="1">
        <v>2</v>
      </c>
      <c r="E117" s="2" t="s">
        <v>1497</v>
      </c>
      <c r="F117" s="2" t="s">
        <v>1271</v>
      </c>
      <c r="G117" s="45" t="s">
        <v>702</v>
      </c>
      <c r="H117" s="1">
        <v>3</v>
      </c>
      <c r="I117" s="43" t="s">
        <v>702</v>
      </c>
      <c r="J117" s="43" t="s">
        <v>702</v>
      </c>
      <c r="K117" s="30">
        <v>96000</v>
      </c>
      <c r="L117" s="43" t="s">
        <v>702</v>
      </c>
      <c r="M117" s="3">
        <v>46138.409027777801</v>
      </c>
      <c r="N117" s="2" t="s">
        <v>785</v>
      </c>
      <c r="O117" s="3">
        <v>46158.409027777801</v>
      </c>
      <c r="P117" s="2" t="s">
        <v>785</v>
      </c>
      <c r="Q117" s="34"/>
      <c r="R117" s="1" t="s">
        <v>31</v>
      </c>
    </row>
    <row r="118" spans="2:18">
      <c r="B118" s="2" t="s">
        <v>1498</v>
      </c>
      <c r="C118" s="2" t="s">
        <v>784</v>
      </c>
      <c r="D118" s="1">
        <v>3</v>
      </c>
      <c r="E118" s="2" t="s">
        <v>1499</v>
      </c>
      <c r="F118" s="2" t="s">
        <v>1274</v>
      </c>
      <c r="G118" s="1">
        <v>10</v>
      </c>
      <c r="H118" s="45" t="s">
        <v>702</v>
      </c>
      <c r="I118" s="43" t="s">
        <v>702</v>
      </c>
      <c r="J118" s="43" t="s">
        <v>702</v>
      </c>
      <c r="K118" s="30">
        <v>125000</v>
      </c>
      <c r="L118" s="43" t="s">
        <v>702</v>
      </c>
      <c r="M118" s="3">
        <v>46138.409027777801</v>
      </c>
      <c r="N118" s="2" t="s">
        <v>785</v>
      </c>
      <c r="O118" s="3">
        <v>46158.409027777801</v>
      </c>
      <c r="P118" s="2" t="s">
        <v>785</v>
      </c>
      <c r="Q118" s="34"/>
      <c r="R118" s="1" t="s">
        <v>31</v>
      </c>
    </row>
    <row r="119" spans="2:18" ht="29" customHeight="1">
      <c r="B119" s="2" t="s">
        <v>1500</v>
      </c>
      <c r="C119" s="2" t="s">
        <v>784</v>
      </c>
      <c r="D119" s="1">
        <v>4</v>
      </c>
      <c r="E119" s="2" t="s">
        <v>1501</v>
      </c>
      <c r="F119" s="2" t="s">
        <v>1277</v>
      </c>
      <c r="G119" s="45" t="s">
        <v>702</v>
      </c>
      <c r="H119" s="1">
        <v>2</v>
      </c>
      <c r="I119" s="43" t="s">
        <v>702</v>
      </c>
      <c r="J119" s="43" t="s">
        <v>702</v>
      </c>
      <c r="K119" s="30">
        <v>70000</v>
      </c>
      <c r="L119" s="43" t="s">
        <v>702</v>
      </c>
      <c r="M119" s="3">
        <v>46138.409027777801</v>
      </c>
      <c r="N119" s="2" t="s">
        <v>785</v>
      </c>
      <c r="O119" s="3">
        <v>46158.409027777801</v>
      </c>
      <c r="P119" s="2" t="s">
        <v>785</v>
      </c>
      <c r="Q119" s="34"/>
      <c r="R119" s="1" t="s">
        <v>31</v>
      </c>
    </row>
    <row r="120" spans="2:18">
      <c r="B120" s="2" t="s">
        <v>1502</v>
      </c>
      <c r="C120" s="2" t="s">
        <v>787</v>
      </c>
      <c r="D120" s="1">
        <v>1</v>
      </c>
      <c r="E120" s="2" t="s">
        <v>1503</v>
      </c>
      <c r="F120" s="2" t="s">
        <v>1280</v>
      </c>
      <c r="G120" s="45" t="s">
        <v>702</v>
      </c>
      <c r="H120" s="45">
        <v>3</v>
      </c>
      <c r="I120" s="43" t="s">
        <v>702</v>
      </c>
      <c r="J120" s="43" t="s">
        <v>702</v>
      </c>
      <c r="K120" s="30">
        <v>127500</v>
      </c>
      <c r="L120" s="43" t="s">
        <v>702</v>
      </c>
      <c r="M120" s="3">
        <v>46139.545833333301</v>
      </c>
      <c r="N120" s="2" t="s">
        <v>788</v>
      </c>
      <c r="O120" s="3">
        <v>46159.545833333301</v>
      </c>
      <c r="P120" s="2" t="s">
        <v>788</v>
      </c>
      <c r="Q120" s="34"/>
      <c r="R120" s="1" t="s">
        <v>31</v>
      </c>
    </row>
    <row r="121" spans="2:18">
      <c r="B121" s="2" t="s">
        <v>1504</v>
      </c>
      <c r="C121" s="2" t="s">
        <v>787</v>
      </c>
      <c r="D121" s="1">
        <v>2</v>
      </c>
      <c r="E121" s="2" t="s">
        <v>1505</v>
      </c>
      <c r="F121" s="2" t="s">
        <v>1283</v>
      </c>
      <c r="G121" s="45">
        <v>9</v>
      </c>
      <c r="H121" s="45" t="s">
        <v>702</v>
      </c>
      <c r="I121" s="43" t="s">
        <v>702</v>
      </c>
      <c r="J121" s="43" t="s">
        <v>702</v>
      </c>
      <c r="K121" s="30">
        <v>157500</v>
      </c>
      <c r="L121" s="43" t="s">
        <v>702</v>
      </c>
      <c r="M121" s="3">
        <v>46139.545833333301</v>
      </c>
      <c r="N121" s="2" t="s">
        <v>788</v>
      </c>
      <c r="O121" s="3">
        <v>46159.545833333301</v>
      </c>
      <c r="P121" s="2" t="s">
        <v>788</v>
      </c>
      <c r="Q121" s="34"/>
      <c r="R121" s="1" t="s">
        <v>31</v>
      </c>
    </row>
    <row r="122" spans="2:18" ht="29" customHeight="1">
      <c r="B122" s="2" t="s">
        <v>1506</v>
      </c>
      <c r="C122" s="2" t="s">
        <v>787</v>
      </c>
      <c r="D122" s="1">
        <v>3</v>
      </c>
      <c r="E122" s="2" t="s">
        <v>1507</v>
      </c>
      <c r="F122" s="2" t="s">
        <v>1286</v>
      </c>
      <c r="G122" s="45" t="s">
        <v>702</v>
      </c>
      <c r="H122" s="1">
        <v>2</v>
      </c>
      <c r="I122" s="43" t="s">
        <v>702</v>
      </c>
      <c r="J122" s="43" t="s">
        <v>702</v>
      </c>
      <c r="K122" s="30">
        <v>60000</v>
      </c>
      <c r="L122" s="43" t="s">
        <v>702</v>
      </c>
      <c r="M122" s="3">
        <v>46139.545833333301</v>
      </c>
      <c r="N122" s="2" t="s">
        <v>788</v>
      </c>
      <c r="O122" s="3">
        <v>46159.545833333301</v>
      </c>
      <c r="P122" s="2" t="s">
        <v>788</v>
      </c>
      <c r="Q122" s="34"/>
      <c r="R122" s="1" t="s">
        <v>31</v>
      </c>
    </row>
    <row r="123" spans="2:18">
      <c r="B123" s="2" t="s">
        <v>1508</v>
      </c>
      <c r="C123" s="2" t="s">
        <v>787</v>
      </c>
      <c r="D123" s="1">
        <v>4</v>
      </c>
      <c r="E123" s="2" t="s">
        <v>1509</v>
      </c>
      <c r="F123" s="2" t="s">
        <v>1289</v>
      </c>
      <c r="G123" s="1">
        <v>1</v>
      </c>
      <c r="H123" s="45" t="s">
        <v>702</v>
      </c>
      <c r="I123" s="43" t="s">
        <v>702</v>
      </c>
      <c r="J123" s="43" t="s">
        <v>702</v>
      </c>
      <c r="K123" s="30">
        <v>12500</v>
      </c>
      <c r="L123" s="43" t="s">
        <v>702</v>
      </c>
      <c r="M123" s="3">
        <v>46139.545833333301</v>
      </c>
      <c r="N123" s="2" t="s">
        <v>788</v>
      </c>
      <c r="O123" s="3">
        <v>46159.545833333301</v>
      </c>
      <c r="P123" s="2" t="s">
        <v>788</v>
      </c>
      <c r="Q123" s="34"/>
      <c r="R123" s="1" t="s">
        <v>31</v>
      </c>
    </row>
    <row r="124" spans="2:18">
      <c r="B124" s="2" t="s">
        <v>1510</v>
      </c>
      <c r="C124" s="2" t="s">
        <v>790</v>
      </c>
      <c r="D124" s="1">
        <v>1</v>
      </c>
      <c r="E124" s="2" t="s">
        <v>1511</v>
      </c>
      <c r="F124" s="2" t="s">
        <v>1292</v>
      </c>
      <c r="G124" s="45">
        <v>8</v>
      </c>
      <c r="H124" s="45" t="s">
        <v>702</v>
      </c>
      <c r="I124" s="43" t="s">
        <v>702</v>
      </c>
      <c r="J124" s="43" t="s">
        <v>702</v>
      </c>
      <c r="K124" s="30">
        <v>120000</v>
      </c>
      <c r="L124" s="43" t="s">
        <v>702</v>
      </c>
      <c r="M124" s="3">
        <v>46139.640972222202</v>
      </c>
      <c r="N124" s="2" t="s">
        <v>791</v>
      </c>
      <c r="O124" s="3">
        <v>46159.640972222202</v>
      </c>
      <c r="P124" s="2" t="s">
        <v>791</v>
      </c>
      <c r="Q124" s="34"/>
      <c r="R124" s="1" t="s">
        <v>31</v>
      </c>
    </row>
    <row r="125" spans="2:18" ht="29" customHeight="1">
      <c r="B125" s="2" t="s">
        <v>1512</v>
      </c>
      <c r="C125" s="2" t="s">
        <v>790</v>
      </c>
      <c r="D125" s="1">
        <v>2</v>
      </c>
      <c r="E125" s="2" t="s">
        <v>1513</v>
      </c>
      <c r="F125" s="2" t="s">
        <v>1295</v>
      </c>
      <c r="G125" s="45" t="s">
        <v>702</v>
      </c>
      <c r="H125" s="45">
        <v>2</v>
      </c>
      <c r="I125" s="43" t="s">
        <v>702</v>
      </c>
      <c r="J125" s="43" t="s">
        <v>702</v>
      </c>
      <c r="K125" s="30">
        <v>30000</v>
      </c>
      <c r="L125" s="43" t="s">
        <v>702</v>
      </c>
      <c r="M125" s="3">
        <v>46139.640972222202</v>
      </c>
      <c r="N125" s="2" t="s">
        <v>791</v>
      </c>
      <c r="O125" s="3">
        <v>46159.640972222202</v>
      </c>
      <c r="P125" s="2" t="s">
        <v>791</v>
      </c>
      <c r="Q125" s="34"/>
      <c r="R125" s="1" t="s">
        <v>31</v>
      </c>
    </row>
    <row r="126" spans="2:18">
      <c r="B126" s="2" t="s">
        <v>1514</v>
      </c>
      <c r="C126" s="2" t="s">
        <v>790</v>
      </c>
      <c r="D126" s="1">
        <v>3</v>
      </c>
      <c r="E126" s="2" t="s">
        <v>1515</v>
      </c>
      <c r="F126" s="2" t="s">
        <v>1298</v>
      </c>
      <c r="G126" s="45">
        <v>12</v>
      </c>
      <c r="H126" s="45" t="s">
        <v>702</v>
      </c>
      <c r="I126" s="43" t="s">
        <v>702</v>
      </c>
      <c r="J126" s="43" t="s">
        <v>702</v>
      </c>
      <c r="K126" s="30">
        <v>60000</v>
      </c>
      <c r="L126" s="43" t="s">
        <v>702</v>
      </c>
      <c r="M126" s="3">
        <v>46139.640972222202</v>
      </c>
      <c r="N126" s="2" t="s">
        <v>791</v>
      </c>
      <c r="O126" s="3">
        <v>46159.640972222202</v>
      </c>
      <c r="P126" s="2" t="s">
        <v>791</v>
      </c>
      <c r="Q126" s="34"/>
      <c r="R126" s="1" t="s">
        <v>31</v>
      </c>
    </row>
    <row r="127" spans="2:18">
      <c r="B127" s="2" t="s">
        <v>1516</v>
      </c>
      <c r="C127" s="2" t="s">
        <v>790</v>
      </c>
      <c r="D127" s="1">
        <v>4</v>
      </c>
      <c r="E127" s="2" t="s">
        <v>1517</v>
      </c>
      <c r="F127" s="2" t="s">
        <v>1301</v>
      </c>
      <c r="G127" s="45" t="s">
        <v>702</v>
      </c>
      <c r="H127" s="45">
        <v>1</v>
      </c>
      <c r="I127" s="43" t="s">
        <v>702</v>
      </c>
      <c r="J127" s="43" t="s">
        <v>702</v>
      </c>
      <c r="K127" s="30">
        <v>25000</v>
      </c>
      <c r="L127" s="43" t="s">
        <v>702</v>
      </c>
      <c r="M127" s="3">
        <v>46139.640972222202</v>
      </c>
      <c r="N127" s="2" t="s">
        <v>791</v>
      </c>
      <c r="O127" s="3">
        <v>46159.640972222202</v>
      </c>
      <c r="P127" s="2" t="s">
        <v>791</v>
      </c>
      <c r="Q127" s="34"/>
      <c r="R127" s="1" t="s">
        <v>31</v>
      </c>
    </row>
    <row r="128" spans="2:18" ht="29" customHeight="1">
      <c r="B128" s="2" t="s">
        <v>1518</v>
      </c>
      <c r="C128" s="2" t="s">
        <v>793</v>
      </c>
      <c r="D128" s="1">
        <v>1</v>
      </c>
      <c r="E128" s="2" t="s">
        <v>1519</v>
      </c>
      <c r="F128" s="2" t="s">
        <v>1304</v>
      </c>
      <c r="G128" s="45" t="s">
        <v>702</v>
      </c>
      <c r="H128" s="1">
        <v>2</v>
      </c>
      <c r="I128" s="43" t="s">
        <v>702</v>
      </c>
      <c r="J128" s="43" t="s">
        <v>702</v>
      </c>
      <c r="K128" s="30">
        <v>40000</v>
      </c>
      <c r="L128" s="43" t="s">
        <v>702</v>
      </c>
      <c r="M128" s="3">
        <v>46140.402777777803</v>
      </c>
      <c r="N128" s="2" t="s">
        <v>795</v>
      </c>
      <c r="O128" s="3">
        <v>46160.402777777803</v>
      </c>
      <c r="P128" s="2" t="s">
        <v>795</v>
      </c>
      <c r="Q128" s="34"/>
      <c r="R128" s="1" t="s">
        <v>31</v>
      </c>
    </row>
    <row r="129" spans="2:18">
      <c r="B129" s="2" t="s">
        <v>1520</v>
      </c>
      <c r="C129" s="2" t="s">
        <v>793</v>
      </c>
      <c r="D129" s="1">
        <v>2</v>
      </c>
      <c r="E129" s="2" t="s">
        <v>1521</v>
      </c>
      <c r="F129" s="2" t="s">
        <v>1307</v>
      </c>
      <c r="G129" s="1">
        <v>11</v>
      </c>
      <c r="H129" s="45" t="s">
        <v>702</v>
      </c>
      <c r="I129" s="43" t="s">
        <v>702</v>
      </c>
      <c r="J129" s="43" t="s">
        <v>702</v>
      </c>
      <c r="K129" s="30">
        <v>88000</v>
      </c>
      <c r="L129" s="43" t="s">
        <v>702</v>
      </c>
      <c r="M129" s="3">
        <v>46140.402777777803</v>
      </c>
      <c r="N129" s="2" t="s">
        <v>795</v>
      </c>
      <c r="O129" s="3">
        <v>46160.402777777803</v>
      </c>
      <c r="P129" s="2" t="s">
        <v>795</v>
      </c>
      <c r="Q129" s="34"/>
      <c r="R129" s="1" t="s">
        <v>31</v>
      </c>
    </row>
    <row r="130" spans="2:18">
      <c r="B130" s="2" t="s">
        <v>1522</v>
      </c>
      <c r="C130" s="2" t="s">
        <v>793</v>
      </c>
      <c r="D130" s="1">
        <v>3</v>
      </c>
      <c r="E130" s="2" t="s">
        <v>1523</v>
      </c>
      <c r="F130" s="2" t="s">
        <v>1310</v>
      </c>
      <c r="G130" s="45" t="s">
        <v>702</v>
      </c>
      <c r="H130" s="1">
        <v>1</v>
      </c>
      <c r="I130" s="43" t="s">
        <v>702</v>
      </c>
      <c r="J130" s="43" t="s">
        <v>702</v>
      </c>
      <c r="K130" s="30">
        <v>40000</v>
      </c>
      <c r="L130" s="43" t="s">
        <v>702</v>
      </c>
      <c r="M130" s="3">
        <v>46140.402777777803</v>
      </c>
      <c r="N130" s="2" t="s">
        <v>795</v>
      </c>
      <c r="O130" s="3">
        <v>46160.402777777803</v>
      </c>
      <c r="P130" s="2" t="s">
        <v>795</v>
      </c>
      <c r="Q130" s="34"/>
      <c r="R130" s="1" t="s">
        <v>31</v>
      </c>
    </row>
    <row r="131" spans="2:18">
      <c r="B131" s="2" t="s">
        <v>1524</v>
      </c>
      <c r="C131" s="2" t="s">
        <v>793</v>
      </c>
      <c r="D131" s="1">
        <v>4</v>
      </c>
      <c r="E131" s="2" t="s">
        <v>1525</v>
      </c>
      <c r="F131" s="2" t="s">
        <v>1313</v>
      </c>
      <c r="G131" s="1">
        <v>3</v>
      </c>
      <c r="H131" s="45" t="s">
        <v>702</v>
      </c>
      <c r="I131" s="43" t="s">
        <v>702</v>
      </c>
      <c r="J131" s="43" t="s">
        <v>702</v>
      </c>
      <c r="K131" s="30">
        <v>37500</v>
      </c>
      <c r="L131" s="43" t="s">
        <v>702</v>
      </c>
      <c r="M131" s="3">
        <v>46140.402777777803</v>
      </c>
      <c r="N131" s="2" t="s">
        <v>795</v>
      </c>
      <c r="O131" s="3">
        <v>46160.402777777803</v>
      </c>
      <c r="P131" s="2" t="s">
        <v>795</v>
      </c>
      <c r="Q131" s="34"/>
      <c r="R131" s="1" t="s">
        <v>31</v>
      </c>
    </row>
    <row r="132" spans="2:18">
      <c r="B132" s="2" t="s">
        <v>1526</v>
      </c>
      <c r="C132" s="2" t="s">
        <v>797</v>
      </c>
      <c r="D132" s="1">
        <v>1</v>
      </c>
      <c r="E132" s="2" t="s">
        <v>1527</v>
      </c>
      <c r="F132" s="2" t="s">
        <v>1316</v>
      </c>
      <c r="G132" s="45">
        <v>10</v>
      </c>
      <c r="H132" s="45" t="s">
        <v>702</v>
      </c>
      <c r="I132" s="43" t="s">
        <v>702</v>
      </c>
      <c r="J132" s="43" t="s">
        <v>702</v>
      </c>
      <c r="K132" s="30">
        <v>150000</v>
      </c>
      <c r="L132" s="43" t="s">
        <v>702</v>
      </c>
      <c r="M132" s="3">
        <v>46140.539583333302</v>
      </c>
      <c r="N132" s="2" t="s">
        <v>799</v>
      </c>
      <c r="O132" s="3">
        <v>46160.539583333302</v>
      </c>
      <c r="P132" s="2" t="s">
        <v>799</v>
      </c>
      <c r="Q132" s="34"/>
      <c r="R132" s="1" t="s">
        <v>31</v>
      </c>
    </row>
    <row r="133" spans="2:18">
      <c r="B133" s="2" t="s">
        <v>1528</v>
      </c>
      <c r="C133" s="2" t="s">
        <v>797</v>
      </c>
      <c r="D133" s="1">
        <v>2</v>
      </c>
      <c r="E133" s="2" t="s">
        <v>1529</v>
      </c>
      <c r="F133" s="2" t="s">
        <v>1319</v>
      </c>
      <c r="G133" s="45" t="s">
        <v>702</v>
      </c>
      <c r="H133" s="1">
        <v>1</v>
      </c>
      <c r="I133" s="43" t="s">
        <v>702</v>
      </c>
      <c r="J133" s="43" t="s">
        <v>702</v>
      </c>
      <c r="K133" s="30">
        <v>60000</v>
      </c>
      <c r="L133" s="43" t="s">
        <v>702</v>
      </c>
      <c r="M133" s="3">
        <v>46140.539583333302</v>
      </c>
      <c r="N133" s="2" t="s">
        <v>799</v>
      </c>
      <c r="O133" s="3">
        <v>46160.539583333302</v>
      </c>
      <c r="P133" s="2" t="s">
        <v>799</v>
      </c>
      <c r="Q133" s="34"/>
      <c r="R133" s="1" t="s">
        <v>31</v>
      </c>
    </row>
    <row r="134" spans="2:18">
      <c r="B134" s="2" t="s">
        <v>1530</v>
      </c>
      <c r="C134" s="2" t="s">
        <v>797</v>
      </c>
      <c r="D134" s="1">
        <v>3</v>
      </c>
      <c r="E134" s="2" t="s">
        <v>1531</v>
      </c>
      <c r="F134" s="2" t="s">
        <v>1259</v>
      </c>
      <c r="G134" s="1">
        <v>2</v>
      </c>
      <c r="H134" s="45" t="s">
        <v>702</v>
      </c>
      <c r="I134" s="43" t="s">
        <v>702</v>
      </c>
      <c r="J134" s="43" t="s">
        <v>702</v>
      </c>
      <c r="K134" s="30">
        <v>25000</v>
      </c>
      <c r="L134" s="43" t="s">
        <v>702</v>
      </c>
      <c r="M134" s="3">
        <v>46140.539583333302</v>
      </c>
      <c r="N134" s="2" t="s">
        <v>799</v>
      </c>
      <c r="O134" s="3">
        <v>46160.539583333302</v>
      </c>
      <c r="P134" s="2" t="s">
        <v>799</v>
      </c>
      <c r="Q134" s="34"/>
      <c r="R134" s="1" t="s">
        <v>31</v>
      </c>
    </row>
    <row r="135" spans="2:18" ht="29" customHeight="1">
      <c r="B135" s="2" t="s">
        <v>1532</v>
      </c>
      <c r="C135" s="2" t="s">
        <v>797</v>
      </c>
      <c r="D135" s="1">
        <v>4</v>
      </c>
      <c r="E135" s="2" t="s">
        <v>1533</v>
      </c>
      <c r="F135" s="2" t="s">
        <v>1262</v>
      </c>
      <c r="G135" s="45" t="s">
        <v>702</v>
      </c>
      <c r="H135" s="1">
        <v>3</v>
      </c>
      <c r="I135" s="43" t="s">
        <v>702</v>
      </c>
      <c r="J135" s="43" t="s">
        <v>702</v>
      </c>
      <c r="K135" s="30">
        <v>127500</v>
      </c>
      <c r="L135" s="43" t="s">
        <v>702</v>
      </c>
      <c r="M135" s="3">
        <v>46140.539583333302</v>
      </c>
      <c r="N135" s="2" t="s">
        <v>799</v>
      </c>
      <c r="O135" s="3">
        <v>46160.539583333302</v>
      </c>
      <c r="P135" s="2" t="s">
        <v>799</v>
      </c>
      <c r="Q135" s="34"/>
      <c r="R135" s="1" t="s">
        <v>31</v>
      </c>
    </row>
    <row r="136" spans="2:18">
      <c r="B136" s="2" t="s">
        <v>1534</v>
      </c>
      <c r="C136" s="2" t="s">
        <v>801</v>
      </c>
      <c r="D136" s="1">
        <v>1</v>
      </c>
      <c r="E136" s="2" t="s">
        <v>1535</v>
      </c>
      <c r="F136" s="2" t="s">
        <v>1265</v>
      </c>
      <c r="G136" s="45" t="s">
        <v>702</v>
      </c>
      <c r="H136" s="45">
        <v>1</v>
      </c>
      <c r="I136" s="43" t="s">
        <v>702</v>
      </c>
      <c r="J136" s="43" t="s">
        <v>702</v>
      </c>
      <c r="K136" s="30">
        <v>50000</v>
      </c>
      <c r="L136" s="43" t="s">
        <v>702</v>
      </c>
      <c r="M136" s="3">
        <v>46141.634722222203</v>
      </c>
      <c r="N136" s="2" t="s">
        <v>803</v>
      </c>
      <c r="O136" s="3">
        <v>46161.634722222203</v>
      </c>
      <c r="P136" s="2" t="s">
        <v>803</v>
      </c>
      <c r="Q136" s="34"/>
      <c r="R136" s="1" t="s">
        <v>31</v>
      </c>
    </row>
    <row r="137" spans="2:18">
      <c r="B137" s="2" t="s">
        <v>1536</v>
      </c>
      <c r="C137" s="2" t="s">
        <v>801</v>
      </c>
      <c r="D137" s="1">
        <v>2</v>
      </c>
      <c r="E137" s="2" t="s">
        <v>1537</v>
      </c>
      <c r="F137" s="2" t="s">
        <v>1268</v>
      </c>
      <c r="G137" s="45">
        <v>1</v>
      </c>
      <c r="H137" s="45" t="s">
        <v>702</v>
      </c>
      <c r="I137" s="43" t="s">
        <v>702</v>
      </c>
      <c r="J137" s="43" t="s">
        <v>702</v>
      </c>
      <c r="K137" s="30">
        <v>7500</v>
      </c>
      <c r="L137" s="43" t="s">
        <v>702</v>
      </c>
      <c r="M137" s="3">
        <v>46141.634722222203</v>
      </c>
      <c r="N137" s="2" t="s">
        <v>803</v>
      </c>
      <c r="O137" s="3">
        <v>46161.634722222203</v>
      </c>
      <c r="P137" s="2" t="s">
        <v>803</v>
      </c>
      <c r="Q137" s="34"/>
      <c r="R137" s="1" t="s">
        <v>31</v>
      </c>
    </row>
    <row r="138" spans="2:18" ht="29" customHeight="1">
      <c r="B138" s="2" t="s">
        <v>1538</v>
      </c>
      <c r="C138" s="2" t="s">
        <v>801</v>
      </c>
      <c r="D138" s="1">
        <v>3</v>
      </c>
      <c r="E138" s="2" t="s">
        <v>1539</v>
      </c>
      <c r="F138" s="2" t="s">
        <v>1271</v>
      </c>
      <c r="G138" s="45" t="s">
        <v>702</v>
      </c>
      <c r="H138" s="45">
        <v>3</v>
      </c>
      <c r="I138" s="43" t="s">
        <v>702</v>
      </c>
      <c r="J138" s="43" t="s">
        <v>702</v>
      </c>
      <c r="K138" s="30">
        <v>96000</v>
      </c>
      <c r="L138" s="43" t="s">
        <v>702</v>
      </c>
      <c r="M138" s="3">
        <v>46141.634722222203</v>
      </c>
      <c r="N138" s="2" t="s">
        <v>803</v>
      </c>
      <c r="O138" s="3">
        <v>46161.634722222203</v>
      </c>
      <c r="P138" s="2" t="s">
        <v>803</v>
      </c>
      <c r="Q138" s="34"/>
      <c r="R138" s="1" t="s">
        <v>31</v>
      </c>
    </row>
    <row r="139" spans="2:18" ht="29" customHeight="1">
      <c r="B139" s="2" t="s">
        <v>1540</v>
      </c>
      <c r="C139" s="2" t="s">
        <v>801</v>
      </c>
      <c r="D139" s="1">
        <v>4</v>
      </c>
      <c r="E139" s="2" t="s">
        <v>1541</v>
      </c>
      <c r="F139" s="2" t="s">
        <v>1274</v>
      </c>
      <c r="G139" s="45">
        <v>5</v>
      </c>
      <c r="H139" s="45" t="s">
        <v>702</v>
      </c>
      <c r="I139" s="43" t="s">
        <v>702</v>
      </c>
      <c r="J139" s="43" t="s">
        <v>702</v>
      </c>
      <c r="K139" s="30">
        <v>62500</v>
      </c>
      <c r="L139" s="43" t="s">
        <v>702</v>
      </c>
      <c r="M139" s="3">
        <v>46141.634722222203</v>
      </c>
      <c r="N139" s="2" t="s">
        <v>803</v>
      </c>
      <c r="O139" s="3">
        <v>46161.634722222203</v>
      </c>
      <c r="P139" s="2" t="s">
        <v>803</v>
      </c>
      <c r="Q139" s="34"/>
      <c r="R139" s="1" t="s">
        <v>31</v>
      </c>
    </row>
    <row r="140" spans="2:18">
      <c r="B140" s="2" t="s">
        <v>1542</v>
      </c>
      <c r="C140" s="2" t="s">
        <v>805</v>
      </c>
      <c r="D140" s="1">
        <v>1</v>
      </c>
      <c r="E140" s="2" t="s">
        <v>1543</v>
      </c>
      <c r="F140" s="2" t="s">
        <v>1277</v>
      </c>
      <c r="G140" s="1">
        <v>12</v>
      </c>
      <c r="H140" s="45" t="s">
        <v>702</v>
      </c>
      <c r="I140" s="43" t="s">
        <v>702</v>
      </c>
      <c r="J140" s="43" t="s">
        <v>702</v>
      </c>
      <c r="K140" s="30">
        <v>150000</v>
      </c>
      <c r="L140" s="43" t="s">
        <v>702</v>
      </c>
      <c r="M140" s="3">
        <v>46141.396527777797</v>
      </c>
      <c r="N140" s="2" t="s">
        <v>807</v>
      </c>
      <c r="O140" s="3">
        <v>46161.396527777797</v>
      </c>
      <c r="P140" s="2" t="s">
        <v>807</v>
      </c>
      <c r="Q140" s="34"/>
      <c r="R140" s="1" t="s">
        <v>31</v>
      </c>
    </row>
    <row r="141" spans="2:18" ht="29" customHeight="1">
      <c r="B141" s="2" t="s">
        <v>1544</v>
      </c>
      <c r="C141" s="2" t="s">
        <v>805</v>
      </c>
      <c r="D141" s="1">
        <v>2</v>
      </c>
      <c r="E141" s="2" t="s">
        <v>1545</v>
      </c>
      <c r="F141" s="2" t="s">
        <v>1280</v>
      </c>
      <c r="G141" s="45" t="s">
        <v>702</v>
      </c>
      <c r="H141" s="1">
        <v>3</v>
      </c>
      <c r="I141" s="43" t="s">
        <v>702</v>
      </c>
      <c r="J141" s="43" t="s">
        <v>702</v>
      </c>
      <c r="K141" s="30">
        <v>127500</v>
      </c>
      <c r="L141" s="43" t="s">
        <v>702</v>
      </c>
      <c r="M141" s="3">
        <v>46141.396527777797</v>
      </c>
      <c r="N141" s="2" t="s">
        <v>807</v>
      </c>
      <c r="O141" s="3">
        <v>46161.396527777797</v>
      </c>
      <c r="P141" s="2" t="s">
        <v>807</v>
      </c>
      <c r="Q141" s="34"/>
      <c r="R141" s="1" t="s">
        <v>31</v>
      </c>
    </row>
    <row r="142" spans="2:18" ht="29" customHeight="1">
      <c r="B142" s="2" t="s">
        <v>1546</v>
      </c>
      <c r="C142" s="2" t="s">
        <v>805</v>
      </c>
      <c r="D142" s="1">
        <v>3</v>
      </c>
      <c r="E142" s="2" t="s">
        <v>1547</v>
      </c>
      <c r="F142" s="2" t="s">
        <v>1283</v>
      </c>
      <c r="G142" s="1">
        <v>4</v>
      </c>
      <c r="H142" s="45" t="s">
        <v>702</v>
      </c>
      <c r="I142" s="43" t="s">
        <v>702</v>
      </c>
      <c r="J142" s="43" t="s">
        <v>702</v>
      </c>
      <c r="K142" s="30">
        <v>70000</v>
      </c>
      <c r="L142" s="43" t="s">
        <v>702</v>
      </c>
      <c r="M142" s="3">
        <v>46141.396527777797</v>
      </c>
      <c r="N142" s="2" t="s">
        <v>807</v>
      </c>
      <c r="O142" s="3">
        <v>46161.396527777797</v>
      </c>
      <c r="P142" s="2" t="s">
        <v>807</v>
      </c>
      <c r="Q142" s="34"/>
      <c r="R142" s="1" t="s">
        <v>31</v>
      </c>
    </row>
    <row r="143" spans="2:18">
      <c r="B143" s="2" t="s">
        <v>1548</v>
      </c>
      <c r="C143" s="2" t="s">
        <v>805</v>
      </c>
      <c r="D143" s="1">
        <v>4</v>
      </c>
      <c r="E143" s="2" t="s">
        <v>1549</v>
      </c>
      <c r="F143" s="2" t="s">
        <v>1286</v>
      </c>
      <c r="G143" s="45" t="s">
        <v>702</v>
      </c>
      <c r="H143" s="1">
        <v>2</v>
      </c>
      <c r="I143" s="43" t="s">
        <v>702</v>
      </c>
      <c r="J143" s="43" t="s">
        <v>702</v>
      </c>
      <c r="K143" s="30">
        <v>60000</v>
      </c>
      <c r="L143" s="43" t="s">
        <v>702</v>
      </c>
      <c r="M143" s="3">
        <v>46141.396527777797</v>
      </c>
      <c r="N143" s="2" t="s">
        <v>807</v>
      </c>
      <c r="O143" s="3">
        <v>46161.396527777797</v>
      </c>
      <c r="P143" s="2" t="s">
        <v>807</v>
      </c>
      <c r="Q143" s="34"/>
      <c r="R143" s="1" t="s">
        <v>31</v>
      </c>
    </row>
    <row r="144" spans="2:18" ht="29" customHeight="1">
      <c r="B144" s="2" t="s">
        <v>1550</v>
      </c>
      <c r="C144" s="2" t="s">
        <v>809</v>
      </c>
      <c r="D144" s="1">
        <v>1</v>
      </c>
      <c r="E144" s="2" t="s">
        <v>1551</v>
      </c>
      <c r="F144" s="2" t="s">
        <v>1289</v>
      </c>
      <c r="G144" s="45" t="s">
        <v>702</v>
      </c>
      <c r="H144" s="45">
        <v>3</v>
      </c>
      <c r="I144" s="43" t="s">
        <v>702</v>
      </c>
      <c r="J144" s="43" t="s">
        <v>702</v>
      </c>
      <c r="K144" s="30">
        <v>120000</v>
      </c>
      <c r="L144" s="43" t="s">
        <v>702</v>
      </c>
      <c r="M144" s="3">
        <v>46141.533333333296</v>
      </c>
      <c r="N144" s="2" t="s">
        <v>811</v>
      </c>
      <c r="O144" s="3">
        <v>46161.533333333296</v>
      </c>
      <c r="P144" s="2" t="s">
        <v>811</v>
      </c>
      <c r="Q144" s="34"/>
      <c r="R144" s="1" t="s">
        <v>31</v>
      </c>
    </row>
    <row r="145" spans="2:18" ht="29" customHeight="1">
      <c r="B145" s="2" t="s">
        <v>1552</v>
      </c>
      <c r="C145" s="2" t="s">
        <v>809</v>
      </c>
      <c r="D145" s="1">
        <v>2</v>
      </c>
      <c r="E145" s="2" t="s">
        <v>1553</v>
      </c>
      <c r="F145" s="2" t="s">
        <v>1292</v>
      </c>
      <c r="G145" s="45">
        <v>3</v>
      </c>
      <c r="H145" s="45" t="s">
        <v>702</v>
      </c>
      <c r="I145" s="43" t="s">
        <v>702</v>
      </c>
      <c r="J145" s="43" t="s">
        <v>702</v>
      </c>
      <c r="K145" s="30">
        <v>45000</v>
      </c>
      <c r="L145" s="43" t="s">
        <v>702</v>
      </c>
      <c r="M145" s="3">
        <v>46141.533333333296</v>
      </c>
      <c r="N145" s="2" t="s">
        <v>811</v>
      </c>
      <c r="O145" s="3">
        <v>46161.533333333296</v>
      </c>
      <c r="P145" s="2" t="s">
        <v>811</v>
      </c>
      <c r="Q145" s="34"/>
      <c r="R145" s="1" t="s">
        <v>31</v>
      </c>
    </row>
    <row r="146" spans="2:18">
      <c r="B146" s="2" t="s">
        <v>1554</v>
      </c>
      <c r="C146" s="2" t="s">
        <v>809</v>
      </c>
      <c r="D146" s="1">
        <v>3</v>
      </c>
      <c r="E146" s="2" t="s">
        <v>1555</v>
      </c>
      <c r="F146" s="2" t="s">
        <v>1295</v>
      </c>
      <c r="G146" s="45" t="s">
        <v>702</v>
      </c>
      <c r="H146" s="45">
        <v>2</v>
      </c>
      <c r="I146" s="43" t="s">
        <v>702</v>
      </c>
      <c r="J146" s="43" t="s">
        <v>702</v>
      </c>
      <c r="K146" s="30">
        <v>30000</v>
      </c>
      <c r="L146" s="43" t="s">
        <v>702</v>
      </c>
      <c r="M146" s="3">
        <v>46141.533333333296</v>
      </c>
      <c r="N146" s="2" t="s">
        <v>811</v>
      </c>
      <c r="O146" s="3">
        <v>46161.533333333296</v>
      </c>
      <c r="P146" s="2" t="s">
        <v>811</v>
      </c>
      <c r="Q146" s="34"/>
      <c r="R146" s="1" t="s">
        <v>31</v>
      </c>
    </row>
    <row r="147" spans="2:18">
      <c r="B147" s="2" t="s">
        <v>1556</v>
      </c>
      <c r="C147" s="2" t="s">
        <v>809</v>
      </c>
      <c r="D147" s="1">
        <v>4</v>
      </c>
      <c r="E147" s="2" t="s">
        <v>1557</v>
      </c>
      <c r="F147" s="2" t="s">
        <v>1298</v>
      </c>
      <c r="G147" s="45">
        <v>7</v>
      </c>
      <c r="H147" s="45" t="s">
        <v>702</v>
      </c>
      <c r="I147" s="43" t="s">
        <v>702</v>
      </c>
      <c r="J147" s="43" t="s">
        <v>702</v>
      </c>
      <c r="K147" s="30">
        <v>35000</v>
      </c>
      <c r="L147" s="43" t="s">
        <v>702</v>
      </c>
      <c r="M147" s="3">
        <v>46141.533333333296</v>
      </c>
      <c r="N147" s="2" t="s">
        <v>811</v>
      </c>
      <c r="O147" s="3">
        <v>46161.533333333296</v>
      </c>
      <c r="P147" s="2" t="s">
        <v>811</v>
      </c>
      <c r="Q147" s="34"/>
      <c r="R147" s="1" t="s">
        <v>31</v>
      </c>
    </row>
    <row r="148" spans="2:18" ht="29" customHeight="1">
      <c r="B148" s="2" t="s">
        <v>1558</v>
      </c>
      <c r="C148" s="2" t="s">
        <v>813</v>
      </c>
      <c r="D148" s="1">
        <v>1</v>
      </c>
      <c r="E148" s="2" t="s">
        <v>1559</v>
      </c>
      <c r="F148" s="2" t="s">
        <v>1301</v>
      </c>
      <c r="G148" s="45">
        <v>2</v>
      </c>
      <c r="H148" s="45" t="s">
        <v>702</v>
      </c>
      <c r="I148" s="43" t="s">
        <v>702</v>
      </c>
      <c r="J148" s="43" t="s">
        <v>702</v>
      </c>
      <c r="K148" s="30">
        <v>14000</v>
      </c>
      <c r="L148" s="43" t="s">
        <v>702</v>
      </c>
      <c r="M148" s="3">
        <v>46142.670138888898</v>
      </c>
      <c r="N148" s="2" t="s">
        <v>815</v>
      </c>
      <c r="O148" s="3">
        <v>46162.670138888898</v>
      </c>
      <c r="P148" s="2" t="s">
        <v>815</v>
      </c>
      <c r="Q148" s="34"/>
      <c r="R148" s="1" t="s">
        <v>31</v>
      </c>
    </row>
    <row r="149" spans="2:18">
      <c r="B149" s="2" t="s">
        <v>1560</v>
      </c>
      <c r="C149" s="2" t="s">
        <v>813</v>
      </c>
      <c r="D149" s="1">
        <v>2</v>
      </c>
      <c r="E149" s="2" t="s">
        <v>1561</v>
      </c>
      <c r="F149" s="2" t="s">
        <v>1304</v>
      </c>
      <c r="G149" s="45" t="s">
        <v>702</v>
      </c>
      <c r="H149" s="45">
        <v>2</v>
      </c>
      <c r="I149" s="43" t="s">
        <v>702</v>
      </c>
      <c r="J149" s="43" t="s">
        <v>702</v>
      </c>
      <c r="K149" s="30">
        <v>40000</v>
      </c>
      <c r="L149" s="43" t="s">
        <v>702</v>
      </c>
      <c r="M149" s="3">
        <v>46142.670138888898</v>
      </c>
      <c r="N149" s="2" t="s">
        <v>815</v>
      </c>
      <c r="O149" s="3">
        <v>46162.670138888898</v>
      </c>
      <c r="P149" s="2" t="s">
        <v>815</v>
      </c>
      <c r="Q149" s="34"/>
      <c r="R149" s="1" t="s">
        <v>31</v>
      </c>
    </row>
    <row r="150" spans="2:18">
      <c r="B150" s="2" t="s">
        <v>1562</v>
      </c>
      <c r="C150" s="2" t="s">
        <v>813</v>
      </c>
      <c r="D150" s="1">
        <v>3</v>
      </c>
      <c r="E150" s="2" t="s">
        <v>1563</v>
      </c>
      <c r="F150" s="2" t="s">
        <v>1307</v>
      </c>
      <c r="G150" s="1">
        <v>6</v>
      </c>
      <c r="H150" s="45" t="s">
        <v>702</v>
      </c>
      <c r="I150" s="43" t="s">
        <v>702</v>
      </c>
      <c r="J150" s="43" t="s">
        <v>702</v>
      </c>
      <c r="K150" s="30">
        <v>48000</v>
      </c>
      <c r="L150" s="43" t="s">
        <v>702</v>
      </c>
      <c r="M150" s="3">
        <v>46142.670138888898</v>
      </c>
      <c r="N150" s="2" t="s">
        <v>815</v>
      </c>
      <c r="O150" s="3">
        <v>46162.670138888898</v>
      </c>
      <c r="P150" s="2" t="s">
        <v>815</v>
      </c>
      <c r="Q150" s="34"/>
      <c r="R150" s="1" t="s">
        <v>31</v>
      </c>
    </row>
    <row r="151" spans="2:18">
      <c r="B151" s="2" t="s">
        <v>1564</v>
      </c>
      <c r="C151" s="2" t="s">
        <v>813</v>
      </c>
      <c r="D151" s="1">
        <v>4</v>
      </c>
      <c r="E151" s="2" t="s">
        <v>1565</v>
      </c>
      <c r="F151" s="2" t="s">
        <v>1310</v>
      </c>
      <c r="G151" s="45" t="s">
        <v>702</v>
      </c>
      <c r="H151" s="1">
        <v>1</v>
      </c>
      <c r="I151" s="43" t="s">
        <v>702</v>
      </c>
      <c r="J151" s="43" t="s">
        <v>702</v>
      </c>
      <c r="K151" s="30">
        <v>40000</v>
      </c>
      <c r="L151" s="43" t="s">
        <v>702</v>
      </c>
      <c r="M151" s="3">
        <v>46142.670138888898</v>
      </c>
      <c r="N151" s="2" t="s">
        <v>815</v>
      </c>
      <c r="O151" s="3">
        <v>46162.670138888898</v>
      </c>
      <c r="P151" s="2" t="s">
        <v>815</v>
      </c>
      <c r="Q151" s="34"/>
      <c r="R151" s="1" t="s">
        <v>31</v>
      </c>
    </row>
    <row r="152" spans="2:18">
      <c r="B152" s="2" t="s">
        <v>1566</v>
      </c>
      <c r="C152" s="2" t="s">
        <v>817</v>
      </c>
      <c r="D152" s="1">
        <v>1</v>
      </c>
      <c r="E152" s="2" t="s">
        <v>1567</v>
      </c>
      <c r="F152" s="2" t="s">
        <v>1313</v>
      </c>
      <c r="G152" s="45" t="s">
        <v>702</v>
      </c>
      <c r="H152" s="45">
        <v>2</v>
      </c>
      <c r="I152" s="43" t="s">
        <v>702</v>
      </c>
      <c r="J152" s="43" t="s">
        <v>702</v>
      </c>
      <c r="K152" s="30">
        <v>80000</v>
      </c>
      <c r="L152" s="43" t="s">
        <v>702</v>
      </c>
      <c r="M152" s="3">
        <v>46142.390277777798</v>
      </c>
      <c r="N152" s="2" t="s">
        <v>86</v>
      </c>
      <c r="O152" s="3">
        <v>46162.390277777798</v>
      </c>
      <c r="P152" s="2" t="s">
        <v>86</v>
      </c>
      <c r="Q152" s="34"/>
      <c r="R152" s="1" t="s">
        <v>31</v>
      </c>
    </row>
    <row r="153" spans="2:18">
      <c r="B153" s="2" t="s">
        <v>1568</v>
      </c>
      <c r="C153" s="2" t="s">
        <v>817</v>
      </c>
      <c r="D153" s="1">
        <v>2</v>
      </c>
      <c r="E153" s="2" t="s">
        <v>1569</v>
      </c>
      <c r="F153" s="2" t="s">
        <v>1316</v>
      </c>
      <c r="G153" s="45">
        <v>5</v>
      </c>
      <c r="H153" s="45" t="s">
        <v>702</v>
      </c>
      <c r="I153" s="43" t="s">
        <v>702</v>
      </c>
      <c r="J153" s="43" t="s">
        <v>702</v>
      </c>
      <c r="K153" s="30">
        <v>75000</v>
      </c>
      <c r="L153" s="43" t="s">
        <v>702</v>
      </c>
      <c r="M153" s="3">
        <v>46142.390277777798</v>
      </c>
      <c r="N153" s="2" t="s">
        <v>86</v>
      </c>
      <c r="O153" s="3">
        <v>46162.390277777798</v>
      </c>
      <c r="P153" s="2" t="s">
        <v>86</v>
      </c>
      <c r="Q153" s="34"/>
      <c r="R153" s="1" t="s">
        <v>31</v>
      </c>
    </row>
    <row r="154" spans="2:18">
      <c r="B154" s="2" t="s">
        <v>1570</v>
      </c>
      <c r="C154" s="2" t="s">
        <v>817</v>
      </c>
      <c r="D154" s="1">
        <v>3</v>
      </c>
      <c r="E154" s="2" t="s">
        <v>1571</v>
      </c>
      <c r="F154" s="2" t="s">
        <v>1319</v>
      </c>
      <c r="G154" s="45" t="s">
        <v>702</v>
      </c>
      <c r="H154" s="45">
        <v>1</v>
      </c>
      <c r="I154" s="43" t="s">
        <v>702</v>
      </c>
      <c r="J154" s="43" t="s">
        <v>702</v>
      </c>
      <c r="K154" s="30">
        <v>60000</v>
      </c>
      <c r="L154" s="43" t="s">
        <v>702</v>
      </c>
      <c r="M154" s="3">
        <v>46142.390277777798</v>
      </c>
      <c r="N154" s="2" t="s">
        <v>86</v>
      </c>
      <c r="O154" s="3">
        <v>46162.390277777798</v>
      </c>
      <c r="P154" s="2" t="s">
        <v>86</v>
      </c>
      <c r="Q154" s="34"/>
      <c r="R154" s="1" t="s">
        <v>31</v>
      </c>
    </row>
    <row r="155" spans="2:18">
      <c r="B155" s="2" t="s">
        <v>1572</v>
      </c>
      <c r="C155" s="2" t="s">
        <v>817</v>
      </c>
      <c r="D155" s="1">
        <v>4</v>
      </c>
      <c r="E155" s="2" t="s">
        <v>1573</v>
      </c>
      <c r="F155" s="2" t="s">
        <v>1259</v>
      </c>
      <c r="G155" s="45">
        <v>9</v>
      </c>
      <c r="H155" s="45" t="s">
        <v>702</v>
      </c>
      <c r="I155" s="43" t="s">
        <v>702</v>
      </c>
      <c r="J155" s="43" t="s">
        <v>702</v>
      </c>
      <c r="K155" s="30">
        <v>112500</v>
      </c>
      <c r="L155" s="43" t="s">
        <v>702</v>
      </c>
      <c r="M155" s="3">
        <v>46142.390277777798</v>
      </c>
      <c r="N155" s="2" t="s">
        <v>86</v>
      </c>
      <c r="O155" s="3">
        <v>46162.390277777798</v>
      </c>
      <c r="P155" s="2" t="s">
        <v>86</v>
      </c>
      <c r="Q155" s="34"/>
      <c r="R155" s="1" t="s">
        <v>31</v>
      </c>
    </row>
    <row r="156" spans="2:18">
      <c r="B156" s="2" t="s">
        <v>1574</v>
      </c>
      <c r="C156" s="2" t="s">
        <v>820</v>
      </c>
      <c r="D156" s="1">
        <v>1</v>
      </c>
      <c r="E156" s="2" t="s">
        <v>1575</v>
      </c>
      <c r="F156" s="2" t="s">
        <v>1262</v>
      </c>
      <c r="G156" s="1">
        <v>4</v>
      </c>
      <c r="H156" s="45" t="s">
        <v>702</v>
      </c>
      <c r="I156" s="43" t="s">
        <v>702</v>
      </c>
      <c r="J156" s="43" t="s">
        <v>702</v>
      </c>
      <c r="K156" s="30">
        <v>60000</v>
      </c>
      <c r="L156" s="43" t="s">
        <v>702</v>
      </c>
      <c r="M156" s="3">
        <v>46143.527083333298</v>
      </c>
      <c r="N156" s="2" t="s">
        <v>822</v>
      </c>
      <c r="O156" s="3">
        <v>46163.527083333298</v>
      </c>
      <c r="P156" s="2" t="s">
        <v>822</v>
      </c>
      <c r="Q156" s="34"/>
      <c r="R156" s="1" t="s">
        <v>31</v>
      </c>
    </row>
    <row r="157" spans="2:18">
      <c r="B157" s="2" t="s">
        <v>1576</v>
      </c>
      <c r="C157" s="2" t="s">
        <v>820</v>
      </c>
      <c r="D157" s="1">
        <v>2</v>
      </c>
      <c r="E157" s="2" t="s">
        <v>1577</v>
      </c>
      <c r="F157" s="2" t="s">
        <v>1265</v>
      </c>
      <c r="G157" s="45" t="s">
        <v>702</v>
      </c>
      <c r="H157" s="45">
        <v>1</v>
      </c>
      <c r="I157" s="43" t="s">
        <v>702</v>
      </c>
      <c r="J157" s="43" t="s">
        <v>702</v>
      </c>
      <c r="K157" s="30">
        <v>50000</v>
      </c>
      <c r="L157" s="43" t="s">
        <v>702</v>
      </c>
      <c r="M157" s="3">
        <v>46143.527083333298</v>
      </c>
      <c r="N157" s="2" t="s">
        <v>822</v>
      </c>
      <c r="O157" s="3">
        <v>46163.527083333298</v>
      </c>
      <c r="P157" s="2" t="s">
        <v>822</v>
      </c>
      <c r="Q157" s="34"/>
      <c r="R157" s="1" t="s">
        <v>31</v>
      </c>
    </row>
    <row r="158" spans="2:18">
      <c r="B158" s="2" t="s">
        <v>1578</v>
      </c>
      <c r="C158" s="2" t="s">
        <v>820</v>
      </c>
      <c r="D158" s="1">
        <v>3</v>
      </c>
      <c r="E158" s="2" t="s">
        <v>1579</v>
      </c>
      <c r="F158" s="2" t="s">
        <v>1268</v>
      </c>
      <c r="G158" s="45">
        <v>8</v>
      </c>
      <c r="H158" s="45" t="s">
        <v>702</v>
      </c>
      <c r="I158" s="43" t="s">
        <v>702</v>
      </c>
      <c r="J158" s="43" t="s">
        <v>702</v>
      </c>
      <c r="K158" s="30">
        <v>60000</v>
      </c>
      <c r="L158" s="43" t="s">
        <v>702</v>
      </c>
      <c r="M158" s="3">
        <v>46143.527083333298</v>
      </c>
      <c r="N158" s="2" t="s">
        <v>822</v>
      </c>
      <c r="O158" s="3">
        <v>46163.527083333298</v>
      </c>
      <c r="P158" s="2" t="s">
        <v>822</v>
      </c>
      <c r="Q158" s="34"/>
      <c r="R158" s="1" t="s">
        <v>31</v>
      </c>
    </row>
    <row r="159" spans="2:18">
      <c r="B159" s="2" t="s">
        <v>1580</v>
      </c>
      <c r="C159" s="2" t="s">
        <v>820</v>
      </c>
      <c r="D159" s="1">
        <v>4</v>
      </c>
      <c r="E159" s="2" t="s">
        <v>1581</v>
      </c>
      <c r="F159" s="2" t="s">
        <v>1271</v>
      </c>
      <c r="G159" s="45" t="s">
        <v>702</v>
      </c>
      <c r="H159" s="45">
        <v>3</v>
      </c>
      <c r="I159" s="43" t="s">
        <v>702</v>
      </c>
      <c r="J159" s="43" t="s">
        <v>702</v>
      </c>
      <c r="K159" s="30">
        <v>96000</v>
      </c>
      <c r="L159" s="43" t="s">
        <v>702</v>
      </c>
      <c r="M159" s="3">
        <v>46143.527083333298</v>
      </c>
      <c r="N159" s="2" t="s">
        <v>822</v>
      </c>
      <c r="O159" s="3">
        <v>46163.527083333298</v>
      </c>
      <c r="P159" s="2" t="s">
        <v>822</v>
      </c>
      <c r="Q159" s="34"/>
      <c r="R159" s="1" t="s">
        <v>31</v>
      </c>
    </row>
    <row r="160" spans="2:18">
      <c r="B160" s="2" t="s">
        <v>1582</v>
      </c>
      <c r="C160" s="2" t="s">
        <v>824</v>
      </c>
      <c r="D160" s="1">
        <v>1</v>
      </c>
      <c r="E160" s="2" t="s">
        <v>1583</v>
      </c>
      <c r="F160" s="2" t="s">
        <v>1274</v>
      </c>
      <c r="G160" s="45" t="s">
        <v>702</v>
      </c>
      <c r="H160" s="1">
        <v>1</v>
      </c>
      <c r="I160" s="43" t="s">
        <v>702</v>
      </c>
      <c r="J160" s="43" t="s">
        <v>702</v>
      </c>
      <c r="K160" s="30">
        <v>40000</v>
      </c>
      <c r="L160" s="43" t="s">
        <v>702</v>
      </c>
      <c r="M160" s="3">
        <v>46143.663888888899</v>
      </c>
      <c r="N160" s="2" t="s">
        <v>826</v>
      </c>
      <c r="O160" s="3">
        <v>46163.663888888899</v>
      </c>
      <c r="P160" s="2" t="s">
        <v>826</v>
      </c>
      <c r="Q160" s="34"/>
      <c r="R160" s="1" t="s">
        <v>31</v>
      </c>
    </row>
    <row r="161" spans="2:18">
      <c r="B161" s="2" t="s">
        <v>1584</v>
      </c>
      <c r="C161" s="2" t="s">
        <v>824</v>
      </c>
      <c r="D161" s="1">
        <v>2</v>
      </c>
      <c r="E161" s="2" t="s">
        <v>1585</v>
      </c>
      <c r="F161" s="2" t="s">
        <v>1277</v>
      </c>
      <c r="G161" s="1">
        <v>7</v>
      </c>
      <c r="H161" s="45" t="s">
        <v>702</v>
      </c>
      <c r="I161" s="43" t="s">
        <v>702</v>
      </c>
      <c r="J161" s="43" t="s">
        <v>702</v>
      </c>
      <c r="K161" s="30">
        <v>87500</v>
      </c>
      <c r="L161" s="43" t="s">
        <v>702</v>
      </c>
      <c r="M161" s="3">
        <v>46143.663888888899</v>
      </c>
      <c r="N161" s="2" t="s">
        <v>826</v>
      </c>
      <c r="O161" s="3">
        <v>46163.663888888899</v>
      </c>
      <c r="P161" s="2" t="s">
        <v>826</v>
      </c>
      <c r="Q161" s="34"/>
      <c r="R161" s="1" t="s">
        <v>31</v>
      </c>
    </row>
    <row r="162" spans="2:18">
      <c r="B162" s="2" t="s">
        <v>1586</v>
      </c>
      <c r="C162" s="2" t="s">
        <v>824</v>
      </c>
      <c r="D162" s="1">
        <v>3</v>
      </c>
      <c r="E162" s="2" t="s">
        <v>1587</v>
      </c>
      <c r="F162" s="2" t="s">
        <v>1280</v>
      </c>
      <c r="G162" s="45" t="s">
        <v>702</v>
      </c>
      <c r="H162" s="1">
        <v>3</v>
      </c>
      <c r="I162" s="43" t="s">
        <v>702</v>
      </c>
      <c r="J162" s="43" t="s">
        <v>702</v>
      </c>
      <c r="K162" s="30">
        <v>127500</v>
      </c>
      <c r="L162" s="43" t="s">
        <v>702</v>
      </c>
      <c r="M162" s="3">
        <v>46143.663888888899</v>
      </c>
      <c r="N162" s="2" t="s">
        <v>826</v>
      </c>
      <c r="O162" s="3">
        <v>46163.663888888899</v>
      </c>
      <c r="P162" s="2" t="s">
        <v>826</v>
      </c>
      <c r="Q162" s="34"/>
      <c r="R162" s="1" t="s">
        <v>31</v>
      </c>
    </row>
    <row r="163" spans="2:18">
      <c r="B163" s="2" t="s">
        <v>1588</v>
      </c>
      <c r="C163" s="2" t="s">
        <v>824</v>
      </c>
      <c r="D163" s="1">
        <v>4</v>
      </c>
      <c r="E163" s="2" t="s">
        <v>1589</v>
      </c>
      <c r="F163" s="2" t="s">
        <v>1283</v>
      </c>
      <c r="G163" s="1">
        <v>11</v>
      </c>
      <c r="H163" s="45" t="s">
        <v>702</v>
      </c>
      <c r="I163" s="43" t="s">
        <v>702</v>
      </c>
      <c r="J163" s="43" t="s">
        <v>702</v>
      </c>
      <c r="K163" s="30">
        <v>192500</v>
      </c>
      <c r="L163" s="43" t="s">
        <v>702</v>
      </c>
      <c r="M163" s="3">
        <v>46143.663888888899</v>
      </c>
      <c r="N163" s="2" t="s">
        <v>826</v>
      </c>
      <c r="O163" s="3">
        <v>46163.663888888899</v>
      </c>
      <c r="P163" s="2" t="s">
        <v>826</v>
      </c>
      <c r="Q163" s="34"/>
      <c r="R163" s="1" t="s">
        <v>31</v>
      </c>
    </row>
    <row r="164" spans="2:18">
      <c r="B164" s="2" t="s">
        <v>1590</v>
      </c>
      <c r="C164" s="2" t="s">
        <v>828</v>
      </c>
      <c r="D164" s="1">
        <v>1</v>
      </c>
      <c r="E164" s="2" t="s">
        <v>1591</v>
      </c>
      <c r="F164" s="2" t="s">
        <v>1286</v>
      </c>
      <c r="G164" s="45">
        <v>6</v>
      </c>
      <c r="H164" s="45" t="s">
        <v>702</v>
      </c>
      <c r="I164" s="43" t="s">
        <v>702</v>
      </c>
      <c r="J164" s="43" t="s">
        <v>702</v>
      </c>
      <c r="K164" s="30">
        <v>60000</v>
      </c>
      <c r="L164" s="43" t="s">
        <v>702</v>
      </c>
      <c r="M164" s="3">
        <v>46144.3840277778</v>
      </c>
      <c r="N164" s="2" t="s">
        <v>830</v>
      </c>
      <c r="O164" s="3">
        <v>46164.3840277778</v>
      </c>
      <c r="P164" s="2" t="s">
        <v>830</v>
      </c>
      <c r="Q164" s="34"/>
      <c r="R164" s="1" t="s">
        <v>31</v>
      </c>
    </row>
    <row r="165" spans="2:18">
      <c r="B165" s="2" t="s">
        <v>1592</v>
      </c>
      <c r="C165" s="2" t="s">
        <v>828</v>
      </c>
      <c r="D165" s="1">
        <v>2</v>
      </c>
      <c r="E165" s="2" t="s">
        <v>1593</v>
      </c>
      <c r="F165" s="2" t="s">
        <v>1289</v>
      </c>
      <c r="G165" s="45" t="s">
        <v>702</v>
      </c>
      <c r="H165" s="45">
        <v>3</v>
      </c>
      <c r="I165" s="43" t="s">
        <v>702</v>
      </c>
      <c r="J165" s="43" t="s">
        <v>702</v>
      </c>
      <c r="K165" s="30">
        <v>120000</v>
      </c>
      <c r="L165" s="43" t="s">
        <v>702</v>
      </c>
      <c r="M165" s="3">
        <v>46144.3840277778</v>
      </c>
      <c r="N165" s="2" t="s">
        <v>830</v>
      </c>
      <c r="O165" s="3">
        <v>46164.3840277778</v>
      </c>
      <c r="P165" s="2" t="s">
        <v>830</v>
      </c>
      <c r="Q165" s="34"/>
      <c r="R165" s="1" t="s">
        <v>31</v>
      </c>
    </row>
    <row r="166" spans="2:18">
      <c r="B166" s="2" t="s">
        <v>1594</v>
      </c>
      <c r="C166" s="2" t="s">
        <v>828</v>
      </c>
      <c r="D166" s="1">
        <v>3</v>
      </c>
      <c r="E166" s="2" t="s">
        <v>1595</v>
      </c>
      <c r="F166" s="2" t="s">
        <v>1292</v>
      </c>
      <c r="G166" s="45">
        <v>10</v>
      </c>
      <c r="H166" s="45" t="s">
        <v>702</v>
      </c>
      <c r="I166" s="43" t="s">
        <v>702</v>
      </c>
      <c r="J166" s="43" t="s">
        <v>702</v>
      </c>
      <c r="K166" s="30">
        <v>150000</v>
      </c>
      <c r="L166" s="43" t="s">
        <v>702</v>
      </c>
      <c r="M166" s="3">
        <v>46144.3840277778</v>
      </c>
      <c r="N166" s="2" t="s">
        <v>830</v>
      </c>
      <c r="O166" s="3">
        <v>46164.3840277778</v>
      </c>
      <c r="P166" s="2" t="s">
        <v>830</v>
      </c>
      <c r="Q166" s="34"/>
      <c r="R166" s="1" t="s">
        <v>31</v>
      </c>
    </row>
    <row r="167" spans="2:18" ht="29" customHeight="1">
      <c r="B167" s="2" t="s">
        <v>1596</v>
      </c>
      <c r="C167" s="2" t="s">
        <v>828</v>
      </c>
      <c r="D167" s="1">
        <v>4</v>
      </c>
      <c r="E167" s="2" t="s">
        <v>1597</v>
      </c>
      <c r="F167" s="2" t="s">
        <v>1295</v>
      </c>
      <c r="G167" s="45" t="s">
        <v>702</v>
      </c>
      <c r="H167" s="45">
        <v>2</v>
      </c>
      <c r="I167" s="43" t="s">
        <v>702</v>
      </c>
      <c r="J167" s="43" t="s">
        <v>702</v>
      </c>
      <c r="K167" s="30">
        <v>30000</v>
      </c>
      <c r="L167" s="43" t="s">
        <v>702</v>
      </c>
      <c r="M167" s="3">
        <v>46144.3840277778</v>
      </c>
      <c r="N167" s="2" t="s">
        <v>830</v>
      </c>
      <c r="O167" s="3">
        <v>46164.3840277778</v>
      </c>
      <c r="P167" s="2" t="s">
        <v>830</v>
      </c>
      <c r="Q167" s="34"/>
      <c r="R167" s="1" t="s">
        <v>31</v>
      </c>
    </row>
    <row r="168" spans="2:18">
      <c r="B168" s="2" t="s">
        <v>1598</v>
      </c>
      <c r="C168" s="2" t="s">
        <v>832</v>
      </c>
      <c r="D168" s="1">
        <v>1</v>
      </c>
      <c r="E168" s="2" t="s">
        <v>1599</v>
      </c>
      <c r="F168" s="2" t="s">
        <v>1298</v>
      </c>
      <c r="G168" s="45" t="s">
        <v>702</v>
      </c>
      <c r="H168" s="45">
        <v>3</v>
      </c>
      <c r="I168" s="43" t="s">
        <v>702</v>
      </c>
      <c r="J168" s="43" t="s">
        <v>702</v>
      </c>
      <c r="K168" s="30">
        <v>60000</v>
      </c>
      <c r="L168" s="43" t="s">
        <v>702</v>
      </c>
      <c r="M168" s="3">
        <v>46144.520833333299</v>
      </c>
      <c r="N168" s="2" t="s">
        <v>834</v>
      </c>
      <c r="O168" s="3">
        <v>46164.520833333299</v>
      </c>
      <c r="P168" s="2" t="s">
        <v>834</v>
      </c>
      <c r="Q168" s="34"/>
      <c r="R168" s="1" t="s">
        <v>31</v>
      </c>
    </row>
    <row r="169" spans="2:18">
      <c r="B169" s="2" t="s">
        <v>1600</v>
      </c>
      <c r="C169" s="2" t="s">
        <v>832</v>
      </c>
      <c r="D169" s="1">
        <v>2</v>
      </c>
      <c r="E169" s="2" t="s">
        <v>1601</v>
      </c>
      <c r="F169" s="2" t="s">
        <v>1301</v>
      </c>
      <c r="G169" s="45">
        <v>9</v>
      </c>
      <c r="H169" s="45" t="s">
        <v>702</v>
      </c>
      <c r="I169" s="43" t="s">
        <v>702</v>
      </c>
      <c r="J169" s="43" t="s">
        <v>702</v>
      </c>
      <c r="K169" s="30">
        <v>63000</v>
      </c>
      <c r="L169" s="43" t="s">
        <v>702</v>
      </c>
      <c r="M169" s="3">
        <v>46144.520833333299</v>
      </c>
      <c r="N169" s="2" t="s">
        <v>834</v>
      </c>
      <c r="O169" s="3">
        <v>46164.520833333299</v>
      </c>
      <c r="P169" s="2" t="s">
        <v>834</v>
      </c>
      <c r="Q169" s="34"/>
      <c r="R169" s="1" t="s">
        <v>31</v>
      </c>
    </row>
    <row r="170" spans="2:18" ht="29" customHeight="1">
      <c r="B170" s="2" t="s">
        <v>1602</v>
      </c>
      <c r="C170" s="2" t="s">
        <v>832</v>
      </c>
      <c r="D170" s="1">
        <v>3</v>
      </c>
      <c r="E170" s="2" t="s">
        <v>1603</v>
      </c>
      <c r="F170" s="2" t="s">
        <v>1304</v>
      </c>
      <c r="G170" s="45" t="s">
        <v>702</v>
      </c>
      <c r="H170" s="45">
        <v>2</v>
      </c>
      <c r="I170" s="43" t="s">
        <v>702</v>
      </c>
      <c r="J170" s="43" t="s">
        <v>702</v>
      </c>
      <c r="K170" s="30">
        <v>40000</v>
      </c>
      <c r="L170" s="43" t="s">
        <v>702</v>
      </c>
      <c r="M170" s="3">
        <v>46144.520833333299</v>
      </c>
      <c r="N170" s="2" t="s">
        <v>834</v>
      </c>
      <c r="O170" s="3">
        <v>46164.520833333299</v>
      </c>
      <c r="P170" s="2" t="s">
        <v>834</v>
      </c>
      <c r="Q170" s="34"/>
      <c r="R170" s="1" t="s">
        <v>31</v>
      </c>
    </row>
    <row r="171" spans="2:18">
      <c r="B171" s="2" t="s">
        <v>1604</v>
      </c>
      <c r="C171" s="2" t="s">
        <v>832</v>
      </c>
      <c r="D171" s="1">
        <v>4</v>
      </c>
      <c r="E171" s="2" t="s">
        <v>1605</v>
      </c>
      <c r="F171" s="2" t="s">
        <v>1307</v>
      </c>
      <c r="G171" s="45">
        <v>1</v>
      </c>
      <c r="H171" s="45" t="s">
        <v>702</v>
      </c>
      <c r="I171" s="43" t="s">
        <v>702</v>
      </c>
      <c r="J171" s="43" t="s">
        <v>702</v>
      </c>
      <c r="K171" s="30">
        <v>8000</v>
      </c>
      <c r="L171" s="43" t="s">
        <v>702</v>
      </c>
      <c r="M171" s="3">
        <v>46144.520833333299</v>
      </c>
      <c r="N171" s="2" t="s">
        <v>834</v>
      </c>
      <c r="O171" s="3">
        <v>46164.520833333299</v>
      </c>
      <c r="P171" s="2" t="s">
        <v>834</v>
      </c>
      <c r="Q171" s="34"/>
      <c r="R171" s="1" t="s">
        <v>31</v>
      </c>
    </row>
    <row r="172" spans="2:18">
      <c r="B172" s="2" t="s">
        <v>1606</v>
      </c>
      <c r="C172" s="2" t="s">
        <v>836</v>
      </c>
      <c r="D172" s="1">
        <v>1</v>
      </c>
      <c r="E172" s="2" t="s">
        <v>1607</v>
      </c>
      <c r="F172" s="2" t="s">
        <v>1310</v>
      </c>
      <c r="G172" s="1">
        <v>8</v>
      </c>
      <c r="H172" s="45" t="s">
        <v>702</v>
      </c>
      <c r="I172" s="43" t="s">
        <v>702</v>
      </c>
      <c r="J172" s="43" t="s">
        <v>702</v>
      </c>
      <c r="K172" s="30">
        <v>96000</v>
      </c>
      <c r="L172" s="43" t="s">
        <v>702</v>
      </c>
      <c r="M172" s="3">
        <v>46145.657638888901</v>
      </c>
      <c r="N172" s="2" t="s">
        <v>838</v>
      </c>
      <c r="O172" s="3">
        <v>46165.657638888901</v>
      </c>
      <c r="P172" s="2" t="s">
        <v>838</v>
      </c>
      <c r="Q172" s="34"/>
      <c r="R172" s="1" t="s">
        <v>31</v>
      </c>
    </row>
    <row r="173" spans="2:18" ht="29" customHeight="1">
      <c r="B173" s="2" t="s">
        <v>1608</v>
      </c>
      <c r="C173" s="2" t="s">
        <v>836</v>
      </c>
      <c r="D173" s="1">
        <v>2</v>
      </c>
      <c r="E173" s="2" t="s">
        <v>1609</v>
      </c>
      <c r="F173" s="2" t="s">
        <v>1313</v>
      </c>
      <c r="G173" s="45" t="s">
        <v>702</v>
      </c>
      <c r="H173" s="1">
        <v>2</v>
      </c>
      <c r="I173" s="43" t="s">
        <v>702</v>
      </c>
      <c r="J173" s="43" t="s">
        <v>702</v>
      </c>
      <c r="K173" s="30">
        <v>80000</v>
      </c>
      <c r="L173" s="43" t="s">
        <v>702</v>
      </c>
      <c r="M173" s="3">
        <v>46145.657638888901</v>
      </c>
      <c r="N173" s="2" t="s">
        <v>838</v>
      </c>
      <c r="O173" s="3">
        <v>46165.657638888901</v>
      </c>
      <c r="P173" s="2" t="s">
        <v>838</v>
      </c>
      <c r="Q173" s="34"/>
      <c r="R173" s="1" t="s">
        <v>31</v>
      </c>
    </row>
    <row r="174" spans="2:18">
      <c r="B174" s="2" t="s">
        <v>1610</v>
      </c>
      <c r="C174" s="2" t="s">
        <v>836</v>
      </c>
      <c r="D174" s="1">
        <v>3</v>
      </c>
      <c r="E174" s="2" t="s">
        <v>1611</v>
      </c>
      <c r="F174" s="2" t="s">
        <v>1316</v>
      </c>
      <c r="G174" s="1">
        <v>12</v>
      </c>
      <c r="H174" s="45" t="s">
        <v>702</v>
      </c>
      <c r="I174" s="43" t="s">
        <v>702</v>
      </c>
      <c r="J174" s="43" t="s">
        <v>702</v>
      </c>
      <c r="K174" s="30">
        <v>180000</v>
      </c>
      <c r="L174" s="43" t="s">
        <v>702</v>
      </c>
      <c r="M174" s="3">
        <v>46145.657638888901</v>
      </c>
      <c r="N174" s="2" t="s">
        <v>838</v>
      </c>
      <c r="O174" s="3">
        <v>46165.657638888901</v>
      </c>
      <c r="P174" s="2" t="s">
        <v>838</v>
      </c>
      <c r="Q174" s="34"/>
      <c r="R174" s="1" t="s">
        <v>31</v>
      </c>
    </row>
    <row r="175" spans="2:18">
      <c r="B175" s="2" t="s">
        <v>1612</v>
      </c>
      <c r="C175" s="2" t="s">
        <v>836</v>
      </c>
      <c r="D175" s="1">
        <v>4</v>
      </c>
      <c r="E175" s="2" t="s">
        <v>1613</v>
      </c>
      <c r="F175" s="2" t="s">
        <v>1319</v>
      </c>
      <c r="G175" s="45" t="s">
        <v>702</v>
      </c>
      <c r="H175" s="1">
        <v>1</v>
      </c>
      <c r="I175" s="43" t="s">
        <v>702</v>
      </c>
      <c r="J175" s="43" t="s">
        <v>702</v>
      </c>
      <c r="K175" s="30">
        <v>60000</v>
      </c>
      <c r="L175" s="43" t="s">
        <v>702</v>
      </c>
      <c r="M175" s="3">
        <v>46145.657638888901</v>
      </c>
      <c r="N175" s="2" t="s">
        <v>838</v>
      </c>
      <c r="O175" s="3">
        <v>46165.657638888901</v>
      </c>
      <c r="P175" s="2" t="s">
        <v>838</v>
      </c>
      <c r="Q175" s="34"/>
      <c r="R175" s="1" t="s">
        <v>31</v>
      </c>
    </row>
    <row r="176" spans="2:18" ht="29" customHeight="1">
      <c r="B176" s="2" t="s">
        <v>1614</v>
      </c>
      <c r="C176" s="2" t="s">
        <v>840</v>
      </c>
      <c r="D176" s="1">
        <v>1</v>
      </c>
      <c r="E176" s="2" t="s">
        <v>1615</v>
      </c>
      <c r="F176" s="2" t="s">
        <v>1259</v>
      </c>
      <c r="G176" s="45" t="s">
        <v>702</v>
      </c>
      <c r="H176" s="45">
        <v>2</v>
      </c>
      <c r="I176" s="43" t="s">
        <v>702</v>
      </c>
      <c r="J176" s="43" t="s">
        <v>702</v>
      </c>
      <c r="K176" s="30">
        <v>70000</v>
      </c>
      <c r="L176" s="43" t="s">
        <v>702</v>
      </c>
      <c r="M176" s="3">
        <v>46145.4194444444</v>
      </c>
      <c r="N176" s="2" t="s">
        <v>842</v>
      </c>
      <c r="O176" s="3">
        <v>46165.4194444444</v>
      </c>
      <c r="P176" s="2" t="s">
        <v>842</v>
      </c>
      <c r="Q176" s="34"/>
      <c r="R176" s="1" t="s">
        <v>31</v>
      </c>
    </row>
    <row r="177" spans="2:18">
      <c r="B177" s="2" t="s">
        <v>1616</v>
      </c>
      <c r="C177" s="2" t="s">
        <v>840</v>
      </c>
      <c r="D177" s="1">
        <v>2</v>
      </c>
      <c r="E177" s="2" t="s">
        <v>1617</v>
      </c>
      <c r="F177" s="2" t="s">
        <v>1262</v>
      </c>
      <c r="G177" s="45">
        <v>11</v>
      </c>
      <c r="H177" s="45" t="s">
        <v>702</v>
      </c>
      <c r="I177" s="43" t="s">
        <v>702</v>
      </c>
      <c r="J177" s="43" t="s">
        <v>702</v>
      </c>
      <c r="K177" s="30">
        <v>165000</v>
      </c>
      <c r="L177" s="43" t="s">
        <v>702</v>
      </c>
      <c r="M177" s="3">
        <v>46145.4194444444</v>
      </c>
      <c r="N177" s="2" t="s">
        <v>842</v>
      </c>
      <c r="O177" s="3">
        <v>46165.4194444444</v>
      </c>
      <c r="P177" s="2" t="s">
        <v>842</v>
      </c>
      <c r="Q177" s="34"/>
      <c r="R177" s="1" t="s">
        <v>31</v>
      </c>
    </row>
    <row r="178" spans="2:18">
      <c r="B178" s="2" t="s">
        <v>1618</v>
      </c>
      <c r="C178" s="2" t="s">
        <v>840</v>
      </c>
      <c r="D178" s="1">
        <v>3</v>
      </c>
      <c r="E178" s="2" t="s">
        <v>1619</v>
      </c>
      <c r="F178" s="2" t="s">
        <v>1265</v>
      </c>
      <c r="G178" s="45" t="s">
        <v>702</v>
      </c>
      <c r="H178" s="45">
        <v>1</v>
      </c>
      <c r="I178" s="43" t="s">
        <v>702</v>
      </c>
      <c r="J178" s="43" t="s">
        <v>702</v>
      </c>
      <c r="K178" s="30">
        <v>50000</v>
      </c>
      <c r="L178" s="43" t="s">
        <v>702</v>
      </c>
      <c r="M178" s="3">
        <v>46145.4194444444</v>
      </c>
      <c r="N178" s="2" t="s">
        <v>842</v>
      </c>
      <c r="O178" s="3">
        <v>46165.4194444444</v>
      </c>
      <c r="P178" s="2" t="s">
        <v>842</v>
      </c>
      <c r="Q178" s="34"/>
      <c r="R178" s="1" t="s">
        <v>31</v>
      </c>
    </row>
    <row r="179" spans="2:18">
      <c r="B179" s="2" t="s">
        <v>1620</v>
      </c>
      <c r="C179" s="2" t="s">
        <v>840</v>
      </c>
      <c r="D179" s="1">
        <v>4</v>
      </c>
      <c r="E179" s="2" t="s">
        <v>1621</v>
      </c>
      <c r="F179" s="2" t="s">
        <v>1268</v>
      </c>
      <c r="G179" s="45">
        <v>3</v>
      </c>
      <c r="H179" s="45" t="s">
        <v>702</v>
      </c>
      <c r="I179" s="43" t="s">
        <v>702</v>
      </c>
      <c r="J179" s="43" t="s">
        <v>702</v>
      </c>
      <c r="K179" s="30">
        <v>22500</v>
      </c>
      <c r="L179" s="43" t="s">
        <v>702</v>
      </c>
      <c r="M179" s="3">
        <v>46145.4194444444</v>
      </c>
      <c r="N179" s="2" t="s">
        <v>842</v>
      </c>
      <c r="O179" s="3">
        <v>46165.4194444444</v>
      </c>
      <c r="P179" s="2" t="s">
        <v>842</v>
      </c>
      <c r="Q179" s="34"/>
      <c r="R179" s="1" t="s">
        <v>31</v>
      </c>
    </row>
    <row r="180" spans="2:18">
      <c r="B180" s="2" t="s">
        <v>1622</v>
      </c>
      <c r="C180" s="2" t="s">
        <v>844</v>
      </c>
      <c r="D180" s="1">
        <v>1</v>
      </c>
      <c r="E180" s="2" t="s">
        <v>1623</v>
      </c>
      <c r="F180" s="2" t="s">
        <v>1271</v>
      </c>
      <c r="G180" s="1">
        <v>10</v>
      </c>
      <c r="H180" s="45" t="s">
        <v>702</v>
      </c>
      <c r="I180" s="43" t="s">
        <v>702</v>
      </c>
      <c r="J180" s="43" t="s">
        <v>702</v>
      </c>
      <c r="K180" s="30">
        <v>100000</v>
      </c>
      <c r="L180" s="43" t="s">
        <v>702</v>
      </c>
      <c r="M180" s="3">
        <v>46146.514583333301</v>
      </c>
      <c r="N180" s="2" t="s">
        <v>846</v>
      </c>
      <c r="O180" s="3">
        <v>46166.514583333301</v>
      </c>
      <c r="P180" s="2" t="s">
        <v>846</v>
      </c>
      <c r="Q180" s="34"/>
      <c r="R180" s="1" t="s">
        <v>31</v>
      </c>
    </row>
    <row r="181" spans="2:18">
      <c r="B181" s="2" t="s">
        <v>1624</v>
      </c>
      <c r="C181" s="2" t="s">
        <v>844</v>
      </c>
      <c r="D181" s="1">
        <v>2</v>
      </c>
      <c r="E181" s="2" t="s">
        <v>1625</v>
      </c>
      <c r="F181" s="2" t="s">
        <v>1274</v>
      </c>
      <c r="G181" s="45" t="s">
        <v>702</v>
      </c>
      <c r="H181" s="1">
        <v>1</v>
      </c>
      <c r="I181" s="43" t="s">
        <v>702</v>
      </c>
      <c r="J181" s="43" t="s">
        <v>702</v>
      </c>
      <c r="K181" s="30">
        <v>40000</v>
      </c>
      <c r="L181" s="43" t="s">
        <v>702</v>
      </c>
      <c r="M181" s="3">
        <v>46146.514583333301</v>
      </c>
      <c r="N181" s="2" t="s">
        <v>846</v>
      </c>
      <c r="O181" s="3">
        <v>46166.514583333301</v>
      </c>
      <c r="P181" s="2" t="s">
        <v>846</v>
      </c>
      <c r="Q181" s="34"/>
      <c r="R181" s="1" t="s">
        <v>31</v>
      </c>
    </row>
    <row r="182" spans="2:18">
      <c r="B182" s="2" t="s">
        <v>1626</v>
      </c>
      <c r="C182" s="2" t="s">
        <v>844</v>
      </c>
      <c r="D182" s="1">
        <v>3</v>
      </c>
      <c r="E182" s="2" t="s">
        <v>1627</v>
      </c>
      <c r="F182" s="2" t="s">
        <v>1277</v>
      </c>
      <c r="G182" s="1">
        <v>2</v>
      </c>
      <c r="H182" s="45" t="s">
        <v>702</v>
      </c>
      <c r="I182" s="43" t="s">
        <v>702</v>
      </c>
      <c r="J182" s="43" t="s">
        <v>702</v>
      </c>
      <c r="K182" s="30">
        <v>25000</v>
      </c>
      <c r="L182" s="43" t="s">
        <v>702</v>
      </c>
      <c r="M182" s="3">
        <v>46146.514583333301</v>
      </c>
      <c r="N182" s="2" t="s">
        <v>846</v>
      </c>
      <c r="O182" s="3">
        <v>46166.514583333301</v>
      </c>
      <c r="P182" s="2" t="s">
        <v>846</v>
      </c>
      <c r="Q182" s="34"/>
      <c r="R182" s="1" t="s">
        <v>31</v>
      </c>
    </row>
    <row r="183" spans="2:18" ht="29" customHeight="1">
      <c r="B183" s="2" t="s">
        <v>1628</v>
      </c>
      <c r="C183" s="2" t="s">
        <v>844</v>
      </c>
      <c r="D183" s="1">
        <v>4</v>
      </c>
      <c r="E183" s="2" t="s">
        <v>1629</v>
      </c>
      <c r="F183" s="2" t="s">
        <v>1280</v>
      </c>
      <c r="G183" s="45" t="s">
        <v>702</v>
      </c>
      <c r="H183" s="45">
        <v>3</v>
      </c>
      <c r="I183" s="43" t="s">
        <v>702</v>
      </c>
      <c r="J183" s="43" t="s">
        <v>702</v>
      </c>
      <c r="K183" s="30">
        <v>127500</v>
      </c>
      <c r="L183" s="43" t="s">
        <v>702</v>
      </c>
      <c r="M183" s="3">
        <v>46146.514583333301</v>
      </c>
      <c r="N183" s="2" t="s">
        <v>846</v>
      </c>
      <c r="O183" s="3">
        <v>46166.514583333301</v>
      </c>
      <c r="P183" s="2" t="s">
        <v>846</v>
      </c>
      <c r="Q183" s="34"/>
      <c r="R183" s="1" t="s">
        <v>31</v>
      </c>
    </row>
    <row r="184" spans="2:18">
      <c r="B184" s="2" t="s">
        <v>1630</v>
      </c>
      <c r="C184" s="2" t="s">
        <v>848</v>
      </c>
      <c r="D184" s="1">
        <v>1</v>
      </c>
      <c r="E184" s="2" t="s">
        <v>1631</v>
      </c>
      <c r="F184" s="2" t="s">
        <v>1283</v>
      </c>
      <c r="G184" s="45" t="s">
        <v>702</v>
      </c>
      <c r="H184" s="1">
        <v>1</v>
      </c>
      <c r="I184" s="43" t="s">
        <v>702</v>
      </c>
      <c r="J184" s="43" t="s">
        <v>702</v>
      </c>
      <c r="K184" s="30">
        <v>50000</v>
      </c>
      <c r="L184" s="43" t="s">
        <v>702</v>
      </c>
      <c r="M184" s="3">
        <v>46146.651388888902</v>
      </c>
      <c r="N184" s="2" t="s">
        <v>850</v>
      </c>
      <c r="O184" s="3">
        <v>46166.651388888902</v>
      </c>
      <c r="P184" s="2" t="s">
        <v>850</v>
      </c>
      <c r="Q184" s="34"/>
      <c r="R184" s="1" t="s">
        <v>31</v>
      </c>
    </row>
    <row r="185" spans="2:18">
      <c r="B185" s="2" t="s">
        <v>1632</v>
      </c>
      <c r="C185" s="2" t="s">
        <v>848</v>
      </c>
      <c r="D185" s="1">
        <v>2</v>
      </c>
      <c r="E185" s="2" t="s">
        <v>1633</v>
      </c>
      <c r="F185" s="2" t="s">
        <v>1286</v>
      </c>
      <c r="G185" s="45">
        <v>1</v>
      </c>
      <c r="H185" s="45" t="s">
        <v>702</v>
      </c>
      <c r="I185" s="43" t="s">
        <v>702</v>
      </c>
      <c r="J185" s="43" t="s">
        <v>702</v>
      </c>
      <c r="K185" s="30">
        <v>10000</v>
      </c>
      <c r="L185" s="43" t="s">
        <v>702</v>
      </c>
      <c r="M185" s="3">
        <v>46146.651388888902</v>
      </c>
      <c r="N185" s="2" t="s">
        <v>850</v>
      </c>
      <c r="O185" s="3">
        <v>46166.651388888902</v>
      </c>
      <c r="P185" s="2" t="s">
        <v>850</v>
      </c>
      <c r="Q185" s="34"/>
      <c r="R185" s="1" t="s">
        <v>31</v>
      </c>
    </row>
    <row r="186" spans="2:18" ht="29" customHeight="1">
      <c r="B186" s="2" t="s">
        <v>1634</v>
      </c>
      <c r="C186" s="2" t="s">
        <v>848</v>
      </c>
      <c r="D186" s="1">
        <v>3</v>
      </c>
      <c r="E186" s="2" t="s">
        <v>1635</v>
      </c>
      <c r="F186" s="2" t="s">
        <v>1289</v>
      </c>
      <c r="G186" s="45" t="s">
        <v>702</v>
      </c>
      <c r="H186" s="45">
        <v>3</v>
      </c>
      <c r="I186" s="43" t="s">
        <v>702</v>
      </c>
      <c r="J186" s="43" t="s">
        <v>702</v>
      </c>
      <c r="K186" s="30">
        <v>120000</v>
      </c>
      <c r="L186" s="43" t="s">
        <v>702</v>
      </c>
      <c r="M186" s="3">
        <v>46146.651388888902</v>
      </c>
      <c r="N186" s="2" t="s">
        <v>850</v>
      </c>
      <c r="O186" s="3">
        <v>46166.651388888902</v>
      </c>
      <c r="P186" s="2" t="s">
        <v>850</v>
      </c>
      <c r="Q186" s="34"/>
      <c r="R186" s="1" t="s">
        <v>31</v>
      </c>
    </row>
    <row r="187" spans="2:18" ht="29" customHeight="1">
      <c r="B187" s="2" t="s">
        <v>1636</v>
      </c>
      <c r="C187" s="2" t="s">
        <v>848</v>
      </c>
      <c r="D187" s="1">
        <v>4</v>
      </c>
      <c r="E187" s="2" t="s">
        <v>1637</v>
      </c>
      <c r="F187" s="2" t="s">
        <v>1292</v>
      </c>
      <c r="G187" s="45">
        <v>5</v>
      </c>
      <c r="H187" s="45" t="s">
        <v>702</v>
      </c>
      <c r="I187" s="43" t="s">
        <v>702</v>
      </c>
      <c r="J187" s="43" t="s">
        <v>702</v>
      </c>
      <c r="K187" s="30">
        <v>75000</v>
      </c>
      <c r="L187" s="43" t="s">
        <v>702</v>
      </c>
      <c r="M187" s="3">
        <v>46146.651388888902</v>
      </c>
      <c r="N187" s="2" t="s">
        <v>850</v>
      </c>
      <c r="O187" s="3">
        <v>46166.651388888902</v>
      </c>
      <c r="P187" s="2" t="s">
        <v>850</v>
      </c>
      <c r="Q187" s="34"/>
      <c r="R187" s="1" t="s">
        <v>31</v>
      </c>
    </row>
    <row r="188" spans="2:18">
      <c r="B188" s="2" t="s">
        <v>1638</v>
      </c>
      <c r="C188" s="2" t="s">
        <v>852</v>
      </c>
      <c r="D188" s="1">
        <v>1</v>
      </c>
      <c r="E188" s="2" t="s">
        <v>1639</v>
      </c>
      <c r="F188" s="2" t="s">
        <v>1295</v>
      </c>
      <c r="G188" s="1">
        <v>12</v>
      </c>
      <c r="H188" s="45" t="s">
        <v>702</v>
      </c>
      <c r="I188" s="43" t="s">
        <v>702</v>
      </c>
      <c r="J188" s="43" t="s">
        <v>702</v>
      </c>
      <c r="K188" s="30">
        <v>36000</v>
      </c>
      <c r="L188" s="43" t="s">
        <v>702</v>
      </c>
      <c r="M188" s="3">
        <v>46147.413194444402</v>
      </c>
      <c r="N188" s="2" t="s">
        <v>854</v>
      </c>
      <c r="O188" s="3">
        <v>46167.413194444402</v>
      </c>
      <c r="P188" s="2" t="s">
        <v>854</v>
      </c>
      <c r="Q188" s="34"/>
      <c r="R188" s="1" t="s">
        <v>31</v>
      </c>
    </row>
    <row r="189" spans="2:18" ht="29" customHeight="1">
      <c r="B189" s="2" t="s">
        <v>1640</v>
      </c>
      <c r="C189" s="2" t="s">
        <v>852</v>
      </c>
      <c r="D189" s="1">
        <v>2</v>
      </c>
      <c r="E189" s="2" t="s">
        <v>1641</v>
      </c>
      <c r="F189" s="2" t="s">
        <v>1298</v>
      </c>
      <c r="G189" s="45" t="s">
        <v>702</v>
      </c>
      <c r="H189" s="1">
        <v>3</v>
      </c>
      <c r="I189" s="43" t="s">
        <v>702</v>
      </c>
      <c r="J189" s="43" t="s">
        <v>702</v>
      </c>
      <c r="K189" s="30">
        <v>60000</v>
      </c>
      <c r="L189" s="43" t="s">
        <v>702</v>
      </c>
      <c r="M189" s="3">
        <v>46147.413194444402</v>
      </c>
      <c r="N189" s="2" t="s">
        <v>854</v>
      </c>
      <c r="O189" s="3">
        <v>46167.413194444402</v>
      </c>
      <c r="P189" s="2" t="s">
        <v>854</v>
      </c>
      <c r="Q189" s="34"/>
      <c r="R189" s="1" t="s">
        <v>31</v>
      </c>
    </row>
    <row r="190" spans="2:18" ht="29" customHeight="1">
      <c r="B190" s="2" t="s">
        <v>1642</v>
      </c>
      <c r="C190" s="2" t="s">
        <v>852</v>
      </c>
      <c r="D190" s="1">
        <v>3</v>
      </c>
      <c r="E190" s="2" t="s">
        <v>1643</v>
      </c>
      <c r="F190" s="2" t="s">
        <v>1301</v>
      </c>
      <c r="G190" s="1">
        <v>4</v>
      </c>
      <c r="H190" s="45" t="s">
        <v>702</v>
      </c>
      <c r="I190" s="43" t="s">
        <v>702</v>
      </c>
      <c r="J190" s="43" t="s">
        <v>702</v>
      </c>
      <c r="K190" s="30">
        <v>28000</v>
      </c>
      <c r="L190" s="43" t="s">
        <v>702</v>
      </c>
      <c r="M190" s="3">
        <v>46147.413194444402</v>
      </c>
      <c r="N190" s="2" t="s">
        <v>854</v>
      </c>
      <c r="O190" s="3">
        <v>46167.413194444402</v>
      </c>
      <c r="P190" s="2" t="s">
        <v>854</v>
      </c>
      <c r="Q190" s="34"/>
      <c r="R190" s="1" t="s">
        <v>31</v>
      </c>
    </row>
    <row r="191" spans="2:18">
      <c r="B191" s="2" t="s">
        <v>1644</v>
      </c>
      <c r="C191" s="2" t="s">
        <v>852</v>
      </c>
      <c r="D191" s="1">
        <v>4</v>
      </c>
      <c r="E191" s="2" t="s">
        <v>1645</v>
      </c>
      <c r="F191" s="2" t="s">
        <v>1304</v>
      </c>
      <c r="G191" s="45" t="s">
        <v>702</v>
      </c>
      <c r="H191" s="1">
        <v>2</v>
      </c>
      <c r="I191" s="43" t="s">
        <v>702</v>
      </c>
      <c r="J191" s="43" t="s">
        <v>702</v>
      </c>
      <c r="K191" s="30">
        <v>40000</v>
      </c>
      <c r="L191" s="43" t="s">
        <v>702</v>
      </c>
      <c r="M191" s="3">
        <v>46147.413194444402</v>
      </c>
      <c r="N191" s="2" t="s">
        <v>854</v>
      </c>
      <c r="O191" s="3">
        <v>46167.413194444402</v>
      </c>
      <c r="P191" s="2" t="s">
        <v>854</v>
      </c>
      <c r="Q191" s="34"/>
      <c r="R191" s="1" t="s">
        <v>31</v>
      </c>
    </row>
    <row r="192" spans="2:18" ht="29" customHeight="1">
      <c r="B192" s="2" t="s">
        <v>1646</v>
      </c>
      <c r="C192" s="2" t="s">
        <v>856</v>
      </c>
      <c r="D192" s="1">
        <v>1</v>
      </c>
      <c r="E192" s="2" t="s">
        <v>1647</v>
      </c>
      <c r="F192" s="2" t="s">
        <v>1307</v>
      </c>
      <c r="G192" s="45" t="s">
        <v>702</v>
      </c>
      <c r="H192" s="1">
        <v>3</v>
      </c>
      <c r="I192" s="43" t="s">
        <v>702</v>
      </c>
      <c r="J192" s="43" t="s">
        <v>702</v>
      </c>
      <c r="K192" s="30">
        <v>90000</v>
      </c>
      <c r="L192" s="43" t="s">
        <v>702</v>
      </c>
      <c r="M192" s="3">
        <v>46147.508333333302</v>
      </c>
      <c r="N192" s="2" t="s">
        <v>858</v>
      </c>
      <c r="O192" s="3">
        <v>46167.508333333302</v>
      </c>
      <c r="P192" s="2" t="s">
        <v>858</v>
      </c>
      <c r="Q192" s="34"/>
      <c r="R192" s="1" t="s">
        <v>31</v>
      </c>
    </row>
    <row r="193" spans="2:18" ht="29" customHeight="1">
      <c r="B193" s="2" t="s">
        <v>1648</v>
      </c>
      <c r="C193" s="2" t="s">
        <v>856</v>
      </c>
      <c r="D193" s="1">
        <v>2</v>
      </c>
      <c r="E193" s="2" t="s">
        <v>1649</v>
      </c>
      <c r="F193" s="2" t="s">
        <v>1310</v>
      </c>
      <c r="G193" s="1">
        <v>3</v>
      </c>
      <c r="H193" s="45" t="s">
        <v>702</v>
      </c>
      <c r="I193" s="43" t="s">
        <v>702</v>
      </c>
      <c r="J193" s="43" t="s">
        <v>702</v>
      </c>
      <c r="K193" s="30">
        <v>36000</v>
      </c>
      <c r="L193" s="43" t="s">
        <v>702</v>
      </c>
      <c r="M193" s="3">
        <v>46147.508333333302</v>
      </c>
      <c r="N193" s="2" t="s">
        <v>858</v>
      </c>
      <c r="O193" s="3">
        <v>46167.508333333302</v>
      </c>
      <c r="P193" s="2" t="s">
        <v>858</v>
      </c>
      <c r="Q193" s="34"/>
      <c r="R193" s="1" t="s">
        <v>31</v>
      </c>
    </row>
    <row r="194" spans="2:18">
      <c r="B194" s="2" t="s">
        <v>1650</v>
      </c>
      <c r="C194" s="2" t="s">
        <v>856</v>
      </c>
      <c r="D194" s="1">
        <v>3</v>
      </c>
      <c r="E194" s="2" t="s">
        <v>1651</v>
      </c>
      <c r="F194" s="2" t="s">
        <v>1313</v>
      </c>
      <c r="G194" s="45" t="s">
        <v>702</v>
      </c>
      <c r="H194" s="1">
        <v>2</v>
      </c>
      <c r="I194" s="43" t="s">
        <v>702</v>
      </c>
      <c r="J194" s="43" t="s">
        <v>702</v>
      </c>
      <c r="K194" s="30">
        <v>80000</v>
      </c>
      <c r="L194" s="43" t="s">
        <v>702</v>
      </c>
      <c r="M194" s="3">
        <v>46147.508333333302</v>
      </c>
      <c r="N194" s="2" t="s">
        <v>858</v>
      </c>
      <c r="O194" s="3">
        <v>46167.508333333302</v>
      </c>
      <c r="P194" s="2" t="s">
        <v>858</v>
      </c>
      <c r="Q194" s="34"/>
      <c r="R194" s="1" t="s">
        <v>31</v>
      </c>
    </row>
    <row r="195" spans="2:18">
      <c r="B195" s="2" t="s">
        <v>1652</v>
      </c>
      <c r="C195" s="2" t="s">
        <v>856</v>
      </c>
      <c r="D195" s="1">
        <v>4</v>
      </c>
      <c r="E195" s="2" t="s">
        <v>1653</v>
      </c>
      <c r="F195" s="2" t="s">
        <v>1316</v>
      </c>
      <c r="G195" s="1">
        <v>7</v>
      </c>
      <c r="H195" s="45" t="s">
        <v>702</v>
      </c>
      <c r="I195" s="43" t="s">
        <v>702</v>
      </c>
      <c r="J195" s="43" t="s">
        <v>702</v>
      </c>
      <c r="K195" s="30">
        <v>105000</v>
      </c>
      <c r="L195" s="43" t="s">
        <v>702</v>
      </c>
      <c r="M195" s="3">
        <v>46147.508333333302</v>
      </c>
      <c r="N195" s="2" t="s">
        <v>858</v>
      </c>
      <c r="O195" s="3">
        <v>46167.508333333302</v>
      </c>
      <c r="P195" s="2" t="s">
        <v>858</v>
      </c>
      <c r="Q195" s="34"/>
      <c r="R195" s="1" t="s">
        <v>31</v>
      </c>
    </row>
    <row r="196" spans="2:18" ht="29" customHeight="1">
      <c r="B196" s="2" t="s">
        <v>1654</v>
      </c>
      <c r="C196" s="2" t="s">
        <v>860</v>
      </c>
      <c r="D196" s="1">
        <v>1</v>
      </c>
      <c r="E196" s="2" t="s">
        <v>1655</v>
      </c>
      <c r="F196" s="2" t="s">
        <v>1319</v>
      </c>
      <c r="G196" s="45">
        <v>2</v>
      </c>
      <c r="H196" s="45" t="s">
        <v>702</v>
      </c>
      <c r="I196" s="43" t="s">
        <v>702</v>
      </c>
      <c r="J196" s="43" t="s">
        <v>702</v>
      </c>
      <c r="K196" s="30">
        <v>35000</v>
      </c>
      <c r="L196" s="43" t="s">
        <v>702</v>
      </c>
      <c r="M196" s="3">
        <v>46147.645138888904</v>
      </c>
      <c r="N196" s="2" t="s">
        <v>862</v>
      </c>
      <c r="O196" s="3">
        <v>46167.645138888904</v>
      </c>
      <c r="P196" s="2" t="s">
        <v>862</v>
      </c>
      <c r="Q196" s="34"/>
      <c r="R196" s="1" t="s">
        <v>31</v>
      </c>
    </row>
    <row r="197" spans="2:18">
      <c r="B197" s="2" t="s">
        <v>1656</v>
      </c>
      <c r="C197" s="2" t="s">
        <v>860</v>
      </c>
      <c r="D197" s="1">
        <v>2</v>
      </c>
      <c r="E197" s="2" t="s">
        <v>1657</v>
      </c>
      <c r="F197" s="2" t="s">
        <v>1259</v>
      </c>
      <c r="G197" s="45" t="s">
        <v>702</v>
      </c>
      <c r="H197" s="45">
        <v>2</v>
      </c>
      <c r="I197" s="43" t="s">
        <v>702</v>
      </c>
      <c r="J197" s="43" t="s">
        <v>702</v>
      </c>
      <c r="K197" s="30">
        <v>70000</v>
      </c>
      <c r="L197" s="43" t="s">
        <v>702</v>
      </c>
      <c r="M197" s="3">
        <v>46147.645138888904</v>
      </c>
      <c r="N197" s="2" t="s">
        <v>862</v>
      </c>
      <c r="O197" s="3">
        <v>46167.645138888904</v>
      </c>
      <c r="P197" s="2" t="s">
        <v>862</v>
      </c>
      <c r="Q197" s="34"/>
      <c r="R197" s="1" t="s">
        <v>31</v>
      </c>
    </row>
    <row r="198" spans="2:18">
      <c r="B198" s="2" t="s">
        <v>1658</v>
      </c>
      <c r="C198" s="2" t="s">
        <v>860</v>
      </c>
      <c r="D198" s="1">
        <v>3</v>
      </c>
      <c r="E198" s="2" t="s">
        <v>1659</v>
      </c>
      <c r="F198" s="2" t="s">
        <v>1262</v>
      </c>
      <c r="G198" s="45">
        <v>6</v>
      </c>
      <c r="H198" s="45" t="s">
        <v>702</v>
      </c>
      <c r="I198" s="43" t="s">
        <v>702</v>
      </c>
      <c r="J198" s="43" t="s">
        <v>702</v>
      </c>
      <c r="K198" s="30">
        <v>90000</v>
      </c>
      <c r="L198" s="43" t="s">
        <v>702</v>
      </c>
      <c r="M198" s="3">
        <v>46147.645138888904</v>
      </c>
      <c r="N198" s="2" t="s">
        <v>862</v>
      </c>
      <c r="O198" s="3">
        <v>46167.645138888904</v>
      </c>
      <c r="P198" s="2" t="s">
        <v>862</v>
      </c>
      <c r="Q198" s="34"/>
      <c r="R198" s="1" t="s">
        <v>31</v>
      </c>
    </row>
    <row r="199" spans="2:18">
      <c r="B199" s="2" t="s">
        <v>1660</v>
      </c>
      <c r="C199" s="2" t="s">
        <v>860</v>
      </c>
      <c r="D199" s="1">
        <v>4</v>
      </c>
      <c r="E199" s="2" t="s">
        <v>1661</v>
      </c>
      <c r="F199" s="2" t="s">
        <v>1265</v>
      </c>
      <c r="G199" s="45" t="s">
        <v>702</v>
      </c>
      <c r="H199" s="45">
        <v>1</v>
      </c>
      <c r="I199" s="43" t="s">
        <v>702</v>
      </c>
      <c r="J199" s="43" t="s">
        <v>702</v>
      </c>
      <c r="K199" s="30">
        <v>50000</v>
      </c>
      <c r="L199" s="43" t="s">
        <v>702</v>
      </c>
      <c r="M199" s="3">
        <v>46147.645138888904</v>
      </c>
      <c r="N199" s="2" t="s">
        <v>862</v>
      </c>
      <c r="O199" s="3">
        <v>46167.645138888904</v>
      </c>
      <c r="P199" s="2" t="s">
        <v>862</v>
      </c>
      <c r="Q199" s="34"/>
      <c r="R199" s="1" t="s">
        <v>31</v>
      </c>
    </row>
    <row r="200" spans="2:18">
      <c r="B200" s="2" t="s">
        <v>1662</v>
      </c>
      <c r="C200" s="2" t="s">
        <v>864</v>
      </c>
      <c r="D200" s="1">
        <v>1</v>
      </c>
      <c r="E200" s="2" t="s">
        <v>1663</v>
      </c>
      <c r="F200" s="2" t="s">
        <v>1268</v>
      </c>
      <c r="G200" s="45" t="s">
        <v>702</v>
      </c>
      <c r="H200" s="1">
        <v>2</v>
      </c>
      <c r="I200" s="43" t="s">
        <v>702</v>
      </c>
      <c r="J200" s="43" t="s">
        <v>702</v>
      </c>
      <c r="K200" s="30">
        <v>50000</v>
      </c>
      <c r="L200" s="43" t="s">
        <v>702</v>
      </c>
      <c r="M200" s="3">
        <v>46148.406944444403</v>
      </c>
      <c r="N200" s="2" t="s">
        <v>97</v>
      </c>
      <c r="O200" s="3">
        <v>46168.406944444403</v>
      </c>
      <c r="P200" s="2" t="s">
        <v>97</v>
      </c>
      <c r="Q200" s="34"/>
      <c r="R200" s="1" t="s">
        <v>31</v>
      </c>
    </row>
    <row r="201" spans="2:18">
      <c r="B201" s="2" t="s">
        <v>1664</v>
      </c>
      <c r="C201" s="2" t="s">
        <v>864</v>
      </c>
      <c r="D201" s="1">
        <v>2</v>
      </c>
      <c r="E201" s="2" t="s">
        <v>1665</v>
      </c>
      <c r="F201" s="2" t="s">
        <v>1271</v>
      </c>
      <c r="G201" s="1">
        <v>5</v>
      </c>
      <c r="H201" s="45" t="s">
        <v>702</v>
      </c>
      <c r="I201" s="43" t="s">
        <v>702</v>
      </c>
      <c r="J201" s="43" t="s">
        <v>702</v>
      </c>
      <c r="K201" s="30">
        <v>50000</v>
      </c>
      <c r="L201" s="43" t="s">
        <v>702</v>
      </c>
      <c r="M201" s="3">
        <v>46148.406944444403</v>
      </c>
      <c r="N201" s="2" t="s">
        <v>97</v>
      </c>
      <c r="O201" s="3">
        <v>46168.406944444403</v>
      </c>
      <c r="P201" s="2" t="s">
        <v>97</v>
      </c>
      <c r="Q201" s="34"/>
      <c r="R201" s="1" t="s">
        <v>31</v>
      </c>
    </row>
    <row r="202" spans="2:18">
      <c r="B202" s="2" t="s">
        <v>1666</v>
      </c>
      <c r="C202" s="2" t="s">
        <v>864</v>
      </c>
      <c r="D202" s="1">
        <v>3</v>
      </c>
      <c r="E202" s="2" t="s">
        <v>1667</v>
      </c>
      <c r="F202" s="2" t="s">
        <v>1274</v>
      </c>
      <c r="G202" s="45" t="s">
        <v>702</v>
      </c>
      <c r="H202" s="1">
        <v>1</v>
      </c>
      <c r="I202" s="43" t="s">
        <v>702</v>
      </c>
      <c r="J202" s="43" t="s">
        <v>702</v>
      </c>
      <c r="K202" s="30">
        <v>40000</v>
      </c>
      <c r="L202" s="43" t="s">
        <v>702</v>
      </c>
      <c r="M202" s="3">
        <v>46148.406944444403</v>
      </c>
      <c r="N202" s="2" t="s">
        <v>97</v>
      </c>
      <c r="O202" s="3">
        <v>46168.406944444403</v>
      </c>
      <c r="P202" s="2" t="s">
        <v>97</v>
      </c>
      <c r="Q202" s="34"/>
      <c r="R202" s="1" t="s">
        <v>31</v>
      </c>
    </row>
    <row r="203" spans="2:18">
      <c r="B203" s="2" t="s">
        <v>1668</v>
      </c>
      <c r="C203" s="2" t="s">
        <v>864</v>
      </c>
      <c r="D203" s="1">
        <v>4</v>
      </c>
      <c r="E203" s="2" t="s">
        <v>1669</v>
      </c>
      <c r="F203" s="2" t="s">
        <v>1277</v>
      </c>
      <c r="G203" s="45">
        <v>9</v>
      </c>
      <c r="H203" s="45" t="s">
        <v>702</v>
      </c>
      <c r="I203" s="43" t="s">
        <v>702</v>
      </c>
      <c r="J203" s="43" t="s">
        <v>702</v>
      </c>
      <c r="K203" s="30">
        <v>112500</v>
      </c>
      <c r="L203" s="43" t="s">
        <v>702</v>
      </c>
      <c r="M203" s="3">
        <v>46148.406944444403</v>
      </c>
      <c r="N203" s="2" t="s">
        <v>97</v>
      </c>
      <c r="O203" s="3">
        <v>46168.406944444403</v>
      </c>
      <c r="P203" s="2" t="s">
        <v>97</v>
      </c>
      <c r="Q203" s="34"/>
      <c r="R203" s="1" t="s">
        <v>31</v>
      </c>
    </row>
    <row r="204" spans="2:18">
      <c r="B204" s="2" t="s">
        <v>1670</v>
      </c>
      <c r="C204" s="2" t="s">
        <v>867</v>
      </c>
      <c r="D204" s="1">
        <v>1</v>
      </c>
      <c r="E204" s="2" t="s">
        <v>1671</v>
      </c>
      <c r="F204" s="2" t="s">
        <v>1280</v>
      </c>
      <c r="G204" s="1">
        <v>4</v>
      </c>
      <c r="H204" s="45" t="s">
        <v>702</v>
      </c>
      <c r="I204" s="43" t="s">
        <v>702</v>
      </c>
      <c r="J204" s="43" t="s">
        <v>702</v>
      </c>
      <c r="K204" s="30">
        <v>60000</v>
      </c>
      <c r="L204" s="43" t="s">
        <v>702</v>
      </c>
      <c r="M204" s="3">
        <v>46148.543749999997</v>
      </c>
      <c r="N204" s="2" t="s">
        <v>869</v>
      </c>
      <c r="O204" s="3">
        <v>46168.543749999997</v>
      </c>
      <c r="P204" s="2" t="s">
        <v>869</v>
      </c>
      <c r="Q204" s="34"/>
      <c r="R204" s="1" t="s">
        <v>31</v>
      </c>
    </row>
    <row r="205" spans="2:18">
      <c r="B205" s="2" t="s">
        <v>1672</v>
      </c>
      <c r="C205" s="2" t="s">
        <v>867</v>
      </c>
      <c r="D205" s="1">
        <v>2</v>
      </c>
      <c r="E205" s="2" t="s">
        <v>1673</v>
      </c>
      <c r="F205" s="2" t="s">
        <v>1283</v>
      </c>
      <c r="G205" s="45" t="s">
        <v>702</v>
      </c>
      <c r="H205" s="1">
        <v>1</v>
      </c>
      <c r="I205" s="43" t="s">
        <v>702</v>
      </c>
      <c r="J205" s="43" t="s">
        <v>702</v>
      </c>
      <c r="K205" s="30">
        <v>50000</v>
      </c>
      <c r="L205" s="43" t="s">
        <v>702</v>
      </c>
      <c r="M205" s="3">
        <v>46148.543749999997</v>
      </c>
      <c r="N205" s="2" t="s">
        <v>869</v>
      </c>
      <c r="O205" s="3">
        <v>46168.543749999997</v>
      </c>
      <c r="P205" s="2" t="s">
        <v>869</v>
      </c>
      <c r="Q205" s="34"/>
      <c r="R205" s="1" t="s">
        <v>31</v>
      </c>
    </row>
    <row r="206" spans="2:18">
      <c r="B206" s="2" t="s">
        <v>1674</v>
      </c>
      <c r="C206" s="2" t="s">
        <v>867</v>
      </c>
      <c r="D206" s="1">
        <v>3</v>
      </c>
      <c r="E206" s="2" t="s">
        <v>1675</v>
      </c>
      <c r="F206" s="2" t="s">
        <v>1286</v>
      </c>
      <c r="G206" s="1">
        <v>8</v>
      </c>
      <c r="H206" s="45" t="s">
        <v>702</v>
      </c>
      <c r="I206" s="43" t="s">
        <v>702</v>
      </c>
      <c r="J206" s="43" t="s">
        <v>702</v>
      </c>
      <c r="K206" s="30">
        <v>80000</v>
      </c>
      <c r="L206" s="43" t="s">
        <v>702</v>
      </c>
      <c r="M206" s="3">
        <v>46148.543749999997</v>
      </c>
      <c r="N206" s="2" t="s">
        <v>869</v>
      </c>
      <c r="O206" s="3">
        <v>46168.543749999997</v>
      </c>
      <c r="P206" s="2" t="s">
        <v>869</v>
      </c>
      <c r="Q206" s="34"/>
      <c r="R206" s="1" t="s">
        <v>31</v>
      </c>
    </row>
    <row r="207" spans="2:18">
      <c r="B207" s="2" t="s">
        <v>1676</v>
      </c>
      <c r="C207" s="2" t="s">
        <v>867</v>
      </c>
      <c r="D207" s="1">
        <v>4</v>
      </c>
      <c r="E207" s="2" t="s">
        <v>1677</v>
      </c>
      <c r="F207" s="2" t="s">
        <v>1289</v>
      </c>
      <c r="G207" s="45" t="s">
        <v>702</v>
      </c>
      <c r="H207" s="1">
        <v>3</v>
      </c>
      <c r="I207" s="43" t="s">
        <v>702</v>
      </c>
      <c r="J207" s="43" t="s">
        <v>702</v>
      </c>
      <c r="K207" s="30">
        <v>120000</v>
      </c>
      <c r="L207" s="43" t="s">
        <v>702</v>
      </c>
      <c r="M207" s="3">
        <v>46148.543749999997</v>
      </c>
      <c r="N207" s="2" t="s">
        <v>869</v>
      </c>
      <c r="O207" s="3">
        <v>46168.543749999997</v>
      </c>
      <c r="P207" s="2" t="s">
        <v>869</v>
      </c>
      <c r="Q207" s="34"/>
      <c r="R207" s="1" t="s">
        <v>31</v>
      </c>
    </row>
    <row r="208" spans="2:18">
      <c r="B208" s="2" t="s">
        <v>1678</v>
      </c>
      <c r="C208" s="2" t="s">
        <v>871</v>
      </c>
      <c r="D208" s="1">
        <v>1</v>
      </c>
      <c r="E208" s="2" t="s">
        <v>1679</v>
      </c>
      <c r="F208" s="2" t="s">
        <v>1292</v>
      </c>
      <c r="G208" s="45" t="s">
        <v>702</v>
      </c>
      <c r="H208" s="45">
        <v>1</v>
      </c>
      <c r="I208" s="43" t="s">
        <v>702</v>
      </c>
      <c r="J208" s="43" t="s">
        <v>702</v>
      </c>
      <c r="K208" s="30">
        <v>50000</v>
      </c>
      <c r="L208" s="43" t="s">
        <v>702</v>
      </c>
      <c r="M208" s="3">
        <v>46149.638888888898</v>
      </c>
      <c r="N208" s="2" t="s">
        <v>873</v>
      </c>
      <c r="O208" s="3">
        <v>46169.638888888898</v>
      </c>
      <c r="P208" s="2" t="s">
        <v>873</v>
      </c>
      <c r="Q208" s="34"/>
      <c r="R208" s="1" t="s">
        <v>31</v>
      </c>
    </row>
    <row r="209" spans="2:18">
      <c r="B209" s="2" t="s">
        <v>1680</v>
      </c>
      <c r="C209" s="2" t="s">
        <v>871</v>
      </c>
      <c r="D209" s="1">
        <v>2</v>
      </c>
      <c r="E209" s="2" t="s">
        <v>1681</v>
      </c>
      <c r="F209" s="2" t="s">
        <v>1295</v>
      </c>
      <c r="G209" s="45">
        <v>7</v>
      </c>
      <c r="H209" s="45" t="s">
        <v>702</v>
      </c>
      <c r="I209" s="43" t="s">
        <v>702</v>
      </c>
      <c r="J209" s="43" t="s">
        <v>702</v>
      </c>
      <c r="K209" s="30">
        <v>21000</v>
      </c>
      <c r="L209" s="43" t="s">
        <v>702</v>
      </c>
      <c r="M209" s="3">
        <v>46149.638888888898</v>
      </c>
      <c r="N209" s="2" t="s">
        <v>873</v>
      </c>
      <c r="O209" s="3">
        <v>46169.638888888898</v>
      </c>
      <c r="P209" s="2" t="s">
        <v>873</v>
      </c>
      <c r="Q209" s="34"/>
      <c r="R209" s="1" t="s">
        <v>31</v>
      </c>
    </row>
    <row r="210" spans="2:18">
      <c r="B210" s="2" t="s">
        <v>1682</v>
      </c>
      <c r="C210" s="2" t="s">
        <v>871</v>
      </c>
      <c r="D210" s="1">
        <v>3</v>
      </c>
      <c r="E210" s="2" t="s">
        <v>1683</v>
      </c>
      <c r="F210" s="2" t="s">
        <v>1298</v>
      </c>
      <c r="G210" s="45" t="s">
        <v>702</v>
      </c>
      <c r="H210" s="45">
        <v>3</v>
      </c>
      <c r="I210" s="43" t="s">
        <v>702</v>
      </c>
      <c r="J210" s="43" t="s">
        <v>702</v>
      </c>
      <c r="K210" s="30">
        <v>60000</v>
      </c>
      <c r="L210" s="43" t="s">
        <v>702</v>
      </c>
      <c r="M210" s="3">
        <v>46149.638888888898</v>
      </c>
      <c r="N210" s="2" t="s">
        <v>873</v>
      </c>
      <c r="O210" s="3">
        <v>46169.638888888898</v>
      </c>
      <c r="P210" s="2" t="s">
        <v>873</v>
      </c>
      <c r="Q210" s="34"/>
      <c r="R210" s="1" t="s">
        <v>31</v>
      </c>
    </row>
    <row r="211" spans="2:18">
      <c r="B211" s="2" t="s">
        <v>1684</v>
      </c>
      <c r="C211" s="2" t="s">
        <v>871</v>
      </c>
      <c r="D211" s="1">
        <v>4</v>
      </c>
      <c r="E211" s="2" t="s">
        <v>1685</v>
      </c>
      <c r="F211" s="2" t="s">
        <v>1301</v>
      </c>
      <c r="G211" s="45">
        <v>11</v>
      </c>
      <c r="H211" s="45" t="s">
        <v>702</v>
      </c>
      <c r="I211" s="43" t="s">
        <v>702</v>
      </c>
      <c r="J211" s="43" t="s">
        <v>702</v>
      </c>
      <c r="K211" s="30">
        <v>77000</v>
      </c>
      <c r="L211" s="43" t="s">
        <v>702</v>
      </c>
      <c r="M211" s="3">
        <v>46149.638888888898</v>
      </c>
      <c r="N211" s="2" t="s">
        <v>873</v>
      </c>
      <c r="O211" s="3">
        <v>46169.638888888898</v>
      </c>
      <c r="P211" s="2" t="s">
        <v>873</v>
      </c>
      <c r="Q211" s="34"/>
      <c r="R211" s="1" t="s">
        <v>31</v>
      </c>
    </row>
    <row r="212" spans="2:18">
      <c r="B212" s="2" t="s">
        <v>1686</v>
      </c>
      <c r="C212" s="2" t="s">
        <v>875</v>
      </c>
      <c r="D212" s="1">
        <v>1</v>
      </c>
      <c r="E212" s="2" t="s">
        <v>1687</v>
      </c>
      <c r="F212" s="2" t="s">
        <v>1304</v>
      </c>
      <c r="G212" s="1">
        <v>6</v>
      </c>
      <c r="H212" s="45" t="s">
        <v>702</v>
      </c>
      <c r="I212" s="43" t="s">
        <v>702</v>
      </c>
      <c r="J212" s="43" t="s">
        <v>702</v>
      </c>
      <c r="K212" s="30">
        <v>36000</v>
      </c>
      <c r="L212" s="43" t="s">
        <v>702</v>
      </c>
      <c r="M212" s="3">
        <v>46149.400694444397</v>
      </c>
      <c r="N212" s="2" t="s">
        <v>877</v>
      </c>
      <c r="O212" s="3">
        <v>46169.400694444397</v>
      </c>
      <c r="P212" s="2" t="s">
        <v>877</v>
      </c>
      <c r="Q212" s="34"/>
      <c r="R212" s="1" t="s">
        <v>31</v>
      </c>
    </row>
    <row r="213" spans="2:18">
      <c r="B213" s="2" t="s">
        <v>1688</v>
      </c>
      <c r="C213" s="2" t="s">
        <v>875</v>
      </c>
      <c r="D213" s="1">
        <v>2</v>
      </c>
      <c r="E213" s="2" t="s">
        <v>1689</v>
      </c>
      <c r="F213" s="2" t="s">
        <v>1307</v>
      </c>
      <c r="G213" s="45" t="s">
        <v>702</v>
      </c>
      <c r="H213" s="1">
        <v>3</v>
      </c>
      <c r="I213" s="43" t="s">
        <v>702</v>
      </c>
      <c r="J213" s="43" t="s">
        <v>702</v>
      </c>
      <c r="K213" s="30">
        <v>90000</v>
      </c>
      <c r="L213" s="43" t="s">
        <v>702</v>
      </c>
      <c r="M213" s="3">
        <v>46149.400694444397</v>
      </c>
      <c r="N213" s="2" t="s">
        <v>877</v>
      </c>
      <c r="O213" s="3">
        <v>46169.400694444397</v>
      </c>
      <c r="P213" s="2" t="s">
        <v>877</v>
      </c>
      <c r="Q213" s="34"/>
      <c r="R213" s="1" t="s">
        <v>31</v>
      </c>
    </row>
    <row r="214" spans="2:18">
      <c r="B214" s="2" t="s">
        <v>1690</v>
      </c>
      <c r="C214" s="2" t="s">
        <v>875</v>
      </c>
      <c r="D214" s="1">
        <v>3</v>
      </c>
      <c r="E214" s="2" t="s">
        <v>1691</v>
      </c>
      <c r="F214" s="2" t="s">
        <v>1310</v>
      </c>
      <c r="G214" s="1">
        <v>10</v>
      </c>
      <c r="H214" s="45" t="s">
        <v>702</v>
      </c>
      <c r="I214" s="43" t="s">
        <v>702</v>
      </c>
      <c r="J214" s="43" t="s">
        <v>702</v>
      </c>
      <c r="K214" s="30">
        <v>120000</v>
      </c>
      <c r="L214" s="43" t="s">
        <v>702</v>
      </c>
      <c r="M214" s="3">
        <v>46149.400694444397</v>
      </c>
      <c r="N214" s="2" t="s">
        <v>877</v>
      </c>
      <c r="O214" s="3">
        <v>46169.400694444397</v>
      </c>
      <c r="P214" s="2" t="s">
        <v>877</v>
      </c>
      <c r="Q214" s="34"/>
      <c r="R214" s="1" t="s">
        <v>31</v>
      </c>
    </row>
    <row r="215" spans="2:18" ht="29" customHeight="1">
      <c r="B215" s="2" t="s">
        <v>1692</v>
      </c>
      <c r="C215" s="2" t="s">
        <v>875</v>
      </c>
      <c r="D215" s="1">
        <v>4</v>
      </c>
      <c r="E215" s="2" t="s">
        <v>1693</v>
      </c>
      <c r="F215" s="2" t="s">
        <v>1313</v>
      </c>
      <c r="G215" s="45" t="s">
        <v>702</v>
      </c>
      <c r="H215" s="1">
        <v>2</v>
      </c>
      <c r="I215" s="43" t="s">
        <v>702</v>
      </c>
      <c r="J215" s="43" t="s">
        <v>702</v>
      </c>
      <c r="K215" s="30">
        <v>80000</v>
      </c>
      <c r="L215" s="43" t="s">
        <v>702</v>
      </c>
      <c r="M215" s="3">
        <v>46149.400694444397</v>
      </c>
      <c r="N215" s="2" t="s">
        <v>877</v>
      </c>
      <c r="O215" s="3">
        <v>46169.400694444397</v>
      </c>
      <c r="P215" s="2" t="s">
        <v>877</v>
      </c>
      <c r="Q215" s="34"/>
      <c r="R215" s="1" t="s">
        <v>31</v>
      </c>
    </row>
    <row r="216" spans="2:18">
      <c r="B216" s="2" t="s">
        <v>1694</v>
      </c>
      <c r="C216" s="2" t="s">
        <v>879</v>
      </c>
      <c r="D216" s="1">
        <v>1</v>
      </c>
      <c r="E216" s="2" t="s">
        <v>1695</v>
      </c>
      <c r="F216" s="2" t="s">
        <v>1316</v>
      </c>
      <c r="G216" s="45" t="s">
        <v>702</v>
      </c>
      <c r="H216" s="45">
        <v>3</v>
      </c>
      <c r="I216" s="43" t="s">
        <v>702</v>
      </c>
      <c r="J216" s="43" t="s">
        <v>702</v>
      </c>
      <c r="K216" s="30">
        <v>150000</v>
      </c>
      <c r="L216" s="43" t="s">
        <v>702</v>
      </c>
      <c r="M216" s="3">
        <v>46150.537499999999</v>
      </c>
      <c r="N216" s="2" t="s">
        <v>881</v>
      </c>
      <c r="O216" s="3">
        <v>46170.537499999999</v>
      </c>
      <c r="P216" s="2" t="s">
        <v>881</v>
      </c>
      <c r="Q216" s="34"/>
      <c r="R216" s="1" t="s">
        <v>31</v>
      </c>
    </row>
    <row r="217" spans="2:18">
      <c r="B217" s="2" t="s">
        <v>1696</v>
      </c>
      <c r="C217" s="2" t="s">
        <v>879</v>
      </c>
      <c r="D217" s="1">
        <v>2</v>
      </c>
      <c r="E217" s="2" t="s">
        <v>1697</v>
      </c>
      <c r="F217" s="2" t="s">
        <v>1319</v>
      </c>
      <c r="G217" s="45">
        <v>9</v>
      </c>
      <c r="H217" s="45" t="s">
        <v>702</v>
      </c>
      <c r="I217" s="43" t="s">
        <v>702</v>
      </c>
      <c r="J217" s="43" t="s">
        <v>702</v>
      </c>
      <c r="K217" s="30">
        <v>157500</v>
      </c>
      <c r="L217" s="43" t="s">
        <v>702</v>
      </c>
      <c r="M217" s="3">
        <v>46150.537499999999</v>
      </c>
      <c r="N217" s="2" t="s">
        <v>881</v>
      </c>
      <c r="O217" s="3">
        <v>46170.537499999999</v>
      </c>
      <c r="P217" s="2" t="s">
        <v>881</v>
      </c>
      <c r="Q217" s="34"/>
      <c r="R217" s="1" t="s">
        <v>31</v>
      </c>
    </row>
    <row r="218" spans="2:18" ht="29" customHeight="1">
      <c r="B218" s="2" t="s">
        <v>1698</v>
      </c>
      <c r="C218" s="2" t="s">
        <v>879</v>
      </c>
      <c r="D218" s="1">
        <v>3</v>
      </c>
      <c r="E218" s="2" t="s">
        <v>1699</v>
      </c>
      <c r="F218" s="2" t="s">
        <v>1259</v>
      </c>
      <c r="G218" s="45" t="s">
        <v>702</v>
      </c>
      <c r="H218" s="1">
        <v>2</v>
      </c>
      <c r="I218" s="43" t="s">
        <v>702</v>
      </c>
      <c r="J218" s="43" t="s">
        <v>702</v>
      </c>
      <c r="K218" s="30">
        <v>70000</v>
      </c>
      <c r="L218" s="43" t="s">
        <v>702</v>
      </c>
      <c r="M218" s="3">
        <v>46150.537499999999</v>
      </c>
      <c r="N218" s="2" t="s">
        <v>881</v>
      </c>
      <c r="O218" s="3">
        <v>46170.537499999999</v>
      </c>
      <c r="P218" s="2" t="s">
        <v>881</v>
      </c>
      <c r="Q218" s="34"/>
      <c r="R218" s="1" t="s">
        <v>31</v>
      </c>
    </row>
    <row r="219" spans="2:18">
      <c r="B219" s="2" t="s">
        <v>1700</v>
      </c>
      <c r="C219" s="2" t="s">
        <v>879</v>
      </c>
      <c r="D219" s="1">
        <v>4</v>
      </c>
      <c r="E219" s="2" t="s">
        <v>1701</v>
      </c>
      <c r="F219" s="2" t="s">
        <v>1262</v>
      </c>
      <c r="G219" s="1">
        <v>1</v>
      </c>
      <c r="H219" s="45" t="s">
        <v>702</v>
      </c>
      <c r="I219" s="43" t="s">
        <v>702</v>
      </c>
      <c r="J219" s="43" t="s">
        <v>702</v>
      </c>
      <c r="K219" s="30">
        <v>15000</v>
      </c>
      <c r="L219" s="43" t="s">
        <v>702</v>
      </c>
      <c r="M219" s="3">
        <v>46150.537499999999</v>
      </c>
      <c r="N219" s="2" t="s">
        <v>881</v>
      </c>
      <c r="O219" s="3">
        <v>46170.537499999999</v>
      </c>
      <c r="P219" s="2" t="s">
        <v>881</v>
      </c>
      <c r="Q219" s="34"/>
      <c r="R219" s="1" t="s">
        <v>31</v>
      </c>
    </row>
    <row r="220" spans="2:18">
      <c r="B220" s="2" t="s">
        <v>1702</v>
      </c>
      <c r="C220" s="2" t="s">
        <v>883</v>
      </c>
      <c r="D220" s="1">
        <v>1</v>
      </c>
      <c r="E220" s="2" t="s">
        <v>1703</v>
      </c>
      <c r="F220" s="2" t="s">
        <v>1265</v>
      </c>
      <c r="G220" s="1">
        <v>8</v>
      </c>
      <c r="H220" s="45" t="s">
        <v>702</v>
      </c>
      <c r="I220" s="43" t="s">
        <v>702</v>
      </c>
      <c r="J220" s="43" t="s">
        <v>702</v>
      </c>
      <c r="K220" s="30">
        <v>140000</v>
      </c>
      <c r="L220" s="43" t="s">
        <v>702</v>
      </c>
      <c r="M220" s="3">
        <v>46150.632638888899</v>
      </c>
      <c r="N220" s="2" t="s">
        <v>885</v>
      </c>
      <c r="O220" s="3">
        <v>46170.632638888899</v>
      </c>
      <c r="P220" s="2" t="s">
        <v>885</v>
      </c>
      <c r="Q220" s="34"/>
      <c r="R220" s="1" t="s">
        <v>31</v>
      </c>
    </row>
    <row r="221" spans="2:18" ht="29" customHeight="1">
      <c r="B221" s="2" t="s">
        <v>1704</v>
      </c>
      <c r="C221" s="2" t="s">
        <v>883</v>
      </c>
      <c r="D221" s="1">
        <v>2</v>
      </c>
      <c r="E221" s="2" t="s">
        <v>1705</v>
      </c>
      <c r="F221" s="2" t="s">
        <v>1268</v>
      </c>
      <c r="G221" s="45" t="s">
        <v>702</v>
      </c>
      <c r="H221" s="1">
        <v>2</v>
      </c>
      <c r="I221" s="43" t="s">
        <v>702</v>
      </c>
      <c r="J221" s="43" t="s">
        <v>702</v>
      </c>
      <c r="K221" s="30">
        <v>50000</v>
      </c>
      <c r="L221" s="43" t="s">
        <v>702</v>
      </c>
      <c r="M221" s="3">
        <v>46150.632638888899</v>
      </c>
      <c r="N221" s="2" t="s">
        <v>885</v>
      </c>
      <c r="O221" s="3">
        <v>46170.632638888899</v>
      </c>
      <c r="P221" s="2" t="s">
        <v>885</v>
      </c>
      <c r="Q221" s="34"/>
      <c r="R221" s="1" t="s">
        <v>31</v>
      </c>
    </row>
    <row r="222" spans="2:18">
      <c r="B222" s="2" t="s">
        <v>1706</v>
      </c>
      <c r="C222" s="2" t="s">
        <v>883</v>
      </c>
      <c r="D222" s="1">
        <v>3</v>
      </c>
      <c r="E222" s="2" t="s">
        <v>1707</v>
      </c>
      <c r="F222" s="2" t="s">
        <v>1271</v>
      </c>
      <c r="G222" s="1">
        <v>12</v>
      </c>
      <c r="H222" s="45" t="s">
        <v>702</v>
      </c>
      <c r="I222" s="43" t="s">
        <v>702</v>
      </c>
      <c r="J222" s="43" t="s">
        <v>702</v>
      </c>
      <c r="K222" s="30">
        <v>120000</v>
      </c>
      <c r="L222" s="43" t="s">
        <v>702</v>
      </c>
      <c r="M222" s="3">
        <v>46150.632638888899</v>
      </c>
      <c r="N222" s="2" t="s">
        <v>885</v>
      </c>
      <c r="O222" s="3">
        <v>46170.632638888899</v>
      </c>
      <c r="P222" s="2" t="s">
        <v>885</v>
      </c>
      <c r="Q222" s="34"/>
      <c r="R222" s="1" t="s">
        <v>31</v>
      </c>
    </row>
    <row r="223" spans="2:18">
      <c r="B223" s="2" t="s">
        <v>1708</v>
      </c>
      <c r="C223" s="2" t="s">
        <v>883</v>
      </c>
      <c r="D223" s="1">
        <v>4</v>
      </c>
      <c r="E223" s="2" t="s">
        <v>1709</v>
      </c>
      <c r="F223" s="2" t="s">
        <v>1274</v>
      </c>
      <c r="G223" s="45" t="s">
        <v>702</v>
      </c>
      <c r="H223" s="1">
        <v>1</v>
      </c>
      <c r="I223" s="43" t="s">
        <v>702</v>
      </c>
      <c r="J223" s="43" t="s">
        <v>702</v>
      </c>
      <c r="K223" s="30">
        <v>40000</v>
      </c>
      <c r="L223" s="43" t="s">
        <v>702</v>
      </c>
      <c r="M223" s="3">
        <v>46150.632638888899</v>
      </c>
      <c r="N223" s="2" t="s">
        <v>885</v>
      </c>
      <c r="O223" s="3">
        <v>46170.632638888899</v>
      </c>
      <c r="P223" s="2" t="s">
        <v>885</v>
      </c>
      <c r="Q223" s="34"/>
      <c r="R223" s="1" t="s">
        <v>31</v>
      </c>
    </row>
    <row r="224" spans="2:18" ht="29" customHeight="1">
      <c r="B224" s="2" t="s">
        <v>1710</v>
      </c>
      <c r="C224" s="2" t="s">
        <v>887</v>
      </c>
      <c r="D224" s="1">
        <v>1</v>
      </c>
      <c r="E224" s="2" t="s">
        <v>1711</v>
      </c>
      <c r="F224" s="2" t="s">
        <v>1277</v>
      </c>
      <c r="G224" s="45" t="s">
        <v>702</v>
      </c>
      <c r="H224" s="45">
        <v>2</v>
      </c>
      <c r="I224" s="43" t="s">
        <v>702</v>
      </c>
      <c r="J224" s="43" t="s">
        <v>702</v>
      </c>
      <c r="K224" s="30">
        <v>70000</v>
      </c>
      <c r="L224" s="43" t="s">
        <v>702</v>
      </c>
      <c r="M224" s="3">
        <v>46151.394444444399</v>
      </c>
      <c r="N224" s="2" t="s">
        <v>889</v>
      </c>
      <c r="O224" s="3">
        <v>46171.394444444399</v>
      </c>
      <c r="P224" s="2" t="s">
        <v>889</v>
      </c>
      <c r="Q224" s="34"/>
      <c r="R224" s="1" t="s">
        <v>31</v>
      </c>
    </row>
    <row r="225" spans="2:18">
      <c r="B225" s="2" t="s">
        <v>1712</v>
      </c>
      <c r="C225" s="2" t="s">
        <v>887</v>
      </c>
      <c r="D225" s="1">
        <v>2</v>
      </c>
      <c r="E225" s="2" t="s">
        <v>1713</v>
      </c>
      <c r="F225" s="2" t="s">
        <v>1280</v>
      </c>
      <c r="G225" s="45">
        <v>11</v>
      </c>
      <c r="H225" s="45" t="s">
        <v>702</v>
      </c>
      <c r="I225" s="43" t="s">
        <v>702</v>
      </c>
      <c r="J225" s="43" t="s">
        <v>702</v>
      </c>
      <c r="K225" s="30">
        <v>165000</v>
      </c>
      <c r="L225" s="43" t="s">
        <v>702</v>
      </c>
      <c r="M225" s="3">
        <v>46151.394444444399</v>
      </c>
      <c r="N225" s="2" t="s">
        <v>889</v>
      </c>
      <c r="O225" s="3">
        <v>46171.394444444399</v>
      </c>
      <c r="P225" s="2" t="s">
        <v>889</v>
      </c>
      <c r="Q225" s="34"/>
      <c r="R225" s="1" t="s">
        <v>31</v>
      </c>
    </row>
    <row r="226" spans="2:18">
      <c r="B226" s="2" t="s">
        <v>1714</v>
      </c>
      <c r="C226" s="2" t="s">
        <v>887</v>
      </c>
      <c r="D226" s="1">
        <v>3</v>
      </c>
      <c r="E226" s="2" t="s">
        <v>1715</v>
      </c>
      <c r="F226" s="2" t="s">
        <v>1283</v>
      </c>
      <c r="G226" s="45" t="s">
        <v>702</v>
      </c>
      <c r="H226" s="45">
        <v>1</v>
      </c>
      <c r="I226" s="43" t="s">
        <v>702</v>
      </c>
      <c r="J226" s="43" t="s">
        <v>702</v>
      </c>
      <c r="K226" s="30">
        <v>50000</v>
      </c>
      <c r="L226" s="43" t="s">
        <v>702</v>
      </c>
      <c r="M226" s="3">
        <v>46151.394444444399</v>
      </c>
      <c r="N226" s="2" t="s">
        <v>889</v>
      </c>
      <c r="O226" s="3">
        <v>46171.394444444399</v>
      </c>
      <c r="P226" s="2" t="s">
        <v>889</v>
      </c>
      <c r="Q226" s="34"/>
      <c r="R226" s="1" t="s">
        <v>31</v>
      </c>
    </row>
    <row r="227" spans="2:18">
      <c r="B227" s="2" t="s">
        <v>1716</v>
      </c>
      <c r="C227" s="2" t="s">
        <v>887</v>
      </c>
      <c r="D227" s="1">
        <v>4</v>
      </c>
      <c r="E227" s="2" t="s">
        <v>1717</v>
      </c>
      <c r="F227" s="2" t="s">
        <v>1286</v>
      </c>
      <c r="G227" s="1">
        <v>3</v>
      </c>
      <c r="H227" s="45" t="s">
        <v>702</v>
      </c>
      <c r="I227" s="43" t="s">
        <v>702</v>
      </c>
      <c r="J227" s="43" t="s">
        <v>702</v>
      </c>
      <c r="K227" s="30">
        <v>30000</v>
      </c>
      <c r="L227" s="43" t="s">
        <v>702</v>
      </c>
      <c r="M227" s="3">
        <v>46151.394444444399</v>
      </c>
      <c r="N227" s="2" t="s">
        <v>889</v>
      </c>
      <c r="O227" s="3">
        <v>46171.394444444399</v>
      </c>
      <c r="P227" s="2" t="s">
        <v>889</v>
      </c>
      <c r="Q227" s="34"/>
      <c r="R227" s="1" t="s">
        <v>31</v>
      </c>
    </row>
    <row r="228" spans="2:18">
      <c r="B228" s="2" t="s">
        <v>1718</v>
      </c>
      <c r="C228" s="2" t="s">
        <v>891</v>
      </c>
      <c r="D228" s="1">
        <v>1</v>
      </c>
      <c r="E228" s="2" t="s">
        <v>1719</v>
      </c>
      <c r="F228" s="2" t="s">
        <v>1289</v>
      </c>
      <c r="G228" s="45">
        <v>10</v>
      </c>
      <c r="H228" s="45" t="s">
        <v>702</v>
      </c>
      <c r="I228" s="43" t="s">
        <v>702</v>
      </c>
      <c r="J228" s="43" t="s">
        <v>702</v>
      </c>
      <c r="K228" s="30">
        <v>125000</v>
      </c>
      <c r="L228" s="43" t="s">
        <v>702</v>
      </c>
      <c r="M228" s="3">
        <v>46151.53125</v>
      </c>
      <c r="N228" s="2" t="s">
        <v>893</v>
      </c>
      <c r="O228" s="3">
        <v>46171.53125</v>
      </c>
      <c r="P228" s="2" t="s">
        <v>893</v>
      </c>
      <c r="Q228" s="34"/>
      <c r="R228" s="1" t="s">
        <v>31</v>
      </c>
    </row>
    <row r="229" spans="2:18">
      <c r="B229" s="2" t="s">
        <v>1720</v>
      </c>
      <c r="C229" s="2" t="s">
        <v>891</v>
      </c>
      <c r="D229" s="1">
        <v>2</v>
      </c>
      <c r="E229" s="2" t="s">
        <v>1721</v>
      </c>
      <c r="F229" s="2" t="s">
        <v>1292</v>
      </c>
      <c r="G229" s="45" t="s">
        <v>702</v>
      </c>
      <c r="H229" s="45">
        <v>1</v>
      </c>
      <c r="I229" s="43" t="s">
        <v>702</v>
      </c>
      <c r="J229" s="43" t="s">
        <v>702</v>
      </c>
      <c r="K229" s="30">
        <v>50000</v>
      </c>
      <c r="L229" s="43" t="s">
        <v>702</v>
      </c>
      <c r="M229" s="3">
        <v>46151.53125</v>
      </c>
      <c r="N229" s="2" t="s">
        <v>893</v>
      </c>
      <c r="O229" s="3">
        <v>46171.53125</v>
      </c>
      <c r="P229" s="2" t="s">
        <v>893</v>
      </c>
      <c r="Q229" s="34"/>
      <c r="R229" s="1" t="s">
        <v>31</v>
      </c>
    </row>
    <row r="230" spans="2:18">
      <c r="B230" s="2" t="s">
        <v>1722</v>
      </c>
      <c r="C230" s="2" t="s">
        <v>891</v>
      </c>
      <c r="D230" s="1">
        <v>3</v>
      </c>
      <c r="E230" s="2" t="s">
        <v>1723</v>
      </c>
      <c r="F230" s="2" t="s">
        <v>1295</v>
      </c>
      <c r="G230" s="45">
        <v>2</v>
      </c>
      <c r="H230" s="45" t="s">
        <v>702</v>
      </c>
      <c r="I230" s="43" t="s">
        <v>702</v>
      </c>
      <c r="J230" s="43" t="s">
        <v>702</v>
      </c>
      <c r="K230" s="30">
        <v>6000</v>
      </c>
      <c r="L230" s="43" t="s">
        <v>702</v>
      </c>
      <c r="M230" s="3">
        <v>46151.53125</v>
      </c>
      <c r="N230" s="2" t="s">
        <v>893</v>
      </c>
      <c r="O230" s="3">
        <v>46171.53125</v>
      </c>
      <c r="P230" s="2" t="s">
        <v>893</v>
      </c>
      <c r="Q230" s="34"/>
      <c r="R230" s="1" t="s">
        <v>31</v>
      </c>
    </row>
    <row r="231" spans="2:18" ht="29" customHeight="1">
      <c r="B231" s="2" t="s">
        <v>1724</v>
      </c>
      <c r="C231" s="2" t="s">
        <v>891</v>
      </c>
      <c r="D231" s="1">
        <v>4</v>
      </c>
      <c r="E231" s="2" t="s">
        <v>1725</v>
      </c>
      <c r="F231" s="2" t="s">
        <v>1298</v>
      </c>
      <c r="G231" s="45" t="s">
        <v>702</v>
      </c>
      <c r="H231" s="45">
        <v>3</v>
      </c>
      <c r="I231" s="43" t="s">
        <v>702</v>
      </c>
      <c r="J231" s="43" t="s">
        <v>702</v>
      </c>
      <c r="K231" s="30">
        <v>60000</v>
      </c>
      <c r="L231" s="43" t="s">
        <v>702</v>
      </c>
      <c r="M231" s="3">
        <v>46151.53125</v>
      </c>
      <c r="N231" s="2" t="s">
        <v>893</v>
      </c>
      <c r="O231" s="3">
        <v>46171.53125</v>
      </c>
      <c r="P231" s="2" t="s">
        <v>893</v>
      </c>
      <c r="Q231" s="34"/>
      <c r="R231" s="1" t="s">
        <v>31</v>
      </c>
    </row>
    <row r="232" spans="2:18">
      <c r="B232" s="2" t="s">
        <v>1726</v>
      </c>
      <c r="C232" s="2" t="s">
        <v>895</v>
      </c>
      <c r="D232" s="1">
        <v>1</v>
      </c>
      <c r="E232" s="2" t="s">
        <v>1727</v>
      </c>
      <c r="F232" s="2" t="s">
        <v>1301</v>
      </c>
      <c r="G232" s="45" t="s">
        <v>702</v>
      </c>
      <c r="H232" s="1">
        <v>1</v>
      </c>
      <c r="I232" s="43" t="s">
        <v>702</v>
      </c>
      <c r="J232" s="43" t="s">
        <v>702</v>
      </c>
      <c r="K232" s="30">
        <v>25000</v>
      </c>
      <c r="L232" s="43" t="s">
        <v>702</v>
      </c>
      <c r="M232" s="3">
        <v>46152.668055555601</v>
      </c>
      <c r="N232" s="2" t="s">
        <v>897</v>
      </c>
      <c r="O232" s="3">
        <v>46172.668055555601</v>
      </c>
      <c r="P232" s="2" t="s">
        <v>897</v>
      </c>
      <c r="Q232" s="34"/>
      <c r="R232" s="1" t="s">
        <v>31</v>
      </c>
    </row>
    <row r="233" spans="2:18">
      <c r="B233" s="2" t="s">
        <v>1728</v>
      </c>
      <c r="C233" s="2" t="s">
        <v>895</v>
      </c>
      <c r="D233" s="1">
        <v>2</v>
      </c>
      <c r="E233" s="2" t="s">
        <v>1729</v>
      </c>
      <c r="F233" s="2" t="s">
        <v>1304</v>
      </c>
      <c r="G233" s="1">
        <v>1</v>
      </c>
      <c r="H233" s="45" t="s">
        <v>702</v>
      </c>
      <c r="I233" s="43" t="s">
        <v>702</v>
      </c>
      <c r="J233" s="43" t="s">
        <v>702</v>
      </c>
      <c r="K233" s="30">
        <v>6000</v>
      </c>
      <c r="L233" s="43" t="s">
        <v>702</v>
      </c>
      <c r="M233" s="3">
        <v>46152.668055555601</v>
      </c>
      <c r="N233" s="2" t="s">
        <v>897</v>
      </c>
      <c r="O233" s="3">
        <v>46172.668055555601</v>
      </c>
      <c r="P233" s="2" t="s">
        <v>897</v>
      </c>
      <c r="Q233" s="34"/>
      <c r="R233" s="1" t="s">
        <v>31</v>
      </c>
    </row>
    <row r="234" spans="2:18" ht="29" customHeight="1">
      <c r="B234" s="2" t="s">
        <v>1730</v>
      </c>
      <c r="C234" s="2" t="s">
        <v>895</v>
      </c>
      <c r="D234" s="1">
        <v>3</v>
      </c>
      <c r="E234" s="2" t="s">
        <v>1731</v>
      </c>
      <c r="F234" s="2" t="s">
        <v>1307</v>
      </c>
      <c r="G234" s="45" t="s">
        <v>702</v>
      </c>
      <c r="H234" s="1">
        <v>3</v>
      </c>
      <c r="I234" s="43" t="s">
        <v>702</v>
      </c>
      <c r="J234" s="43" t="s">
        <v>702</v>
      </c>
      <c r="K234" s="30">
        <v>90000</v>
      </c>
      <c r="L234" s="43" t="s">
        <v>702</v>
      </c>
      <c r="M234" s="3">
        <v>46152.668055555601</v>
      </c>
      <c r="N234" s="2" t="s">
        <v>897</v>
      </c>
      <c r="O234" s="3">
        <v>46172.668055555601</v>
      </c>
      <c r="P234" s="2" t="s">
        <v>897</v>
      </c>
      <c r="Q234" s="34"/>
      <c r="R234" s="1" t="s">
        <v>31</v>
      </c>
    </row>
    <row r="235" spans="2:18" ht="29" customHeight="1">
      <c r="B235" s="2" t="s">
        <v>1732</v>
      </c>
      <c r="C235" s="2" t="s">
        <v>895</v>
      </c>
      <c r="D235" s="1">
        <v>4</v>
      </c>
      <c r="E235" s="2" t="s">
        <v>1733</v>
      </c>
      <c r="F235" s="2" t="s">
        <v>1310</v>
      </c>
      <c r="G235" s="1">
        <v>5</v>
      </c>
      <c r="H235" s="45" t="s">
        <v>702</v>
      </c>
      <c r="I235" s="43" t="s">
        <v>702</v>
      </c>
      <c r="J235" s="43" t="s">
        <v>702</v>
      </c>
      <c r="K235" s="30">
        <v>60000</v>
      </c>
      <c r="L235" s="43" t="s">
        <v>702</v>
      </c>
      <c r="M235" s="3">
        <v>46152.668055555601</v>
      </c>
      <c r="N235" s="2" t="s">
        <v>897</v>
      </c>
      <c r="O235" s="3">
        <v>46172.668055555601</v>
      </c>
      <c r="P235" s="2" t="s">
        <v>897</v>
      </c>
      <c r="Q235" s="34"/>
      <c r="R235" s="1" t="s">
        <v>31</v>
      </c>
    </row>
    <row r="236" spans="2:18">
      <c r="B236" s="2" t="s">
        <v>1734</v>
      </c>
      <c r="C236" s="2" t="s">
        <v>899</v>
      </c>
      <c r="D236" s="1">
        <v>1</v>
      </c>
      <c r="E236" s="2" t="s">
        <v>1735</v>
      </c>
      <c r="F236" s="2" t="s">
        <v>1313</v>
      </c>
      <c r="G236" s="45">
        <v>12</v>
      </c>
      <c r="H236" s="45" t="s">
        <v>702</v>
      </c>
      <c r="I236" s="43" t="s">
        <v>702</v>
      </c>
      <c r="J236" s="43" t="s">
        <v>702</v>
      </c>
      <c r="K236" s="30">
        <v>150000</v>
      </c>
      <c r="L236" s="43" t="s">
        <v>702</v>
      </c>
      <c r="M236" s="3">
        <v>46152.3881944444</v>
      </c>
      <c r="N236" s="2" t="s">
        <v>901</v>
      </c>
      <c r="O236" s="3">
        <v>46172.3881944444</v>
      </c>
      <c r="P236" s="2" t="s">
        <v>901</v>
      </c>
      <c r="Q236" s="34"/>
      <c r="R236" s="1" t="s">
        <v>31</v>
      </c>
    </row>
    <row r="237" spans="2:18" ht="29" customHeight="1">
      <c r="B237" s="2" t="s">
        <v>1736</v>
      </c>
      <c r="C237" s="2" t="s">
        <v>899</v>
      </c>
      <c r="D237" s="1">
        <v>2</v>
      </c>
      <c r="E237" s="2" t="s">
        <v>1737</v>
      </c>
      <c r="F237" s="2" t="s">
        <v>1316</v>
      </c>
      <c r="G237" s="45" t="s">
        <v>702</v>
      </c>
      <c r="H237" s="45">
        <v>3</v>
      </c>
      <c r="I237" s="43" t="s">
        <v>702</v>
      </c>
      <c r="J237" s="43" t="s">
        <v>702</v>
      </c>
      <c r="K237" s="30">
        <v>150000</v>
      </c>
      <c r="L237" s="43" t="s">
        <v>702</v>
      </c>
      <c r="M237" s="3">
        <v>46152.3881944444</v>
      </c>
      <c r="N237" s="2" t="s">
        <v>901</v>
      </c>
      <c r="O237" s="3">
        <v>46172.3881944444</v>
      </c>
      <c r="P237" s="2" t="s">
        <v>901</v>
      </c>
      <c r="Q237" s="34"/>
      <c r="R237" s="1" t="s">
        <v>31</v>
      </c>
    </row>
    <row r="238" spans="2:18" ht="29" customHeight="1">
      <c r="B238" s="2" t="s">
        <v>1738</v>
      </c>
      <c r="C238" s="2" t="s">
        <v>899</v>
      </c>
      <c r="D238" s="1">
        <v>3</v>
      </c>
      <c r="E238" s="2" t="s">
        <v>1739</v>
      </c>
      <c r="F238" s="2" t="s">
        <v>1319</v>
      </c>
      <c r="G238" s="1">
        <v>4</v>
      </c>
      <c r="H238" s="45" t="s">
        <v>702</v>
      </c>
      <c r="I238" s="43" t="s">
        <v>702</v>
      </c>
      <c r="J238" s="43" t="s">
        <v>702</v>
      </c>
      <c r="K238" s="30">
        <v>70000</v>
      </c>
      <c r="L238" s="43" t="s">
        <v>702</v>
      </c>
      <c r="M238" s="3">
        <v>46152.3881944444</v>
      </c>
      <c r="N238" s="2" t="s">
        <v>901</v>
      </c>
      <c r="O238" s="3">
        <v>46172.3881944444</v>
      </c>
      <c r="P238" s="2" t="s">
        <v>901</v>
      </c>
      <c r="Q238" s="34"/>
      <c r="R238" s="1" t="s">
        <v>31</v>
      </c>
    </row>
    <row r="239" spans="2:18">
      <c r="B239" s="2" t="s">
        <v>1740</v>
      </c>
      <c r="C239" s="2" t="s">
        <v>899</v>
      </c>
      <c r="D239" s="1">
        <v>4</v>
      </c>
      <c r="E239" s="2" t="s">
        <v>1741</v>
      </c>
      <c r="F239" s="2" t="s">
        <v>1259</v>
      </c>
      <c r="G239" s="45" t="s">
        <v>702</v>
      </c>
      <c r="H239" s="1">
        <v>2</v>
      </c>
      <c r="I239" s="43" t="s">
        <v>702</v>
      </c>
      <c r="J239" s="43" t="s">
        <v>702</v>
      </c>
      <c r="K239" s="30">
        <v>70000</v>
      </c>
      <c r="L239" s="43" t="s">
        <v>702</v>
      </c>
      <c r="M239" s="3">
        <v>46152.3881944444</v>
      </c>
      <c r="N239" s="2" t="s">
        <v>901</v>
      </c>
      <c r="O239" s="3">
        <v>46172.3881944444</v>
      </c>
      <c r="P239" s="2" t="s">
        <v>901</v>
      </c>
      <c r="Q239" s="34"/>
      <c r="R239" s="1" t="s">
        <v>31</v>
      </c>
    </row>
    <row r="240" spans="2:18" ht="29" customHeight="1">
      <c r="B240" s="2" t="s">
        <v>1742</v>
      </c>
      <c r="C240" s="2" t="s">
        <v>903</v>
      </c>
      <c r="D240" s="1">
        <v>1</v>
      </c>
      <c r="E240" s="2" t="s">
        <v>1743</v>
      </c>
      <c r="F240" s="2" t="s">
        <v>1262</v>
      </c>
      <c r="G240" s="45" t="s">
        <v>702</v>
      </c>
      <c r="H240" s="45">
        <v>3</v>
      </c>
      <c r="I240" s="43" t="s">
        <v>702</v>
      </c>
      <c r="J240" s="43" t="s">
        <v>702</v>
      </c>
      <c r="K240" s="30">
        <v>127500</v>
      </c>
      <c r="L240" s="43" t="s">
        <v>702</v>
      </c>
      <c r="M240" s="3">
        <v>46152.525000000001</v>
      </c>
      <c r="N240" s="2" t="s">
        <v>905</v>
      </c>
      <c r="O240" s="3">
        <v>46172.525000000001</v>
      </c>
      <c r="P240" s="2" t="s">
        <v>905</v>
      </c>
      <c r="Q240" s="34"/>
      <c r="R240" s="1" t="s">
        <v>31</v>
      </c>
    </row>
    <row r="241" spans="2:18" ht="29" customHeight="1">
      <c r="B241" s="2" t="s">
        <v>1744</v>
      </c>
      <c r="C241" s="2" t="s">
        <v>903</v>
      </c>
      <c r="D241" s="1">
        <v>2</v>
      </c>
      <c r="E241" s="2" t="s">
        <v>1745</v>
      </c>
      <c r="F241" s="2" t="s">
        <v>1265</v>
      </c>
      <c r="G241" s="45">
        <v>3</v>
      </c>
      <c r="H241" s="45" t="s">
        <v>702</v>
      </c>
      <c r="I241" s="43" t="s">
        <v>702</v>
      </c>
      <c r="J241" s="43" t="s">
        <v>702</v>
      </c>
      <c r="K241" s="30">
        <v>52500</v>
      </c>
      <c r="L241" s="43" t="s">
        <v>702</v>
      </c>
      <c r="M241" s="3">
        <v>46152.525000000001</v>
      </c>
      <c r="N241" s="2" t="s">
        <v>905</v>
      </c>
      <c r="O241" s="3">
        <v>46172.525000000001</v>
      </c>
      <c r="P241" s="2" t="s">
        <v>905</v>
      </c>
      <c r="Q241" s="34"/>
      <c r="R241" s="1" t="s">
        <v>31</v>
      </c>
    </row>
    <row r="242" spans="2:18">
      <c r="B242" s="2" t="s">
        <v>1746</v>
      </c>
      <c r="C242" s="2" t="s">
        <v>903</v>
      </c>
      <c r="D242" s="1">
        <v>3</v>
      </c>
      <c r="E242" s="2" t="s">
        <v>1747</v>
      </c>
      <c r="F242" s="2" t="s">
        <v>1268</v>
      </c>
      <c r="G242" s="45" t="s">
        <v>702</v>
      </c>
      <c r="H242" s="45">
        <v>2</v>
      </c>
      <c r="I242" s="43" t="s">
        <v>702</v>
      </c>
      <c r="J242" s="43" t="s">
        <v>702</v>
      </c>
      <c r="K242" s="30">
        <v>50000</v>
      </c>
      <c r="L242" s="43" t="s">
        <v>702</v>
      </c>
      <c r="M242" s="3">
        <v>46152.525000000001</v>
      </c>
      <c r="N242" s="2" t="s">
        <v>905</v>
      </c>
      <c r="O242" s="3">
        <v>46172.525000000001</v>
      </c>
      <c r="P242" s="2" t="s">
        <v>905</v>
      </c>
      <c r="Q242" s="34"/>
      <c r="R242" s="1" t="s">
        <v>31</v>
      </c>
    </row>
    <row r="243" spans="2:18">
      <c r="B243" s="2" t="s">
        <v>1748</v>
      </c>
      <c r="C243" s="2" t="s">
        <v>903</v>
      </c>
      <c r="D243" s="1">
        <v>4</v>
      </c>
      <c r="E243" s="2" t="s">
        <v>1749</v>
      </c>
      <c r="F243" s="2" t="s">
        <v>1271</v>
      </c>
      <c r="G243" s="45">
        <v>7</v>
      </c>
      <c r="H243" s="45" t="s">
        <v>702</v>
      </c>
      <c r="I243" s="43" t="s">
        <v>702</v>
      </c>
      <c r="J243" s="43" t="s">
        <v>702</v>
      </c>
      <c r="K243" s="30">
        <v>70000</v>
      </c>
      <c r="L243" s="43" t="s">
        <v>702</v>
      </c>
      <c r="M243" s="3">
        <v>46152.525000000001</v>
      </c>
      <c r="N243" s="2" t="s">
        <v>905</v>
      </c>
      <c r="O243" s="3">
        <v>46172.525000000001</v>
      </c>
      <c r="P243" s="2" t="s">
        <v>905</v>
      </c>
      <c r="Q243" s="34"/>
      <c r="R243" s="1" t="s">
        <v>31</v>
      </c>
    </row>
    <row r="244" spans="2:18" ht="29" customHeight="1">
      <c r="B244" s="2" t="s">
        <v>1750</v>
      </c>
      <c r="C244" s="2" t="s">
        <v>907</v>
      </c>
      <c r="D244" s="1">
        <v>1</v>
      </c>
      <c r="E244" s="2" t="s">
        <v>1751</v>
      </c>
      <c r="F244" s="2" t="s">
        <v>1274</v>
      </c>
      <c r="G244" s="1">
        <v>2</v>
      </c>
      <c r="H244" s="45" t="s">
        <v>702</v>
      </c>
      <c r="I244" s="43" t="s">
        <v>702</v>
      </c>
      <c r="J244" s="43" t="s">
        <v>702</v>
      </c>
      <c r="K244" s="30">
        <v>25000</v>
      </c>
      <c r="L244" s="43" t="s">
        <v>702</v>
      </c>
      <c r="M244" s="3">
        <v>46153.661805555603</v>
      </c>
      <c r="N244" s="2" t="s">
        <v>909</v>
      </c>
      <c r="O244" s="3">
        <v>46173.661805555603</v>
      </c>
      <c r="P244" s="2" t="s">
        <v>909</v>
      </c>
      <c r="Q244" s="34"/>
      <c r="R244" s="1" t="s">
        <v>31</v>
      </c>
    </row>
    <row r="245" spans="2:18">
      <c r="B245" s="2" t="s">
        <v>1752</v>
      </c>
      <c r="C245" s="2" t="s">
        <v>907</v>
      </c>
      <c r="D245" s="1">
        <v>2</v>
      </c>
      <c r="E245" s="2" t="s">
        <v>1753</v>
      </c>
      <c r="F245" s="2" t="s">
        <v>1277</v>
      </c>
      <c r="G245" s="45" t="s">
        <v>702</v>
      </c>
      <c r="H245" s="1">
        <v>2</v>
      </c>
      <c r="I245" s="43" t="s">
        <v>702</v>
      </c>
      <c r="J245" s="43" t="s">
        <v>702</v>
      </c>
      <c r="K245" s="30">
        <v>70000</v>
      </c>
      <c r="L245" s="43" t="s">
        <v>702</v>
      </c>
      <c r="M245" s="3">
        <v>46153.661805555603</v>
      </c>
      <c r="N245" s="2" t="s">
        <v>909</v>
      </c>
      <c r="O245" s="3">
        <v>46173.661805555603</v>
      </c>
      <c r="P245" s="2" t="s">
        <v>909</v>
      </c>
      <c r="Q245" s="34"/>
      <c r="R245" s="1" t="s">
        <v>31</v>
      </c>
    </row>
    <row r="246" spans="2:18">
      <c r="B246" s="2" t="s">
        <v>1754</v>
      </c>
      <c r="C246" s="2" t="s">
        <v>907</v>
      </c>
      <c r="D246" s="1">
        <v>3</v>
      </c>
      <c r="E246" s="2" t="s">
        <v>1755</v>
      </c>
      <c r="F246" s="2" t="s">
        <v>1280</v>
      </c>
      <c r="G246" s="1">
        <v>6</v>
      </c>
      <c r="H246" s="45" t="s">
        <v>702</v>
      </c>
      <c r="I246" s="43" t="s">
        <v>702</v>
      </c>
      <c r="J246" s="43" t="s">
        <v>702</v>
      </c>
      <c r="K246" s="30">
        <v>90000</v>
      </c>
      <c r="L246" s="43" t="s">
        <v>702</v>
      </c>
      <c r="M246" s="3">
        <v>46153.661805555603</v>
      </c>
      <c r="N246" s="2" t="s">
        <v>909</v>
      </c>
      <c r="O246" s="3">
        <v>46173.661805555603</v>
      </c>
      <c r="P246" s="2" t="s">
        <v>909</v>
      </c>
      <c r="Q246" s="34"/>
      <c r="R246" s="1" t="s">
        <v>31</v>
      </c>
    </row>
    <row r="247" spans="2:18">
      <c r="B247" s="2" t="s">
        <v>1756</v>
      </c>
      <c r="C247" s="2" t="s">
        <v>907</v>
      </c>
      <c r="D247" s="1">
        <v>4</v>
      </c>
      <c r="E247" s="2" t="s">
        <v>1757</v>
      </c>
      <c r="F247" s="2" t="s">
        <v>1283</v>
      </c>
      <c r="G247" s="45" t="s">
        <v>702</v>
      </c>
      <c r="H247" s="1">
        <v>1</v>
      </c>
      <c r="I247" s="43" t="s">
        <v>702</v>
      </c>
      <c r="J247" s="43" t="s">
        <v>702</v>
      </c>
      <c r="K247" s="30">
        <v>50000</v>
      </c>
      <c r="L247" s="43" t="s">
        <v>702</v>
      </c>
      <c r="M247" s="3">
        <v>46153.661805555603</v>
      </c>
      <c r="N247" s="2" t="s">
        <v>909</v>
      </c>
      <c r="O247" s="3">
        <v>46173.661805555603</v>
      </c>
      <c r="P247" s="2" t="s">
        <v>909</v>
      </c>
      <c r="Q247" s="34"/>
      <c r="R247" s="1" t="s">
        <v>31</v>
      </c>
    </row>
    <row r="248" spans="2:18">
      <c r="B248" s="2" t="s">
        <v>1758</v>
      </c>
      <c r="C248" s="2" t="s">
        <v>911</v>
      </c>
      <c r="D248" s="1">
        <v>1</v>
      </c>
      <c r="E248" s="2" t="s">
        <v>1759</v>
      </c>
      <c r="F248" s="2" t="s">
        <v>1286</v>
      </c>
      <c r="G248" s="45" t="s">
        <v>702</v>
      </c>
      <c r="H248" s="45">
        <v>2</v>
      </c>
      <c r="I248" s="43" t="s">
        <v>702</v>
      </c>
      <c r="J248" s="43" t="s">
        <v>702</v>
      </c>
      <c r="K248" s="30">
        <v>60000</v>
      </c>
      <c r="L248" s="43" t="s">
        <v>702</v>
      </c>
      <c r="M248" s="3">
        <v>46153.381944444402</v>
      </c>
      <c r="N248" s="2" t="s">
        <v>913</v>
      </c>
      <c r="O248" s="3">
        <v>46173.381944444402</v>
      </c>
      <c r="P248" s="2" t="s">
        <v>913</v>
      </c>
      <c r="Q248" s="34"/>
      <c r="R248" s="1" t="s">
        <v>31</v>
      </c>
    </row>
    <row r="249" spans="2:18">
      <c r="B249" s="2" t="s">
        <v>1760</v>
      </c>
      <c r="C249" s="2" t="s">
        <v>911</v>
      </c>
      <c r="D249" s="1">
        <v>2</v>
      </c>
      <c r="E249" s="2" t="s">
        <v>1761</v>
      </c>
      <c r="F249" s="2" t="s">
        <v>1289</v>
      </c>
      <c r="G249" s="45">
        <v>5</v>
      </c>
      <c r="H249" s="45" t="s">
        <v>702</v>
      </c>
      <c r="I249" s="43" t="s">
        <v>702</v>
      </c>
      <c r="J249" s="43" t="s">
        <v>702</v>
      </c>
      <c r="K249" s="30">
        <v>62500</v>
      </c>
      <c r="L249" s="43" t="s">
        <v>702</v>
      </c>
      <c r="M249" s="3">
        <v>46153.381944444402</v>
      </c>
      <c r="N249" s="2" t="s">
        <v>913</v>
      </c>
      <c r="O249" s="3">
        <v>46173.381944444402</v>
      </c>
      <c r="P249" s="2" t="s">
        <v>913</v>
      </c>
      <c r="Q249" s="34"/>
      <c r="R249" s="1" t="s">
        <v>31</v>
      </c>
    </row>
    <row r="250" spans="2:18">
      <c r="B250" s="2" t="s">
        <v>1762</v>
      </c>
      <c r="C250" s="2" t="s">
        <v>911</v>
      </c>
      <c r="D250" s="1">
        <v>3</v>
      </c>
      <c r="E250" s="2" t="s">
        <v>1763</v>
      </c>
      <c r="F250" s="2" t="s">
        <v>1292</v>
      </c>
      <c r="G250" s="45" t="s">
        <v>702</v>
      </c>
      <c r="H250" s="45">
        <v>1</v>
      </c>
      <c r="I250" s="43" t="s">
        <v>702</v>
      </c>
      <c r="J250" s="43" t="s">
        <v>702</v>
      </c>
      <c r="K250" s="30">
        <v>50000</v>
      </c>
      <c r="L250" s="43" t="s">
        <v>702</v>
      </c>
      <c r="M250" s="3">
        <v>46153.381944444402</v>
      </c>
      <c r="N250" s="2" t="s">
        <v>913</v>
      </c>
      <c r="O250" s="3">
        <v>46173.381944444402</v>
      </c>
      <c r="P250" s="2" t="s">
        <v>913</v>
      </c>
      <c r="Q250" s="34"/>
      <c r="R250" s="1" t="s">
        <v>31</v>
      </c>
    </row>
    <row r="251" spans="2:18">
      <c r="B251" s="2" t="s">
        <v>1764</v>
      </c>
      <c r="C251" s="2" t="s">
        <v>911</v>
      </c>
      <c r="D251" s="1">
        <v>4</v>
      </c>
      <c r="E251" s="2" t="s">
        <v>1765</v>
      </c>
      <c r="F251" s="2" t="s">
        <v>1295</v>
      </c>
      <c r="G251" s="45">
        <v>9</v>
      </c>
      <c r="H251" s="45" t="s">
        <v>702</v>
      </c>
      <c r="I251" s="43" t="s">
        <v>702</v>
      </c>
      <c r="J251" s="43" t="s">
        <v>702</v>
      </c>
      <c r="K251" s="30">
        <v>27000</v>
      </c>
      <c r="L251" s="43" t="s">
        <v>702</v>
      </c>
      <c r="M251" s="3">
        <v>46153.381944444402</v>
      </c>
      <c r="N251" s="2" t="s">
        <v>913</v>
      </c>
      <c r="O251" s="3">
        <v>46173.381944444402</v>
      </c>
      <c r="P251" s="2" t="s">
        <v>913</v>
      </c>
      <c r="Q251" s="34"/>
      <c r="R251" s="1" t="s">
        <v>31</v>
      </c>
    </row>
    <row r="252" spans="2:18">
      <c r="B252" s="2" t="s">
        <v>1766</v>
      </c>
      <c r="C252" s="2" t="s">
        <v>915</v>
      </c>
      <c r="D252" s="1">
        <v>1</v>
      </c>
      <c r="E252" s="2" t="s">
        <v>1767</v>
      </c>
      <c r="F252" s="2" t="s">
        <v>1298</v>
      </c>
      <c r="G252" s="1">
        <v>4</v>
      </c>
      <c r="H252" s="45" t="s">
        <v>702</v>
      </c>
      <c r="I252" s="43" t="s">
        <v>702</v>
      </c>
      <c r="J252" s="43" t="s">
        <v>702</v>
      </c>
      <c r="K252" s="30">
        <v>20000</v>
      </c>
      <c r="L252" s="43" t="s">
        <v>702</v>
      </c>
      <c r="M252" s="3">
        <v>46154.518750000003</v>
      </c>
      <c r="N252" s="2" t="s">
        <v>917</v>
      </c>
      <c r="O252" s="3">
        <v>46174.518750000003</v>
      </c>
      <c r="P252" s="2" t="s">
        <v>917</v>
      </c>
      <c r="Q252" s="34"/>
      <c r="R252" s="1" t="s">
        <v>31</v>
      </c>
    </row>
    <row r="253" spans="2:18">
      <c r="B253" s="2" t="s">
        <v>1768</v>
      </c>
      <c r="C253" s="2" t="s">
        <v>915</v>
      </c>
      <c r="D253" s="1">
        <v>2</v>
      </c>
      <c r="E253" s="2" t="s">
        <v>1769</v>
      </c>
      <c r="F253" s="2" t="s">
        <v>1301</v>
      </c>
      <c r="G253" s="45" t="s">
        <v>702</v>
      </c>
      <c r="H253" s="45">
        <v>1</v>
      </c>
      <c r="I253" s="43" t="s">
        <v>702</v>
      </c>
      <c r="J253" s="43" t="s">
        <v>702</v>
      </c>
      <c r="K253" s="30">
        <v>25000</v>
      </c>
      <c r="L253" s="43" t="s">
        <v>702</v>
      </c>
      <c r="M253" s="3">
        <v>46154.518750000003</v>
      </c>
      <c r="N253" s="2" t="s">
        <v>917</v>
      </c>
      <c r="O253" s="3">
        <v>46174.518750000003</v>
      </c>
      <c r="P253" s="2" t="s">
        <v>917</v>
      </c>
      <c r="Q253" s="34"/>
      <c r="R253" s="1" t="s">
        <v>31</v>
      </c>
    </row>
    <row r="254" spans="2:18">
      <c r="B254" s="2" t="s">
        <v>1770</v>
      </c>
      <c r="C254" s="2" t="s">
        <v>915</v>
      </c>
      <c r="D254" s="1">
        <v>3</v>
      </c>
      <c r="E254" s="2" t="s">
        <v>1771</v>
      </c>
      <c r="F254" s="2" t="s">
        <v>1304</v>
      </c>
      <c r="G254" s="45">
        <v>8</v>
      </c>
      <c r="H254" s="45" t="s">
        <v>702</v>
      </c>
      <c r="I254" s="43" t="s">
        <v>702</v>
      </c>
      <c r="J254" s="43" t="s">
        <v>702</v>
      </c>
      <c r="K254" s="30">
        <v>48000</v>
      </c>
      <c r="L254" s="43" t="s">
        <v>702</v>
      </c>
      <c r="M254" s="3">
        <v>46154.518750000003</v>
      </c>
      <c r="N254" s="2" t="s">
        <v>917</v>
      </c>
      <c r="O254" s="3">
        <v>46174.518750000003</v>
      </c>
      <c r="P254" s="2" t="s">
        <v>917</v>
      </c>
      <c r="Q254" s="34"/>
      <c r="R254" s="1" t="s">
        <v>31</v>
      </c>
    </row>
    <row r="255" spans="2:18">
      <c r="B255" s="2" t="s">
        <v>1772</v>
      </c>
      <c r="C255" s="2" t="s">
        <v>915</v>
      </c>
      <c r="D255" s="1">
        <v>4</v>
      </c>
      <c r="E255" s="2" t="s">
        <v>1773</v>
      </c>
      <c r="F255" s="2" t="s">
        <v>1307</v>
      </c>
      <c r="G255" s="45" t="s">
        <v>702</v>
      </c>
      <c r="H255" s="1">
        <v>3</v>
      </c>
      <c r="I255" s="43" t="s">
        <v>702</v>
      </c>
      <c r="J255" s="43" t="s">
        <v>702</v>
      </c>
      <c r="K255" s="30">
        <v>90000</v>
      </c>
      <c r="L255" s="43" t="s">
        <v>702</v>
      </c>
      <c r="M255" s="3">
        <v>46154.518750000003</v>
      </c>
      <c r="N255" s="2" t="s">
        <v>917</v>
      </c>
      <c r="O255" s="3">
        <v>46174.518750000003</v>
      </c>
      <c r="P255" s="2" t="s">
        <v>917</v>
      </c>
      <c r="Q255" s="34"/>
      <c r="R255" s="1" t="s">
        <v>31</v>
      </c>
    </row>
    <row r="256" spans="2:18">
      <c r="B256" s="2" t="s">
        <v>1774</v>
      </c>
      <c r="C256" s="2" t="s">
        <v>919</v>
      </c>
      <c r="D256" s="1">
        <v>1</v>
      </c>
      <c r="E256" s="2" t="s">
        <v>1775</v>
      </c>
      <c r="F256" s="2" t="s">
        <v>1310</v>
      </c>
      <c r="G256" s="45" t="s">
        <v>702</v>
      </c>
      <c r="H256" s="45">
        <v>1</v>
      </c>
      <c r="I256" s="43" t="s">
        <v>702</v>
      </c>
      <c r="J256" s="43" t="s">
        <v>702</v>
      </c>
      <c r="K256" s="30">
        <v>40000</v>
      </c>
      <c r="L256" s="43" t="s">
        <v>702</v>
      </c>
      <c r="M256" s="3">
        <v>46154.655555555597</v>
      </c>
      <c r="N256" s="2" t="s">
        <v>703</v>
      </c>
      <c r="O256" s="3">
        <v>46174.655555555597</v>
      </c>
      <c r="P256" s="2" t="s">
        <v>703</v>
      </c>
      <c r="Q256" s="34"/>
      <c r="R256" s="1" t="s">
        <v>31</v>
      </c>
    </row>
    <row r="257" spans="2:18">
      <c r="B257" s="2" t="s">
        <v>1776</v>
      </c>
      <c r="C257" s="2" t="s">
        <v>919</v>
      </c>
      <c r="D257" s="1">
        <v>2</v>
      </c>
      <c r="E257" s="2" t="s">
        <v>1777</v>
      </c>
      <c r="F257" s="2" t="s">
        <v>1313</v>
      </c>
      <c r="G257" s="45">
        <v>7</v>
      </c>
      <c r="H257" s="45" t="s">
        <v>702</v>
      </c>
      <c r="I257" s="43" t="s">
        <v>702</v>
      </c>
      <c r="J257" s="43" t="s">
        <v>702</v>
      </c>
      <c r="K257" s="30">
        <v>87500</v>
      </c>
      <c r="L257" s="43" t="s">
        <v>702</v>
      </c>
      <c r="M257" s="3">
        <v>46154.655555555597</v>
      </c>
      <c r="N257" s="2" t="s">
        <v>703</v>
      </c>
      <c r="O257" s="3">
        <v>46174.655555555597</v>
      </c>
      <c r="P257" s="2" t="s">
        <v>703</v>
      </c>
      <c r="Q257" s="34"/>
      <c r="R257" s="1" t="s">
        <v>31</v>
      </c>
    </row>
    <row r="258" spans="2:18">
      <c r="B258" s="2" t="s">
        <v>1778</v>
      </c>
      <c r="C258" s="2" t="s">
        <v>919</v>
      </c>
      <c r="D258" s="1">
        <v>3</v>
      </c>
      <c r="E258" s="2" t="s">
        <v>1779</v>
      </c>
      <c r="F258" s="2" t="s">
        <v>1316</v>
      </c>
      <c r="G258" s="45" t="s">
        <v>702</v>
      </c>
      <c r="H258" s="45">
        <v>3</v>
      </c>
      <c r="I258" s="43" t="s">
        <v>702</v>
      </c>
      <c r="J258" s="43" t="s">
        <v>702</v>
      </c>
      <c r="K258" s="30">
        <v>150000</v>
      </c>
      <c r="L258" s="43" t="s">
        <v>702</v>
      </c>
      <c r="M258" s="3">
        <v>46154.655555555597</v>
      </c>
      <c r="N258" s="2" t="s">
        <v>703</v>
      </c>
      <c r="O258" s="3">
        <v>46174.655555555597</v>
      </c>
      <c r="P258" s="2" t="s">
        <v>703</v>
      </c>
      <c r="Q258" s="34"/>
      <c r="R258" s="1" t="s">
        <v>31</v>
      </c>
    </row>
    <row r="259" spans="2:18">
      <c r="B259" s="2" t="s">
        <v>1780</v>
      </c>
      <c r="C259" s="2" t="s">
        <v>919</v>
      </c>
      <c r="D259" s="1">
        <v>4</v>
      </c>
      <c r="E259" s="2" t="s">
        <v>1781</v>
      </c>
      <c r="F259" s="2" t="s">
        <v>1319</v>
      </c>
      <c r="G259" s="45">
        <v>11</v>
      </c>
      <c r="H259" s="45" t="s">
        <v>702</v>
      </c>
      <c r="I259" s="43" t="s">
        <v>702</v>
      </c>
      <c r="J259" s="43" t="s">
        <v>702</v>
      </c>
      <c r="K259" s="30">
        <v>192500</v>
      </c>
      <c r="L259" s="43" t="s">
        <v>702</v>
      </c>
      <c r="M259" s="3">
        <v>46154.655555555597</v>
      </c>
      <c r="N259" s="2" t="s">
        <v>703</v>
      </c>
      <c r="O259" s="3">
        <v>46174.655555555597</v>
      </c>
      <c r="P259" s="2" t="s">
        <v>703</v>
      </c>
      <c r="Q259" s="34"/>
      <c r="R259" s="1" t="s">
        <v>31</v>
      </c>
    </row>
    <row r="260" spans="2:18">
      <c r="B260" s="2" t="s">
        <v>1782</v>
      </c>
      <c r="C260" s="2" t="s">
        <v>922</v>
      </c>
      <c r="D260" s="1">
        <v>1</v>
      </c>
      <c r="E260" s="2" t="s">
        <v>1783</v>
      </c>
      <c r="F260" s="2" t="s">
        <v>1259</v>
      </c>
      <c r="G260" s="1">
        <v>6</v>
      </c>
      <c r="H260" s="45" t="s">
        <v>702</v>
      </c>
      <c r="I260" s="43" t="s">
        <v>702</v>
      </c>
      <c r="J260" s="43" t="s">
        <v>702</v>
      </c>
      <c r="K260" s="30">
        <v>75000</v>
      </c>
      <c r="L260" s="43" t="s">
        <v>702</v>
      </c>
      <c r="M260" s="3">
        <v>46155.417361111096</v>
      </c>
      <c r="N260" s="2" t="s">
        <v>707</v>
      </c>
      <c r="O260" s="3">
        <v>46175.417361111096</v>
      </c>
      <c r="P260" s="2" t="s">
        <v>707</v>
      </c>
      <c r="Q260" s="34"/>
      <c r="R260" s="1" t="s">
        <v>31</v>
      </c>
    </row>
    <row r="261" spans="2:18">
      <c r="B261" s="2" t="s">
        <v>1784</v>
      </c>
      <c r="C261" s="2" t="s">
        <v>922</v>
      </c>
      <c r="D261" s="1">
        <v>2</v>
      </c>
      <c r="E261" s="2" t="s">
        <v>1785</v>
      </c>
      <c r="F261" s="2" t="s">
        <v>1262</v>
      </c>
      <c r="G261" s="45" t="s">
        <v>702</v>
      </c>
      <c r="H261" s="1">
        <v>3</v>
      </c>
      <c r="I261" s="43" t="s">
        <v>702</v>
      </c>
      <c r="J261" s="43" t="s">
        <v>702</v>
      </c>
      <c r="K261" s="30">
        <v>127500</v>
      </c>
      <c r="L261" s="43" t="s">
        <v>702</v>
      </c>
      <c r="M261" s="3">
        <v>46155.417361111096</v>
      </c>
      <c r="N261" s="2" t="s">
        <v>707</v>
      </c>
      <c r="O261" s="3">
        <v>46175.417361111096</v>
      </c>
      <c r="P261" s="2" t="s">
        <v>707</v>
      </c>
      <c r="Q261" s="34"/>
      <c r="R261" s="1" t="s">
        <v>31</v>
      </c>
    </row>
    <row r="262" spans="2:18">
      <c r="B262" s="2" t="s">
        <v>1786</v>
      </c>
      <c r="C262" s="2" t="s">
        <v>922</v>
      </c>
      <c r="D262" s="1">
        <v>3</v>
      </c>
      <c r="E262" s="2" t="s">
        <v>1787</v>
      </c>
      <c r="F262" s="2" t="s">
        <v>1265</v>
      </c>
      <c r="G262" s="45">
        <v>10</v>
      </c>
      <c r="H262" s="45" t="s">
        <v>702</v>
      </c>
      <c r="I262" s="43" t="s">
        <v>702</v>
      </c>
      <c r="J262" s="43" t="s">
        <v>702</v>
      </c>
      <c r="K262" s="30">
        <v>175000</v>
      </c>
      <c r="L262" s="43" t="s">
        <v>702</v>
      </c>
      <c r="M262" s="3">
        <v>46155.417361111096</v>
      </c>
      <c r="N262" s="2" t="s">
        <v>707</v>
      </c>
      <c r="O262" s="3">
        <v>46175.417361111096</v>
      </c>
      <c r="P262" s="2" t="s">
        <v>707</v>
      </c>
      <c r="Q262" s="34"/>
      <c r="R262" s="1" t="s">
        <v>31</v>
      </c>
    </row>
    <row r="263" spans="2:18" ht="29" customHeight="1">
      <c r="B263" s="2" t="s">
        <v>1788</v>
      </c>
      <c r="C263" s="2" t="s">
        <v>922</v>
      </c>
      <c r="D263" s="1">
        <v>4</v>
      </c>
      <c r="E263" s="2" t="s">
        <v>1789</v>
      </c>
      <c r="F263" s="2" t="s">
        <v>1268</v>
      </c>
      <c r="G263" s="45" t="s">
        <v>702</v>
      </c>
      <c r="H263" s="45">
        <v>2</v>
      </c>
      <c r="I263" s="43" t="s">
        <v>702</v>
      </c>
      <c r="J263" s="43" t="s">
        <v>702</v>
      </c>
      <c r="K263" s="30">
        <v>50000</v>
      </c>
      <c r="L263" s="43" t="s">
        <v>702</v>
      </c>
      <c r="M263" s="3">
        <v>46155.417361111096</v>
      </c>
      <c r="N263" s="2" t="s">
        <v>707</v>
      </c>
      <c r="O263" s="3">
        <v>46175.417361111096</v>
      </c>
      <c r="P263" s="2" t="s">
        <v>707</v>
      </c>
      <c r="Q263" s="34"/>
      <c r="R263" s="1" t="s">
        <v>31</v>
      </c>
    </row>
    <row r="264" spans="2:18">
      <c r="B264" s="2" t="s">
        <v>1790</v>
      </c>
      <c r="C264" s="2" t="s">
        <v>925</v>
      </c>
      <c r="D264" s="1">
        <v>1</v>
      </c>
      <c r="E264" s="2" t="s">
        <v>1791</v>
      </c>
      <c r="F264" s="2" t="s">
        <v>1271</v>
      </c>
      <c r="G264" s="45" t="s">
        <v>702</v>
      </c>
      <c r="H264" s="1">
        <v>3</v>
      </c>
      <c r="I264" s="43" t="s">
        <v>702</v>
      </c>
      <c r="J264" s="43" t="s">
        <v>702</v>
      </c>
      <c r="K264" s="30">
        <v>96000</v>
      </c>
      <c r="L264" s="43" t="s">
        <v>702</v>
      </c>
      <c r="M264" s="3">
        <v>46155.512499999997</v>
      </c>
      <c r="N264" s="2" t="s">
        <v>711</v>
      </c>
      <c r="O264" s="3">
        <v>46175.512499999997</v>
      </c>
      <c r="P264" s="2" t="s">
        <v>711</v>
      </c>
      <c r="Q264" s="34"/>
      <c r="R264" s="1" t="s">
        <v>31</v>
      </c>
    </row>
    <row r="265" spans="2:18">
      <c r="B265" s="2" t="s">
        <v>1792</v>
      </c>
      <c r="C265" s="2" t="s">
        <v>925</v>
      </c>
      <c r="D265" s="1">
        <v>2</v>
      </c>
      <c r="E265" s="2" t="s">
        <v>1793</v>
      </c>
      <c r="F265" s="2" t="s">
        <v>1274</v>
      </c>
      <c r="G265" s="1">
        <v>9</v>
      </c>
      <c r="H265" s="45" t="s">
        <v>702</v>
      </c>
      <c r="I265" s="43" t="s">
        <v>702</v>
      </c>
      <c r="J265" s="43" t="s">
        <v>702</v>
      </c>
      <c r="K265" s="30">
        <v>112500</v>
      </c>
      <c r="L265" s="43" t="s">
        <v>702</v>
      </c>
      <c r="M265" s="3">
        <v>46155.512499999997</v>
      </c>
      <c r="N265" s="2" t="s">
        <v>711</v>
      </c>
      <c r="O265" s="3">
        <v>46175.512499999997</v>
      </c>
      <c r="P265" s="2" t="s">
        <v>711</v>
      </c>
      <c r="Q265" s="34"/>
      <c r="R265" s="1" t="s">
        <v>31</v>
      </c>
    </row>
    <row r="266" spans="2:18" ht="29" customHeight="1">
      <c r="B266" s="2" t="s">
        <v>1794</v>
      </c>
      <c r="C266" s="2" t="s">
        <v>925</v>
      </c>
      <c r="D266" s="1">
        <v>3</v>
      </c>
      <c r="E266" s="2" t="s">
        <v>1795</v>
      </c>
      <c r="F266" s="2" t="s">
        <v>1277</v>
      </c>
      <c r="G266" s="45" t="s">
        <v>702</v>
      </c>
      <c r="H266" s="1">
        <v>2</v>
      </c>
      <c r="I266" s="43" t="s">
        <v>702</v>
      </c>
      <c r="J266" s="43" t="s">
        <v>702</v>
      </c>
      <c r="K266" s="30">
        <v>70000</v>
      </c>
      <c r="L266" s="43" t="s">
        <v>702</v>
      </c>
      <c r="M266" s="3">
        <v>46155.512499999997</v>
      </c>
      <c r="N266" s="2" t="s">
        <v>711</v>
      </c>
      <c r="O266" s="3">
        <v>46175.512499999997</v>
      </c>
      <c r="P266" s="2" t="s">
        <v>711</v>
      </c>
      <c r="Q266" s="34"/>
      <c r="R266" s="1" t="s">
        <v>31</v>
      </c>
    </row>
    <row r="267" spans="2:18">
      <c r="B267" s="2" t="s">
        <v>1796</v>
      </c>
      <c r="C267" s="2" t="s">
        <v>925</v>
      </c>
      <c r="D267" s="1">
        <v>4</v>
      </c>
      <c r="E267" s="2" t="s">
        <v>1797</v>
      </c>
      <c r="F267" s="2" t="s">
        <v>1280</v>
      </c>
      <c r="G267" s="1">
        <v>1</v>
      </c>
      <c r="H267" s="45" t="s">
        <v>702</v>
      </c>
      <c r="I267" s="43" t="s">
        <v>702</v>
      </c>
      <c r="J267" s="43" t="s">
        <v>702</v>
      </c>
      <c r="K267" s="30">
        <v>15000</v>
      </c>
      <c r="L267" s="43" t="s">
        <v>702</v>
      </c>
      <c r="M267" s="3">
        <v>46155.512499999997</v>
      </c>
      <c r="N267" s="2" t="s">
        <v>711</v>
      </c>
      <c r="O267" s="3">
        <v>46175.512499999997</v>
      </c>
      <c r="P267" s="2" t="s">
        <v>711</v>
      </c>
      <c r="Q267" s="34"/>
      <c r="R267" s="1" t="s">
        <v>31</v>
      </c>
    </row>
    <row r="268" spans="2:18">
      <c r="B268" s="2" t="s">
        <v>1798</v>
      </c>
      <c r="C268" s="2" t="s">
        <v>928</v>
      </c>
      <c r="D268" s="1">
        <v>1</v>
      </c>
      <c r="E268" s="2" t="s">
        <v>1799</v>
      </c>
      <c r="F268" s="2" t="s">
        <v>1283</v>
      </c>
      <c r="G268" s="45">
        <v>8</v>
      </c>
      <c r="H268" s="45" t="s">
        <v>702</v>
      </c>
      <c r="I268" s="43" t="s">
        <v>702</v>
      </c>
      <c r="J268" s="43" t="s">
        <v>702</v>
      </c>
      <c r="K268" s="30">
        <v>140000</v>
      </c>
      <c r="L268" s="43" t="s">
        <v>702</v>
      </c>
      <c r="M268" s="3">
        <v>46156.649305555598</v>
      </c>
      <c r="N268" s="2" t="s">
        <v>715</v>
      </c>
      <c r="O268" s="3">
        <v>46176.649305555598</v>
      </c>
      <c r="P268" s="2" t="s">
        <v>715</v>
      </c>
      <c r="Q268" s="34"/>
      <c r="R268" s="1" t="s">
        <v>31</v>
      </c>
    </row>
    <row r="269" spans="2:18" ht="29" customHeight="1">
      <c r="B269" s="2" t="s">
        <v>1800</v>
      </c>
      <c r="C269" s="2" t="s">
        <v>928</v>
      </c>
      <c r="D269" s="1">
        <v>2</v>
      </c>
      <c r="E269" s="2" t="s">
        <v>1801</v>
      </c>
      <c r="F269" s="2" t="s">
        <v>1286</v>
      </c>
      <c r="G269" s="45" t="s">
        <v>702</v>
      </c>
      <c r="H269" s="45">
        <v>2</v>
      </c>
      <c r="I269" s="43" t="s">
        <v>702</v>
      </c>
      <c r="J269" s="43" t="s">
        <v>702</v>
      </c>
      <c r="K269" s="30">
        <v>60000</v>
      </c>
      <c r="L269" s="43" t="s">
        <v>702</v>
      </c>
      <c r="M269" s="3">
        <v>46156.649305555598</v>
      </c>
      <c r="N269" s="2" t="s">
        <v>715</v>
      </c>
      <c r="O269" s="3">
        <v>46176.649305555598</v>
      </c>
      <c r="P269" s="2" t="s">
        <v>715</v>
      </c>
      <c r="Q269" s="34"/>
      <c r="R269" s="1" t="s">
        <v>31</v>
      </c>
    </row>
    <row r="270" spans="2:18">
      <c r="B270" s="2" t="s">
        <v>1802</v>
      </c>
      <c r="C270" s="2" t="s">
        <v>928</v>
      </c>
      <c r="D270" s="1">
        <v>3</v>
      </c>
      <c r="E270" s="2" t="s">
        <v>1803</v>
      </c>
      <c r="F270" s="2" t="s">
        <v>1289</v>
      </c>
      <c r="G270" s="45">
        <v>12</v>
      </c>
      <c r="H270" s="45" t="s">
        <v>702</v>
      </c>
      <c r="I270" s="43" t="s">
        <v>702</v>
      </c>
      <c r="J270" s="43" t="s">
        <v>702</v>
      </c>
      <c r="K270" s="30">
        <v>150000</v>
      </c>
      <c r="L270" s="43" t="s">
        <v>702</v>
      </c>
      <c r="M270" s="3">
        <v>46156.649305555598</v>
      </c>
      <c r="N270" s="2" t="s">
        <v>715</v>
      </c>
      <c r="O270" s="3">
        <v>46176.649305555598</v>
      </c>
      <c r="P270" s="2" t="s">
        <v>715</v>
      </c>
      <c r="Q270" s="34"/>
      <c r="R270" s="1" t="s">
        <v>31</v>
      </c>
    </row>
    <row r="271" spans="2:18">
      <c r="B271" s="2" t="s">
        <v>1804</v>
      </c>
      <c r="C271" s="2" t="s">
        <v>928</v>
      </c>
      <c r="D271" s="1">
        <v>4</v>
      </c>
      <c r="E271" s="2" t="s">
        <v>1805</v>
      </c>
      <c r="F271" s="2" t="s">
        <v>1292</v>
      </c>
      <c r="G271" s="45" t="s">
        <v>702</v>
      </c>
      <c r="H271" s="45">
        <v>1</v>
      </c>
      <c r="I271" s="43" t="s">
        <v>702</v>
      </c>
      <c r="J271" s="43" t="s">
        <v>702</v>
      </c>
      <c r="K271" s="30">
        <v>50000</v>
      </c>
      <c r="L271" s="43" t="s">
        <v>702</v>
      </c>
      <c r="M271" s="3">
        <v>46156.649305555598</v>
      </c>
      <c r="N271" s="2" t="s">
        <v>715</v>
      </c>
      <c r="O271" s="3">
        <v>46176.649305555598</v>
      </c>
      <c r="P271" s="2" t="s">
        <v>715</v>
      </c>
      <c r="Q271" s="34"/>
      <c r="R271" s="1" t="s">
        <v>31</v>
      </c>
    </row>
    <row r="272" spans="2:18" ht="29" customHeight="1">
      <c r="B272" s="2" t="s">
        <v>1806</v>
      </c>
      <c r="C272" s="2" t="s">
        <v>931</v>
      </c>
      <c r="D272" s="1">
        <v>1</v>
      </c>
      <c r="E272" s="2" t="s">
        <v>1807</v>
      </c>
      <c r="F272" s="2" t="s">
        <v>1295</v>
      </c>
      <c r="G272" s="45" t="s">
        <v>702</v>
      </c>
      <c r="H272" s="1">
        <v>2</v>
      </c>
      <c r="I272" s="43" t="s">
        <v>702</v>
      </c>
      <c r="J272" s="43" t="s">
        <v>702</v>
      </c>
      <c r="K272" s="30">
        <v>30000</v>
      </c>
      <c r="L272" s="43" t="s">
        <v>702</v>
      </c>
      <c r="M272" s="3">
        <v>46156.411111111098</v>
      </c>
      <c r="N272" s="2" t="s">
        <v>719</v>
      </c>
      <c r="O272" s="3">
        <v>46176.411111111098</v>
      </c>
      <c r="P272" s="2" t="s">
        <v>719</v>
      </c>
      <c r="Q272" s="34"/>
      <c r="R272" s="1" t="s">
        <v>31</v>
      </c>
    </row>
    <row r="273" spans="2:18">
      <c r="B273" s="2" t="s">
        <v>1808</v>
      </c>
      <c r="C273" s="2" t="s">
        <v>931</v>
      </c>
      <c r="D273" s="1">
        <v>2</v>
      </c>
      <c r="E273" s="2" t="s">
        <v>1809</v>
      </c>
      <c r="F273" s="2" t="s">
        <v>1298</v>
      </c>
      <c r="G273" s="45">
        <v>11</v>
      </c>
      <c r="H273" s="45" t="s">
        <v>702</v>
      </c>
      <c r="I273" s="43" t="s">
        <v>702</v>
      </c>
      <c r="J273" s="43" t="s">
        <v>702</v>
      </c>
      <c r="K273" s="30">
        <v>55000</v>
      </c>
      <c r="L273" s="43" t="s">
        <v>702</v>
      </c>
      <c r="M273" s="3">
        <v>46156.411111111098</v>
      </c>
      <c r="N273" s="2" t="s">
        <v>719</v>
      </c>
      <c r="O273" s="3">
        <v>46176.411111111098</v>
      </c>
      <c r="P273" s="2" t="s">
        <v>719</v>
      </c>
      <c r="Q273" s="34"/>
      <c r="R273" s="1" t="s">
        <v>31</v>
      </c>
    </row>
    <row r="274" spans="2:18">
      <c r="B274" s="2" t="s">
        <v>1810</v>
      </c>
      <c r="C274" s="2" t="s">
        <v>931</v>
      </c>
      <c r="D274" s="1">
        <v>3</v>
      </c>
      <c r="E274" s="2" t="s">
        <v>1811</v>
      </c>
      <c r="F274" s="2" t="s">
        <v>1301</v>
      </c>
      <c r="G274" s="45" t="s">
        <v>702</v>
      </c>
      <c r="H274" s="45">
        <v>1</v>
      </c>
      <c r="I274" s="43" t="s">
        <v>702</v>
      </c>
      <c r="J274" s="43" t="s">
        <v>702</v>
      </c>
      <c r="K274" s="30">
        <v>25000</v>
      </c>
      <c r="L274" s="43" t="s">
        <v>702</v>
      </c>
      <c r="M274" s="3">
        <v>46156.411111111098</v>
      </c>
      <c r="N274" s="2" t="s">
        <v>719</v>
      </c>
      <c r="O274" s="3">
        <v>46176.411111111098</v>
      </c>
      <c r="P274" s="2" t="s">
        <v>719</v>
      </c>
      <c r="Q274" s="34"/>
      <c r="R274" s="1" t="s">
        <v>31</v>
      </c>
    </row>
    <row r="275" spans="2:18">
      <c r="B275" s="2" t="s">
        <v>1812</v>
      </c>
      <c r="C275" s="2" t="s">
        <v>931</v>
      </c>
      <c r="D275" s="1">
        <v>4</v>
      </c>
      <c r="E275" s="2" t="s">
        <v>1813</v>
      </c>
      <c r="F275" s="2" t="s">
        <v>1304</v>
      </c>
      <c r="G275" s="45">
        <v>3</v>
      </c>
      <c r="H275" s="45" t="s">
        <v>702</v>
      </c>
      <c r="I275" s="43" t="s">
        <v>702</v>
      </c>
      <c r="J275" s="43" t="s">
        <v>702</v>
      </c>
      <c r="K275" s="30">
        <v>18000</v>
      </c>
      <c r="L275" s="43" t="s">
        <v>702</v>
      </c>
      <c r="M275" s="3">
        <v>46156.411111111098</v>
      </c>
      <c r="N275" s="2" t="s">
        <v>719</v>
      </c>
      <c r="O275" s="3">
        <v>46176.411111111098</v>
      </c>
      <c r="P275" s="2" t="s">
        <v>719</v>
      </c>
      <c r="Q275" s="34"/>
      <c r="R275" s="1" t="s">
        <v>31</v>
      </c>
    </row>
    <row r="276" spans="2:18">
      <c r="B276" s="2" t="s">
        <v>1814</v>
      </c>
      <c r="C276" s="2" t="s">
        <v>934</v>
      </c>
      <c r="D276" s="1">
        <v>1</v>
      </c>
      <c r="E276" s="2" t="s">
        <v>1815</v>
      </c>
      <c r="F276" s="2" t="s">
        <v>1307</v>
      </c>
      <c r="G276" s="1">
        <v>10</v>
      </c>
      <c r="H276" s="45" t="s">
        <v>702</v>
      </c>
      <c r="I276" s="43" t="s">
        <v>702</v>
      </c>
      <c r="J276" s="43" t="s">
        <v>702</v>
      </c>
      <c r="K276" s="30">
        <v>80000</v>
      </c>
      <c r="L276" s="43" t="s">
        <v>702</v>
      </c>
      <c r="M276" s="3">
        <v>46157.547916666699</v>
      </c>
      <c r="N276" s="2" t="s">
        <v>722</v>
      </c>
      <c r="O276" s="3">
        <v>46177.547916666699</v>
      </c>
      <c r="P276" s="2" t="s">
        <v>722</v>
      </c>
      <c r="Q276" s="34"/>
      <c r="R276" s="1" t="s">
        <v>31</v>
      </c>
    </row>
    <row r="277" spans="2:18">
      <c r="B277" s="2" t="s">
        <v>1816</v>
      </c>
      <c r="C277" s="2" t="s">
        <v>934</v>
      </c>
      <c r="D277" s="1">
        <v>2</v>
      </c>
      <c r="E277" s="2" t="s">
        <v>1817</v>
      </c>
      <c r="F277" s="2" t="s">
        <v>1310</v>
      </c>
      <c r="G277" s="45" t="s">
        <v>702</v>
      </c>
      <c r="H277" s="1">
        <v>1</v>
      </c>
      <c r="I277" s="43" t="s">
        <v>702</v>
      </c>
      <c r="J277" s="43" t="s">
        <v>702</v>
      </c>
      <c r="K277" s="30">
        <v>40000</v>
      </c>
      <c r="L277" s="43" t="s">
        <v>702</v>
      </c>
      <c r="M277" s="3">
        <v>46157.547916666699</v>
      </c>
      <c r="N277" s="2" t="s">
        <v>722</v>
      </c>
      <c r="O277" s="3">
        <v>46177.547916666699</v>
      </c>
      <c r="P277" s="2" t="s">
        <v>722</v>
      </c>
      <c r="Q277" s="34"/>
      <c r="R277" s="1" t="s">
        <v>31</v>
      </c>
    </row>
    <row r="278" spans="2:18">
      <c r="B278" s="2" t="s">
        <v>1818</v>
      </c>
      <c r="C278" s="2" t="s">
        <v>934</v>
      </c>
      <c r="D278" s="1">
        <v>3</v>
      </c>
      <c r="E278" s="2" t="s">
        <v>1819</v>
      </c>
      <c r="F278" s="2" t="s">
        <v>1313</v>
      </c>
      <c r="G278" s="1">
        <v>2</v>
      </c>
      <c r="H278" s="45" t="s">
        <v>702</v>
      </c>
      <c r="I278" s="43" t="s">
        <v>702</v>
      </c>
      <c r="J278" s="43" t="s">
        <v>702</v>
      </c>
      <c r="K278" s="30">
        <v>25000</v>
      </c>
      <c r="L278" s="43" t="s">
        <v>702</v>
      </c>
      <c r="M278" s="3">
        <v>46157.547916666699</v>
      </c>
      <c r="N278" s="2" t="s">
        <v>722</v>
      </c>
      <c r="O278" s="3">
        <v>46177.547916666699</v>
      </c>
      <c r="P278" s="2" t="s">
        <v>722</v>
      </c>
      <c r="Q278" s="34"/>
      <c r="R278" s="1" t="s">
        <v>31</v>
      </c>
    </row>
    <row r="279" spans="2:18" ht="29" customHeight="1">
      <c r="B279" s="2" t="s">
        <v>1820</v>
      </c>
      <c r="C279" s="2" t="s">
        <v>934</v>
      </c>
      <c r="D279" s="1">
        <v>4</v>
      </c>
      <c r="E279" s="2" t="s">
        <v>1821</v>
      </c>
      <c r="F279" s="2" t="s">
        <v>1316</v>
      </c>
      <c r="G279" s="45" t="s">
        <v>702</v>
      </c>
      <c r="H279" s="1">
        <v>3</v>
      </c>
      <c r="I279" s="43" t="s">
        <v>702</v>
      </c>
      <c r="J279" s="43" t="s">
        <v>702</v>
      </c>
      <c r="K279" s="30">
        <v>150000</v>
      </c>
      <c r="L279" s="43" t="s">
        <v>702</v>
      </c>
      <c r="M279" s="3">
        <v>46157.547916666699</v>
      </c>
      <c r="N279" s="2" t="s">
        <v>722</v>
      </c>
      <c r="O279" s="3">
        <v>46177.547916666699</v>
      </c>
      <c r="P279" s="2" t="s">
        <v>722</v>
      </c>
      <c r="Q279" s="34"/>
      <c r="R279" s="1" t="s">
        <v>31</v>
      </c>
    </row>
    <row r="280" spans="2:18">
      <c r="B280" s="2" t="s">
        <v>1822</v>
      </c>
      <c r="C280" s="2" t="s">
        <v>937</v>
      </c>
      <c r="D280" s="1">
        <v>1</v>
      </c>
      <c r="E280" s="2" t="s">
        <v>1823</v>
      </c>
      <c r="F280" s="2" t="s">
        <v>1319</v>
      </c>
      <c r="G280" s="45" t="s">
        <v>702</v>
      </c>
      <c r="H280" s="45">
        <v>1</v>
      </c>
      <c r="I280" s="43" t="s">
        <v>702</v>
      </c>
      <c r="J280" s="43" t="s">
        <v>702</v>
      </c>
      <c r="K280" s="30">
        <v>60000</v>
      </c>
      <c r="L280" s="43" t="s">
        <v>702</v>
      </c>
      <c r="M280" s="3">
        <v>46157.6430555556</v>
      </c>
      <c r="N280" s="2" t="s">
        <v>725</v>
      </c>
      <c r="O280" s="3">
        <v>46177.6430555556</v>
      </c>
      <c r="P280" s="2" t="s">
        <v>725</v>
      </c>
      <c r="Q280" s="34"/>
      <c r="R280" s="1" t="s">
        <v>31</v>
      </c>
    </row>
    <row r="281" spans="2:18">
      <c r="B281" s="2" t="s">
        <v>1824</v>
      </c>
      <c r="C281" s="2" t="s">
        <v>937</v>
      </c>
      <c r="D281" s="1">
        <v>2</v>
      </c>
      <c r="E281" s="2" t="s">
        <v>1825</v>
      </c>
      <c r="F281" s="2" t="s">
        <v>1259</v>
      </c>
      <c r="G281" s="45">
        <v>1</v>
      </c>
      <c r="H281" s="45" t="s">
        <v>702</v>
      </c>
      <c r="I281" s="43" t="s">
        <v>702</v>
      </c>
      <c r="J281" s="43" t="s">
        <v>702</v>
      </c>
      <c r="K281" s="30">
        <v>12500</v>
      </c>
      <c r="L281" s="43" t="s">
        <v>702</v>
      </c>
      <c r="M281" s="3">
        <v>46157.6430555556</v>
      </c>
      <c r="N281" s="2" t="s">
        <v>725</v>
      </c>
      <c r="O281" s="3">
        <v>46177.6430555556</v>
      </c>
      <c r="P281" s="2" t="s">
        <v>725</v>
      </c>
      <c r="Q281" s="34"/>
      <c r="R281" s="1" t="s">
        <v>31</v>
      </c>
    </row>
    <row r="282" spans="2:18" ht="29" customHeight="1">
      <c r="B282" s="2" t="s">
        <v>1826</v>
      </c>
      <c r="C282" s="2" t="s">
        <v>937</v>
      </c>
      <c r="D282" s="1">
        <v>3</v>
      </c>
      <c r="E282" s="2" t="s">
        <v>1827</v>
      </c>
      <c r="F282" s="2" t="s">
        <v>1262</v>
      </c>
      <c r="G282" s="45" t="s">
        <v>702</v>
      </c>
      <c r="H282" s="45">
        <v>3</v>
      </c>
      <c r="I282" s="43" t="s">
        <v>702</v>
      </c>
      <c r="J282" s="43" t="s">
        <v>702</v>
      </c>
      <c r="K282" s="30">
        <v>127500</v>
      </c>
      <c r="L282" s="43" t="s">
        <v>702</v>
      </c>
      <c r="M282" s="3">
        <v>46157.6430555556</v>
      </c>
      <c r="N282" s="2" t="s">
        <v>725</v>
      </c>
      <c r="O282" s="3">
        <v>46177.6430555556</v>
      </c>
      <c r="P282" s="2" t="s">
        <v>725</v>
      </c>
      <c r="Q282" s="34"/>
      <c r="R282" s="1" t="s">
        <v>31</v>
      </c>
    </row>
    <row r="283" spans="2:18" ht="29" customHeight="1">
      <c r="B283" s="2" t="s">
        <v>1828</v>
      </c>
      <c r="C283" s="2" t="s">
        <v>937</v>
      </c>
      <c r="D283" s="1">
        <v>4</v>
      </c>
      <c r="E283" s="2" t="s">
        <v>1829</v>
      </c>
      <c r="F283" s="2" t="s">
        <v>1265</v>
      </c>
      <c r="G283" s="45">
        <v>5</v>
      </c>
      <c r="H283" s="45" t="s">
        <v>702</v>
      </c>
      <c r="I283" s="43" t="s">
        <v>702</v>
      </c>
      <c r="J283" s="43" t="s">
        <v>702</v>
      </c>
      <c r="K283" s="30">
        <v>87500</v>
      </c>
      <c r="L283" s="43" t="s">
        <v>702</v>
      </c>
      <c r="M283" s="3">
        <v>46157.6430555556</v>
      </c>
      <c r="N283" s="2" t="s">
        <v>725</v>
      </c>
      <c r="O283" s="3">
        <v>46177.6430555556</v>
      </c>
      <c r="P283" s="2" t="s">
        <v>725</v>
      </c>
      <c r="Q283" s="34"/>
      <c r="R283" s="1" t="s">
        <v>31</v>
      </c>
    </row>
    <row r="284" spans="2:18">
      <c r="B284" s="2" t="s">
        <v>1830</v>
      </c>
      <c r="C284" s="2" t="s">
        <v>940</v>
      </c>
      <c r="D284" s="1">
        <v>1</v>
      </c>
      <c r="E284" s="2" t="s">
        <v>1831</v>
      </c>
      <c r="F284" s="2" t="s">
        <v>1268</v>
      </c>
      <c r="G284" s="1">
        <v>12</v>
      </c>
      <c r="H284" s="45" t="s">
        <v>702</v>
      </c>
      <c r="I284" s="43" t="s">
        <v>702</v>
      </c>
      <c r="J284" s="43" t="s">
        <v>702</v>
      </c>
      <c r="K284" s="30">
        <v>90000</v>
      </c>
      <c r="L284" s="43" t="s">
        <v>702</v>
      </c>
      <c r="M284" s="3">
        <v>46158.404861111099</v>
      </c>
      <c r="N284" s="2" t="s">
        <v>728</v>
      </c>
      <c r="O284" s="3">
        <v>46178.404861111099</v>
      </c>
      <c r="P284" s="2" t="s">
        <v>728</v>
      </c>
      <c r="Q284" s="34"/>
      <c r="R284" s="1" t="s">
        <v>31</v>
      </c>
    </row>
    <row r="285" spans="2:18" ht="29" customHeight="1">
      <c r="B285" s="2" t="s">
        <v>1832</v>
      </c>
      <c r="C285" s="2" t="s">
        <v>940</v>
      </c>
      <c r="D285" s="1">
        <v>2</v>
      </c>
      <c r="E285" s="2" t="s">
        <v>1833</v>
      </c>
      <c r="F285" s="2" t="s">
        <v>1271</v>
      </c>
      <c r="G285" s="45" t="s">
        <v>702</v>
      </c>
      <c r="H285" s="1">
        <v>3</v>
      </c>
      <c r="I285" s="43" t="s">
        <v>702</v>
      </c>
      <c r="J285" s="43" t="s">
        <v>702</v>
      </c>
      <c r="K285" s="30">
        <v>96000</v>
      </c>
      <c r="L285" s="43" t="s">
        <v>702</v>
      </c>
      <c r="M285" s="3">
        <v>46158.404861111099</v>
      </c>
      <c r="N285" s="2" t="s">
        <v>728</v>
      </c>
      <c r="O285" s="3">
        <v>46178.404861111099</v>
      </c>
      <c r="P285" s="2" t="s">
        <v>728</v>
      </c>
      <c r="Q285" s="34"/>
      <c r="R285" s="1" t="s">
        <v>31</v>
      </c>
    </row>
    <row r="286" spans="2:18" ht="29" customHeight="1">
      <c r="B286" s="2" t="s">
        <v>1834</v>
      </c>
      <c r="C286" s="2" t="s">
        <v>940</v>
      </c>
      <c r="D286" s="1">
        <v>3</v>
      </c>
      <c r="E286" s="2" t="s">
        <v>1835</v>
      </c>
      <c r="F286" s="2" t="s">
        <v>1274</v>
      </c>
      <c r="G286" s="1">
        <v>4</v>
      </c>
      <c r="H286" s="45" t="s">
        <v>702</v>
      </c>
      <c r="I286" s="43" t="s">
        <v>702</v>
      </c>
      <c r="J286" s="43" t="s">
        <v>702</v>
      </c>
      <c r="K286" s="30">
        <v>50000</v>
      </c>
      <c r="L286" s="43" t="s">
        <v>702</v>
      </c>
      <c r="M286" s="3">
        <v>46158.404861111099</v>
      </c>
      <c r="N286" s="2" t="s">
        <v>728</v>
      </c>
      <c r="O286" s="3">
        <v>46178.404861111099</v>
      </c>
      <c r="P286" s="2" t="s">
        <v>728</v>
      </c>
      <c r="Q286" s="34"/>
      <c r="R286" s="1" t="s">
        <v>31</v>
      </c>
    </row>
    <row r="287" spans="2:18">
      <c r="B287" s="2" t="s">
        <v>1836</v>
      </c>
      <c r="C287" s="2" t="s">
        <v>940</v>
      </c>
      <c r="D287" s="1">
        <v>4</v>
      </c>
      <c r="E287" s="2" t="s">
        <v>1837</v>
      </c>
      <c r="F287" s="2" t="s">
        <v>1277</v>
      </c>
      <c r="G287" s="45" t="s">
        <v>702</v>
      </c>
      <c r="H287" s="1">
        <v>2</v>
      </c>
      <c r="I287" s="43" t="s">
        <v>702</v>
      </c>
      <c r="J287" s="43" t="s">
        <v>702</v>
      </c>
      <c r="K287" s="30">
        <v>70000</v>
      </c>
      <c r="L287" s="43" t="s">
        <v>702</v>
      </c>
      <c r="M287" s="3">
        <v>46158.404861111099</v>
      </c>
      <c r="N287" s="2" t="s">
        <v>728</v>
      </c>
      <c r="O287" s="3">
        <v>46178.404861111099</v>
      </c>
      <c r="P287" s="2" t="s">
        <v>728</v>
      </c>
      <c r="Q287" s="34"/>
      <c r="R287" s="1" t="s">
        <v>31</v>
      </c>
    </row>
    <row r="288" spans="2:18" ht="29" customHeight="1">
      <c r="B288" s="2" t="s">
        <v>1838</v>
      </c>
      <c r="C288" s="2" t="s">
        <v>943</v>
      </c>
      <c r="D288" s="1">
        <v>1</v>
      </c>
      <c r="E288" s="2" t="s">
        <v>1839</v>
      </c>
      <c r="F288" s="2" t="s">
        <v>1280</v>
      </c>
      <c r="G288" s="45" t="s">
        <v>702</v>
      </c>
      <c r="H288" s="1">
        <v>3</v>
      </c>
      <c r="I288" s="43" t="s">
        <v>702</v>
      </c>
      <c r="J288" s="43" t="s">
        <v>702</v>
      </c>
      <c r="K288" s="30">
        <v>127500</v>
      </c>
      <c r="L288" s="43" t="s">
        <v>702</v>
      </c>
      <c r="M288" s="3">
        <v>46158.541666666701</v>
      </c>
      <c r="N288" s="2" t="s">
        <v>731</v>
      </c>
      <c r="O288" s="3">
        <v>46178.541666666701</v>
      </c>
      <c r="P288" s="2" t="s">
        <v>731</v>
      </c>
      <c r="Q288" s="34"/>
      <c r="R288" s="1" t="s">
        <v>31</v>
      </c>
    </row>
    <row r="289" spans="2:18" ht="29" customHeight="1">
      <c r="B289" s="2" t="s">
        <v>1840</v>
      </c>
      <c r="C289" s="2" t="s">
        <v>943</v>
      </c>
      <c r="D289" s="1">
        <v>2</v>
      </c>
      <c r="E289" s="2" t="s">
        <v>1841</v>
      </c>
      <c r="F289" s="2" t="s">
        <v>1283</v>
      </c>
      <c r="G289" s="1">
        <v>3</v>
      </c>
      <c r="H289" s="45" t="s">
        <v>702</v>
      </c>
      <c r="I289" s="43" t="s">
        <v>702</v>
      </c>
      <c r="J289" s="43" t="s">
        <v>702</v>
      </c>
      <c r="K289" s="30">
        <v>52500</v>
      </c>
      <c r="L289" s="43" t="s">
        <v>702</v>
      </c>
      <c r="M289" s="3">
        <v>46158.541666666701</v>
      </c>
      <c r="N289" s="2" t="s">
        <v>731</v>
      </c>
      <c r="O289" s="3">
        <v>46178.541666666701</v>
      </c>
      <c r="P289" s="2" t="s">
        <v>731</v>
      </c>
      <c r="Q289" s="34"/>
      <c r="R289" s="1" t="s">
        <v>31</v>
      </c>
    </row>
    <row r="290" spans="2:18">
      <c r="B290" s="2" t="s">
        <v>1842</v>
      </c>
      <c r="C290" s="2" t="s">
        <v>943</v>
      </c>
      <c r="D290" s="1">
        <v>3</v>
      </c>
      <c r="E290" s="2" t="s">
        <v>1843</v>
      </c>
      <c r="F290" s="2" t="s">
        <v>1286</v>
      </c>
      <c r="G290" s="45" t="s">
        <v>702</v>
      </c>
      <c r="H290" s="45">
        <v>2</v>
      </c>
      <c r="I290" s="43" t="s">
        <v>702</v>
      </c>
      <c r="J290" s="43" t="s">
        <v>702</v>
      </c>
      <c r="K290" s="30">
        <v>60000</v>
      </c>
      <c r="L290" s="43" t="s">
        <v>702</v>
      </c>
      <c r="M290" s="3">
        <v>46158.541666666701</v>
      </c>
      <c r="N290" s="2" t="s">
        <v>731</v>
      </c>
      <c r="O290" s="3">
        <v>46178.541666666701</v>
      </c>
      <c r="P290" s="2" t="s">
        <v>731</v>
      </c>
      <c r="Q290" s="34"/>
      <c r="R290" s="1" t="s">
        <v>31</v>
      </c>
    </row>
    <row r="291" spans="2:18">
      <c r="B291" s="2" t="s">
        <v>1844</v>
      </c>
      <c r="C291" s="2" t="s">
        <v>943</v>
      </c>
      <c r="D291" s="1">
        <v>4</v>
      </c>
      <c r="E291" s="2" t="s">
        <v>1845</v>
      </c>
      <c r="F291" s="2" t="s">
        <v>1289</v>
      </c>
      <c r="G291" s="45">
        <v>7</v>
      </c>
      <c r="H291" s="45" t="s">
        <v>702</v>
      </c>
      <c r="I291" s="43" t="s">
        <v>702</v>
      </c>
      <c r="J291" s="43" t="s">
        <v>702</v>
      </c>
      <c r="K291" s="30">
        <v>87500</v>
      </c>
      <c r="L291" s="43" t="s">
        <v>702</v>
      </c>
      <c r="M291" s="3">
        <v>46158.541666666701</v>
      </c>
      <c r="N291" s="2" t="s">
        <v>731</v>
      </c>
      <c r="O291" s="3">
        <v>46178.541666666701</v>
      </c>
      <c r="P291" s="2" t="s">
        <v>731</v>
      </c>
      <c r="Q291" s="34"/>
      <c r="R291" s="1" t="s">
        <v>31</v>
      </c>
    </row>
    <row r="292" spans="2:18" ht="29" customHeight="1">
      <c r="B292" s="2" t="s">
        <v>1846</v>
      </c>
      <c r="C292" s="2" t="s">
        <v>946</v>
      </c>
      <c r="D292" s="1">
        <v>1</v>
      </c>
      <c r="E292" s="2" t="s">
        <v>1847</v>
      </c>
      <c r="F292" s="2" t="s">
        <v>1292</v>
      </c>
      <c r="G292" s="1">
        <v>2</v>
      </c>
      <c r="H292" s="45" t="s">
        <v>702</v>
      </c>
      <c r="I292" s="43" t="s">
        <v>702</v>
      </c>
      <c r="J292" s="43" t="s">
        <v>702</v>
      </c>
      <c r="K292" s="30">
        <v>30000</v>
      </c>
      <c r="L292" s="43" t="s">
        <v>702</v>
      </c>
      <c r="M292" s="3">
        <v>46158.636805555601</v>
      </c>
      <c r="N292" s="2" t="s">
        <v>734</v>
      </c>
      <c r="O292" s="3">
        <v>46178.636805555601</v>
      </c>
      <c r="P292" s="2" t="s">
        <v>734</v>
      </c>
      <c r="Q292" s="34"/>
      <c r="R292" s="1" t="s">
        <v>31</v>
      </c>
    </row>
    <row r="293" spans="2:18">
      <c r="B293" s="2" t="s">
        <v>1848</v>
      </c>
      <c r="C293" s="2" t="s">
        <v>946</v>
      </c>
      <c r="D293" s="1">
        <v>2</v>
      </c>
      <c r="E293" s="2" t="s">
        <v>1849</v>
      </c>
      <c r="F293" s="2" t="s">
        <v>1295</v>
      </c>
      <c r="G293" s="45" t="s">
        <v>702</v>
      </c>
      <c r="H293" s="1">
        <v>2</v>
      </c>
      <c r="I293" s="43" t="s">
        <v>702</v>
      </c>
      <c r="J293" s="43" t="s">
        <v>702</v>
      </c>
      <c r="K293" s="30">
        <v>30000</v>
      </c>
      <c r="L293" s="43" t="s">
        <v>702</v>
      </c>
      <c r="M293" s="3">
        <v>46158.636805555601</v>
      </c>
      <c r="N293" s="2" t="s">
        <v>734</v>
      </c>
      <c r="O293" s="3">
        <v>46178.636805555601</v>
      </c>
      <c r="P293" s="2" t="s">
        <v>734</v>
      </c>
      <c r="Q293" s="34"/>
      <c r="R293" s="1" t="s">
        <v>31</v>
      </c>
    </row>
    <row r="294" spans="2:18">
      <c r="B294" s="2" t="s">
        <v>1850</v>
      </c>
      <c r="C294" s="2" t="s">
        <v>946</v>
      </c>
      <c r="D294" s="1">
        <v>3</v>
      </c>
      <c r="E294" s="2" t="s">
        <v>1851</v>
      </c>
      <c r="F294" s="2" t="s">
        <v>1298</v>
      </c>
      <c r="G294" s="1">
        <v>6</v>
      </c>
      <c r="H294" s="45" t="s">
        <v>702</v>
      </c>
      <c r="I294" s="43" t="s">
        <v>702</v>
      </c>
      <c r="J294" s="43" t="s">
        <v>702</v>
      </c>
      <c r="K294" s="30">
        <v>30000</v>
      </c>
      <c r="L294" s="43" t="s">
        <v>702</v>
      </c>
      <c r="M294" s="3">
        <v>46158.636805555601</v>
      </c>
      <c r="N294" s="2" t="s">
        <v>734</v>
      </c>
      <c r="O294" s="3">
        <v>46178.636805555601</v>
      </c>
      <c r="P294" s="2" t="s">
        <v>734</v>
      </c>
      <c r="Q294" s="34"/>
      <c r="R294" s="1" t="s">
        <v>31</v>
      </c>
    </row>
    <row r="295" spans="2:18">
      <c r="B295" s="2" t="s">
        <v>1852</v>
      </c>
      <c r="C295" s="2" t="s">
        <v>946</v>
      </c>
      <c r="D295" s="1">
        <v>4</v>
      </c>
      <c r="E295" s="2" t="s">
        <v>1853</v>
      </c>
      <c r="F295" s="2" t="s">
        <v>1301</v>
      </c>
      <c r="G295" s="45" t="s">
        <v>702</v>
      </c>
      <c r="H295" s="1">
        <v>1</v>
      </c>
      <c r="I295" s="43" t="s">
        <v>702</v>
      </c>
      <c r="J295" s="43" t="s">
        <v>702</v>
      </c>
      <c r="K295" s="30">
        <v>25000</v>
      </c>
      <c r="L295" s="43" t="s">
        <v>702</v>
      </c>
      <c r="M295" s="3">
        <v>46158.636805555601</v>
      </c>
      <c r="N295" s="2" t="s">
        <v>734</v>
      </c>
      <c r="O295" s="3">
        <v>46178.636805555601</v>
      </c>
      <c r="P295" s="2" t="s">
        <v>734</v>
      </c>
      <c r="Q295" s="34"/>
      <c r="R295" s="1" t="s">
        <v>31</v>
      </c>
    </row>
    <row r="296" spans="2:18">
      <c r="B296" s="2" t="s">
        <v>1854</v>
      </c>
      <c r="C296" s="2" t="s">
        <v>949</v>
      </c>
      <c r="D296" s="1">
        <v>1</v>
      </c>
      <c r="E296" s="2" t="s">
        <v>1855</v>
      </c>
      <c r="F296" s="2" t="s">
        <v>1304</v>
      </c>
      <c r="G296" s="45" t="s">
        <v>702</v>
      </c>
      <c r="H296" s="45">
        <v>2</v>
      </c>
      <c r="I296" s="43" t="s">
        <v>702</v>
      </c>
      <c r="J296" s="43" t="s">
        <v>702</v>
      </c>
      <c r="K296" s="30">
        <v>40000</v>
      </c>
      <c r="L296" s="43" t="s">
        <v>702</v>
      </c>
      <c r="M296" s="3">
        <v>46159.398611111101</v>
      </c>
      <c r="N296" s="2" t="s">
        <v>737</v>
      </c>
      <c r="O296" s="3">
        <v>46179.398611111101</v>
      </c>
      <c r="P296" s="2" t="s">
        <v>737</v>
      </c>
      <c r="Q296" s="34"/>
      <c r="R296" s="1" t="s">
        <v>31</v>
      </c>
    </row>
    <row r="297" spans="2:18">
      <c r="B297" s="2" t="s">
        <v>1856</v>
      </c>
      <c r="C297" s="2" t="s">
        <v>949</v>
      </c>
      <c r="D297" s="1">
        <v>2</v>
      </c>
      <c r="E297" s="2" t="s">
        <v>1857</v>
      </c>
      <c r="F297" s="2" t="s">
        <v>1307</v>
      </c>
      <c r="G297" s="1">
        <v>5</v>
      </c>
      <c r="H297" s="45" t="s">
        <v>702</v>
      </c>
      <c r="I297" s="43" t="s">
        <v>702</v>
      </c>
      <c r="J297" s="43" t="s">
        <v>702</v>
      </c>
      <c r="K297" s="30">
        <v>40000</v>
      </c>
      <c r="L297" s="43" t="s">
        <v>702</v>
      </c>
      <c r="M297" s="3">
        <v>46159.398611111101</v>
      </c>
      <c r="N297" s="2" t="s">
        <v>737</v>
      </c>
      <c r="O297" s="3">
        <v>46179.398611111101</v>
      </c>
      <c r="P297" s="2" t="s">
        <v>737</v>
      </c>
      <c r="Q297" s="34"/>
      <c r="R297" s="1" t="s">
        <v>31</v>
      </c>
    </row>
    <row r="298" spans="2:18">
      <c r="B298" s="2" t="s">
        <v>1858</v>
      </c>
      <c r="C298" s="2" t="s">
        <v>949</v>
      </c>
      <c r="D298" s="1">
        <v>3</v>
      </c>
      <c r="E298" s="2" t="s">
        <v>1859</v>
      </c>
      <c r="F298" s="2" t="s">
        <v>1310</v>
      </c>
      <c r="G298" s="45" t="s">
        <v>702</v>
      </c>
      <c r="H298" s="1">
        <v>1</v>
      </c>
      <c r="I298" s="43" t="s">
        <v>702</v>
      </c>
      <c r="J298" s="43" t="s">
        <v>702</v>
      </c>
      <c r="K298" s="30">
        <v>40000</v>
      </c>
      <c r="L298" s="43" t="s">
        <v>702</v>
      </c>
      <c r="M298" s="3">
        <v>46159.398611111101</v>
      </c>
      <c r="N298" s="2" t="s">
        <v>737</v>
      </c>
      <c r="O298" s="3">
        <v>46179.398611111101</v>
      </c>
      <c r="P298" s="2" t="s">
        <v>737</v>
      </c>
      <c r="Q298" s="34"/>
      <c r="R298" s="1" t="s">
        <v>31</v>
      </c>
    </row>
    <row r="299" spans="2:18">
      <c r="B299" s="2" t="s">
        <v>1860</v>
      </c>
      <c r="C299" s="2" t="s">
        <v>949</v>
      </c>
      <c r="D299" s="1">
        <v>4</v>
      </c>
      <c r="E299" s="2" t="s">
        <v>1861</v>
      </c>
      <c r="F299" s="2" t="s">
        <v>1313</v>
      </c>
      <c r="G299" s="1">
        <v>9</v>
      </c>
      <c r="H299" s="45" t="s">
        <v>702</v>
      </c>
      <c r="I299" s="43" t="s">
        <v>702</v>
      </c>
      <c r="J299" s="43" t="s">
        <v>702</v>
      </c>
      <c r="K299" s="30">
        <v>112500</v>
      </c>
      <c r="L299" s="43" t="s">
        <v>702</v>
      </c>
      <c r="M299" s="3">
        <v>46159.398611111101</v>
      </c>
      <c r="N299" s="2" t="s">
        <v>737</v>
      </c>
      <c r="O299" s="3">
        <v>46179.398611111101</v>
      </c>
      <c r="P299" s="2" t="s">
        <v>737</v>
      </c>
      <c r="Q299" s="34"/>
      <c r="R299" s="1" t="s">
        <v>31</v>
      </c>
    </row>
    <row r="300" spans="2:18">
      <c r="B300" s="2" t="s">
        <v>1862</v>
      </c>
      <c r="C300" s="2" t="s">
        <v>952</v>
      </c>
      <c r="D300" s="1">
        <v>1</v>
      </c>
      <c r="E300" s="2" t="s">
        <v>1863</v>
      </c>
      <c r="F300" s="2" t="s">
        <v>1316</v>
      </c>
      <c r="G300" s="45">
        <v>4</v>
      </c>
      <c r="H300" s="45" t="s">
        <v>702</v>
      </c>
      <c r="I300" s="43" t="s">
        <v>702</v>
      </c>
      <c r="J300" s="43" t="s">
        <v>702</v>
      </c>
      <c r="K300" s="30">
        <v>60000</v>
      </c>
      <c r="L300" s="43" t="s">
        <v>702</v>
      </c>
      <c r="M300" s="3">
        <v>46159.535416666702</v>
      </c>
      <c r="N300" s="2" t="s">
        <v>92</v>
      </c>
      <c r="O300" s="3">
        <v>46179.535416666702</v>
      </c>
      <c r="P300" s="2" t="s">
        <v>92</v>
      </c>
      <c r="Q300" s="34"/>
      <c r="R300" s="1" t="s">
        <v>31</v>
      </c>
    </row>
    <row r="301" spans="2:18">
      <c r="B301" s="2" t="s">
        <v>1864</v>
      </c>
      <c r="C301" s="2" t="s">
        <v>952</v>
      </c>
      <c r="D301" s="1">
        <v>2</v>
      </c>
      <c r="E301" s="2" t="s">
        <v>1865</v>
      </c>
      <c r="F301" s="2" t="s">
        <v>1319</v>
      </c>
      <c r="G301" s="45" t="s">
        <v>702</v>
      </c>
      <c r="H301" s="45">
        <v>1</v>
      </c>
      <c r="I301" s="43" t="s">
        <v>702</v>
      </c>
      <c r="J301" s="43" t="s">
        <v>702</v>
      </c>
      <c r="K301" s="30">
        <v>60000</v>
      </c>
      <c r="L301" s="43" t="s">
        <v>702</v>
      </c>
      <c r="M301" s="3">
        <v>46159.535416666702</v>
      </c>
      <c r="N301" s="2" t="s">
        <v>92</v>
      </c>
      <c r="O301" s="3">
        <v>46179.535416666702</v>
      </c>
      <c r="P301" s="2" t="s">
        <v>92</v>
      </c>
      <c r="Q301" s="34"/>
      <c r="R301" s="1" t="s">
        <v>31</v>
      </c>
    </row>
    <row r="302" spans="2:18">
      <c r="B302" s="2" t="s">
        <v>1866</v>
      </c>
      <c r="C302" s="2" t="s">
        <v>952</v>
      </c>
      <c r="D302" s="1">
        <v>3</v>
      </c>
      <c r="E302" s="2" t="s">
        <v>1867</v>
      </c>
      <c r="F302" s="2" t="s">
        <v>1259</v>
      </c>
      <c r="G302" s="45">
        <v>8</v>
      </c>
      <c r="H302" s="45" t="s">
        <v>702</v>
      </c>
      <c r="I302" s="43" t="s">
        <v>702</v>
      </c>
      <c r="J302" s="43" t="s">
        <v>702</v>
      </c>
      <c r="K302" s="30">
        <v>100000</v>
      </c>
      <c r="L302" s="43" t="s">
        <v>702</v>
      </c>
      <c r="M302" s="3">
        <v>46159.535416666702</v>
      </c>
      <c r="N302" s="2" t="s">
        <v>92</v>
      </c>
      <c r="O302" s="3">
        <v>46179.535416666702</v>
      </c>
      <c r="P302" s="2" t="s">
        <v>92</v>
      </c>
      <c r="Q302" s="34"/>
      <c r="R302" s="1" t="s">
        <v>31</v>
      </c>
    </row>
    <row r="303" spans="2:18">
      <c r="B303" s="2" t="s">
        <v>1868</v>
      </c>
      <c r="C303" s="2" t="s">
        <v>952</v>
      </c>
      <c r="D303" s="1">
        <v>4</v>
      </c>
      <c r="E303" s="2" t="s">
        <v>1869</v>
      </c>
      <c r="F303" s="2" t="s">
        <v>1262</v>
      </c>
      <c r="G303" s="45" t="s">
        <v>702</v>
      </c>
      <c r="H303" s="45">
        <v>3</v>
      </c>
      <c r="I303" s="43" t="s">
        <v>702</v>
      </c>
      <c r="J303" s="43" t="s">
        <v>702</v>
      </c>
      <c r="K303" s="30">
        <v>127500</v>
      </c>
      <c r="L303" s="43" t="s">
        <v>702</v>
      </c>
      <c r="M303" s="3">
        <v>46159.535416666702</v>
      </c>
      <c r="N303" s="2" t="s">
        <v>92</v>
      </c>
      <c r="O303" s="3">
        <v>46179.535416666702</v>
      </c>
      <c r="P303" s="2" t="s">
        <v>92</v>
      </c>
      <c r="Q303" s="34"/>
      <c r="R303" s="1" t="s">
        <v>31</v>
      </c>
    </row>
    <row r="304" spans="2:18">
      <c r="B304" s="2" t="s">
        <v>1870</v>
      </c>
      <c r="C304" s="2" t="s">
        <v>955</v>
      </c>
      <c r="D304" s="1">
        <v>1</v>
      </c>
      <c r="E304" s="2" t="s">
        <v>1871</v>
      </c>
      <c r="F304" s="2" t="s">
        <v>1265</v>
      </c>
      <c r="G304" s="45" t="s">
        <v>702</v>
      </c>
      <c r="H304" s="1">
        <v>1</v>
      </c>
      <c r="I304" s="43" t="s">
        <v>702</v>
      </c>
      <c r="J304" s="43" t="s">
        <v>702</v>
      </c>
      <c r="K304" s="30">
        <v>50000</v>
      </c>
      <c r="L304" s="43" t="s">
        <v>702</v>
      </c>
      <c r="M304" s="3">
        <v>46160.672222222202</v>
      </c>
      <c r="N304" s="2" t="s">
        <v>742</v>
      </c>
      <c r="O304" s="3">
        <v>46180.672222222202</v>
      </c>
      <c r="P304" s="2" t="s">
        <v>742</v>
      </c>
      <c r="Q304" s="34"/>
      <c r="R304" s="1" t="s">
        <v>31</v>
      </c>
    </row>
    <row r="305" spans="2:18">
      <c r="B305" s="2" t="s">
        <v>1872</v>
      </c>
      <c r="C305" s="2" t="s">
        <v>955</v>
      </c>
      <c r="D305" s="1">
        <v>2</v>
      </c>
      <c r="E305" s="2" t="s">
        <v>1873</v>
      </c>
      <c r="F305" s="2" t="s">
        <v>1268</v>
      </c>
      <c r="G305" s="1">
        <v>7</v>
      </c>
      <c r="H305" s="45" t="s">
        <v>702</v>
      </c>
      <c r="I305" s="43" t="s">
        <v>702</v>
      </c>
      <c r="J305" s="43" t="s">
        <v>702</v>
      </c>
      <c r="K305" s="30">
        <v>52500</v>
      </c>
      <c r="L305" s="43" t="s">
        <v>702</v>
      </c>
      <c r="M305" s="3">
        <v>46160.672222222202</v>
      </c>
      <c r="N305" s="2" t="s">
        <v>742</v>
      </c>
      <c r="O305" s="3">
        <v>46180.672222222202</v>
      </c>
      <c r="P305" s="2" t="s">
        <v>742</v>
      </c>
      <c r="Q305" s="34"/>
      <c r="R305" s="1" t="s">
        <v>31</v>
      </c>
    </row>
    <row r="306" spans="2:18">
      <c r="B306" s="2" t="s">
        <v>1874</v>
      </c>
      <c r="C306" s="2" t="s">
        <v>955</v>
      </c>
      <c r="D306" s="1">
        <v>3</v>
      </c>
      <c r="E306" s="2" t="s">
        <v>1875</v>
      </c>
      <c r="F306" s="2" t="s">
        <v>1271</v>
      </c>
      <c r="G306" s="45" t="s">
        <v>702</v>
      </c>
      <c r="H306" s="1">
        <v>3</v>
      </c>
      <c r="I306" s="43" t="s">
        <v>702</v>
      </c>
      <c r="J306" s="43" t="s">
        <v>702</v>
      </c>
      <c r="K306" s="30">
        <v>96000</v>
      </c>
      <c r="L306" s="43" t="s">
        <v>702</v>
      </c>
      <c r="M306" s="3">
        <v>46160.672222222202</v>
      </c>
      <c r="N306" s="2" t="s">
        <v>742</v>
      </c>
      <c r="O306" s="3">
        <v>46180.672222222202</v>
      </c>
      <c r="P306" s="2" t="s">
        <v>742</v>
      </c>
      <c r="Q306" s="34"/>
      <c r="R306" s="1" t="s">
        <v>31</v>
      </c>
    </row>
    <row r="307" spans="2:18">
      <c r="B307" s="2" t="s">
        <v>1876</v>
      </c>
      <c r="C307" s="2" t="s">
        <v>955</v>
      </c>
      <c r="D307" s="1">
        <v>4</v>
      </c>
      <c r="E307" s="2" t="s">
        <v>1877</v>
      </c>
      <c r="F307" s="2" t="s">
        <v>1274</v>
      </c>
      <c r="G307" s="1">
        <v>11</v>
      </c>
      <c r="H307" s="45" t="s">
        <v>702</v>
      </c>
      <c r="I307" s="43" t="s">
        <v>702</v>
      </c>
      <c r="J307" s="43" t="s">
        <v>702</v>
      </c>
      <c r="K307" s="30">
        <v>137500</v>
      </c>
      <c r="L307" s="43" t="s">
        <v>702</v>
      </c>
      <c r="M307" s="3">
        <v>46160.672222222202</v>
      </c>
      <c r="N307" s="2" t="s">
        <v>742</v>
      </c>
      <c r="O307" s="3">
        <v>46180.672222222202</v>
      </c>
      <c r="P307" s="2" t="s">
        <v>742</v>
      </c>
      <c r="Q307" s="34"/>
      <c r="R307" s="1" t="s">
        <v>31</v>
      </c>
    </row>
    <row r="308" spans="2:18">
      <c r="B308" s="2" t="s">
        <v>1878</v>
      </c>
      <c r="C308" s="2" t="s">
        <v>958</v>
      </c>
      <c r="D308" s="1">
        <v>1</v>
      </c>
      <c r="E308" s="2" t="s">
        <v>1879</v>
      </c>
      <c r="F308" s="2" t="s">
        <v>1277</v>
      </c>
      <c r="G308" s="1">
        <v>6</v>
      </c>
      <c r="H308" s="45" t="s">
        <v>702</v>
      </c>
      <c r="I308" s="43" t="s">
        <v>702</v>
      </c>
      <c r="J308" s="43" t="s">
        <v>702</v>
      </c>
      <c r="K308" s="30">
        <v>75000</v>
      </c>
      <c r="L308" s="43" t="s">
        <v>702</v>
      </c>
      <c r="M308" s="3">
        <v>46160.392361111102</v>
      </c>
      <c r="N308" s="2" t="s">
        <v>745</v>
      </c>
      <c r="O308" s="3">
        <v>46180.392361111102</v>
      </c>
      <c r="P308" s="2" t="s">
        <v>745</v>
      </c>
      <c r="Q308" s="34"/>
      <c r="R308" s="1" t="s">
        <v>31</v>
      </c>
    </row>
    <row r="309" spans="2:18">
      <c r="B309" s="2" t="s">
        <v>1880</v>
      </c>
      <c r="C309" s="2" t="s">
        <v>958</v>
      </c>
      <c r="D309" s="1">
        <v>2</v>
      </c>
      <c r="E309" s="2" t="s">
        <v>1881</v>
      </c>
      <c r="F309" s="2" t="s">
        <v>1280</v>
      </c>
      <c r="G309" s="45" t="s">
        <v>702</v>
      </c>
      <c r="H309" s="1">
        <v>3</v>
      </c>
      <c r="I309" s="43" t="s">
        <v>702</v>
      </c>
      <c r="J309" s="43" t="s">
        <v>702</v>
      </c>
      <c r="K309" s="30">
        <v>127500</v>
      </c>
      <c r="L309" s="43" t="s">
        <v>702</v>
      </c>
      <c r="M309" s="3">
        <v>46160.392361111102</v>
      </c>
      <c r="N309" s="2" t="s">
        <v>745</v>
      </c>
      <c r="O309" s="3">
        <v>46180.392361111102</v>
      </c>
      <c r="P309" s="2" t="s">
        <v>745</v>
      </c>
      <c r="Q309" s="34"/>
      <c r="R309" s="1" t="s">
        <v>31</v>
      </c>
    </row>
    <row r="310" spans="2:18">
      <c r="B310" s="2" t="s">
        <v>1882</v>
      </c>
      <c r="C310" s="2" t="s">
        <v>958</v>
      </c>
      <c r="D310" s="1">
        <v>3</v>
      </c>
      <c r="E310" s="2" t="s">
        <v>1883</v>
      </c>
      <c r="F310" s="2" t="s">
        <v>1283</v>
      </c>
      <c r="G310" s="1">
        <v>10</v>
      </c>
      <c r="H310" s="45" t="s">
        <v>702</v>
      </c>
      <c r="I310" s="43" t="s">
        <v>702</v>
      </c>
      <c r="J310" s="43" t="s">
        <v>702</v>
      </c>
      <c r="K310" s="30">
        <v>175000</v>
      </c>
      <c r="L310" s="43" t="s">
        <v>702</v>
      </c>
      <c r="M310" s="3">
        <v>46160.392361111102</v>
      </c>
      <c r="N310" s="2" t="s">
        <v>745</v>
      </c>
      <c r="O310" s="3">
        <v>46180.392361111102</v>
      </c>
      <c r="P310" s="2" t="s">
        <v>745</v>
      </c>
      <c r="Q310" s="34"/>
      <c r="R310" s="1" t="s">
        <v>31</v>
      </c>
    </row>
    <row r="311" spans="2:18" ht="29" customHeight="1">
      <c r="B311" s="2" t="s">
        <v>1884</v>
      </c>
      <c r="C311" s="2" t="s">
        <v>958</v>
      </c>
      <c r="D311" s="1">
        <v>4</v>
      </c>
      <c r="E311" s="2" t="s">
        <v>1885</v>
      </c>
      <c r="F311" s="2" t="s">
        <v>1286</v>
      </c>
      <c r="G311" s="45" t="s">
        <v>702</v>
      </c>
      <c r="H311" s="1">
        <v>2</v>
      </c>
      <c r="I311" s="43" t="s">
        <v>702</v>
      </c>
      <c r="J311" s="43" t="s">
        <v>702</v>
      </c>
      <c r="K311" s="30">
        <v>60000</v>
      </c>
      <c r="L311" s="43" t="s">
        <v>702</v>
      </c>
      <c r="M311" s="3">
        <v>46160.392361111102</v>
      </c>
      <c r="N311" s="2" t="s">
        <v>745</v>
      </c>
      <c r="O311" s="3">
        <v>46180.392361111102</v>
      </c>
      <c r="P311" s="2" t="s">
        <v>745</v>
      </c>
      <c r="Q311" s="34"/>
      <c r="R311" s="1" t="s">
        <v>31</v>
      </c>
    </row>
    <row r="312" spans="2:18">
      <c r="B312" s="2" t="s">
        <v>1886</v>
      </c>
      <c r="C312" s="2" t="s">
        <v>961</v>
      </c>
      <c r="D312" s="1">
        <v>1</v>
      </c>
      <c r="E312" s="2" t="s">
        <v>1887</v>
      </c>
      <c r="F312" s="2" t="s">
        <v>1289</v>
      </c>
      <c r="G312" s="45" t="s">
        <v>702</v>
      </c>
      <c r="H312" s="45">
        <v>3</v>
      </c>
      <c r="I312" s="43" t="s">
        <v>702</v>
      </c>
      <c r="J312" s="43" t="s">
        <v>702</v>
      </c>
      <c r="K312" s="30">
        <v>120000</v>
      </c>
      <c r="L312" s="43" t="s">
        <v>702</v>
      </c>
      <c r="M312" s="3">
        <v>46161.529166666704</v>
      </c>
      <c r="N312" s="2" t="s">
        <v>748</v>
      </c>
      <c r="O312" s="3">
        <v>46181.529166666704</v>
      </c>
      <c r="P312" s="2" t="s">
        <v>748</v>
      </c>
      <c r="Q312" s="34"/>
      <c r="R312" s="1" t="s">
        <v>31</v>
      </c>
    </row>
    <row r="313" spans="2:18">
      <c r="B313" s="2" t="s">
        <v>1888</v>
      </c>
      <c r="C313" s="2" t="s">
        <v>961</v>
      </c>
      <c r="D313" s="1">
        <v>2</v>
      </c>
      <c r="E313" s="2" t="s">
        <v>1889</v>
      </c>
      <c r="F313" s="2" t="s">
        <v>1292</v>
      </c>
      <c r="G313" s="45">
        <v>9</v>
      </c>
      <c r="H313" s="45" t="s">
        <v>702</v>
      </c>
      <c r="I313" s="43" t="s">
        <v>702</v>
      </c>
      <c r="J313" s="43" t="s">
        <v>702</v>
      </c>
      <c r="K313" s="30">
        <v>135000</v>
      </c>
      <c r="L313" s="43" t="s">
        <v>702</v>
      </c>
      <c r="M313" s="3">
        <v>46161.529166666704</v>
      </c>
      <c r="N313" s="2" t="s">
        <v>748</v>
      </c>
      <c r="O313" s="3">
        <v>46181.529166666704</v>
      </c>
      <c r="P313" s="2" t="s">
        <v>748</v>
      </c>
      <c r="Q313" s="34"/>
      <c r="R313" s="1" t="s">
        <v>31</v>
      </c>
    </row>
    <row r="314" spans="2:18" ht="29" customHeight="1">
      <c r="B314" s="2" t="s">
        <v>1890</v>
      </c>
      <c r="C314" s="2" t="s">
        <v>961</v>
      </c>
      <c r="D314" s="1">
        <v>3</v>
      </c>
      <c r="E314" s="2" t="s">
        <v>1891</v>
      </c>
      <c r="F314" s="2" t="s">
        <v>1295</v>
      </c>
      <c r="G314" s="45" t="s">
        <v>702</v>
      </c>
      <c r="H314" s="45">
        <v>2</v>
      </c>
      <c r="I314" s="43" t="s">
        <v>702</v>
      </c>
      <c r="J314" s="43" t="s">
        <v>702</v>
      </c>
      <c r="K314" s="30">
        <v>30000</v>
      </c>
      <c r="L314" s="43" t="s">
        <v>702</v>
      </c>
      <c r="M314" s="3">
        <v>46161.529166666704</v>
      </c>
      <c r="N314" s="2" t="s">
        <v>748</v>
      </c>
      <c r="O314" s="3">
        <v>46181.529166666704</v>
      </c>
      <c r="P314" s="2" t="s">
        <v>748</v>
      </c>
      <c r="Q314" s="34"/>
      <c r="R314" s="1" t="s">
        <v>31</v>
      </c>
    </row>
    <row r="315" spans="2:18">
      <c r="B315" s="2" t="s">
        <v>1892</v>
      </c>
      <c r="C315" s="2" t="s">
        <v>961</v>
      </c>
      <c r="D315" s="1">
        <v>4</v>
      </c>
      <c r="E315" s="2" t="s">
        <v>1893</v>
      </c>
      <c r="F315" s="2" t="s">
        <v>1298</v>
      </c>
      <c r="G315" s="45">
        <v>1</v>
      </c>
      <c r="H315" s="45" t="s">
        <v>702</v>
      </c>
      <c r="I315" s="43" t="s">
        <v>702</v>
      </c>
      <c r="J315" s="43" t="s">
        <v>702</v>
      </c>
      <c r="K315" s="30">
        <v>5000</v>
      </c>
      <c r="L315" s="43" t="s">
        <v>702</v>
      </c>
      <c r="M315" s="3">
        <v>46161.529166666704</v>
      </c>
      <c r="N315" s="2" t="s">
        <v>748</v>
      </c>
      <c r="O315" s="3">
        <v>46181.529166666704</v>
      </c>
      <c r="P315" s="2" t="s">
        <v>748</v>
      </c>
      <c r="Q315" s="34"/>
      <c r="R315" s="1" t="s">
        <v>31</v>
      </c>
    </row>
    <row r="316" spans="2:18">
      <c r="B316" s="2" t="s">
        <v>1894</v>
      </c>
      <c r="C316" s="2" t="s">
        <v>964</v>
      </c>
      <c r="D316" s="1">
        <v>1</v>
      </c>
      <c r="E316" s="2" t="s">
        <v>1895</v>
      </c>
      <c r="F316" s="2" t="s">
        <v>1301</v>
      </c>
      <c r="G316" s="1">
        <v>8</v>
      </c>
      <c r="H316" s="45" t="s">
        <v>702</v>
      </c>
      <c r="I316" s="43" t="s">
        <v>702</v>
      </c>
      <c r="J316" s="43" t="s">
        <v>702</v>
      </c>
      <c r="K316" s="30">
        <v>56000</v>
      </c>
      <c r="L316" s="43" t="s">
        <v>702</v>
      </c>
      <c r="M316" s="3">
        <v>46161.665972222203</v>
      </c>
      <c r="N316" s="2" t="s">
        <v>751</v>
      </c>
      <c r="O316" s="3">
        <v>46181.665972222203</v>
      </c>
      <c r="P316" s="2" t="s">
        <v>751</v>
      </c>
      <c r="Q316" s="34"/>
      <c r="R316" s="1" t="s">
        <v>31</v>
      </c>
    </row>
    <row r="317" spans="2:18" ht="29" customHeight="1">
      <c r="B317" s="2" t="s">
        <v>1896</v>
      </c>
      <c r="C317" s="2" t="s">
        <v>964</v>
      </c>
      <c r="D317" s="1">
        <v>2</v>
      </c>
      <c r="E317" s="2" t="s">
        <v>1897</v>
      </c>
      <c r="F317" s="2" t="s">
        <v>1304</v>
      </c>
      <c r="G317" s="45" t="s">
        <v>702</v>
      </c>
      <c r="H317" s="1">
        <v>2</v>
      </c>
      <c r="I317" s="43" t="s">
        <v>702</v>
      </c>
      <c r="J317" s="43" t="s">
        <v>702</v>
      </c>
      <c r="K317" s="30">
        <v>40000</v>
      </c>
      <c r="L317" s="43" t="s">
        <v>702</v>
      </c>
      <c r="M317" s="3">
        <v>46161.665972222203</v>
      </c>
      <c r="N317" s="2" t="s">
        <v>751</v>
      </c>
      <c r="O317" s="3">
        <v>46181.665972222203</v>
      </c>
      <c r="P317" s="2" t="s">
        <v>751</v>
      </c>
      <c r="Q317" s="34"/>
      <c r="R317" s="1" t="s">
        <v>31</v>
      </c>
    </row>
    <row r="318" spans="2:18">
      <c r="B318" s="2" t="s">
        <v>1898</v>
      </c>
      <c r="C318" s="2" t="s">
        <v>964</v>
      </c>
      <c r="D318" s="1">
        <v>3</v>
      </c>
      <c r="E318" s="2" t="s">
        <v>1899</v>
      </c>
      <c r="F318" s="2" t="s">
        <v>1307</v>
      </c>
      <c r="G318" s="1">
        <v>12</v>
      </c>
      <c r="H318" s="45" t="s">
        <v>702</v>
      </c>
      <c r="I318" s="43" t="s">
        <v>702</v>
      </c>
      <c r="J318" s="43" t="s">
        <v>702</v>
      </c>
      <c r="K318" s="30">
        <v>96000</v>
      </c>
      <c r="L318" s="43" t="s">
        <v>702</v>
      </c>
      <c r="M318" s="3">
        <v>46161.665972222203</v>
      </c>
      <c r="N318" s="2" t="s">
        <v>751</v>
      </c>
      <c r="O318" s="3">
        <v>46181.665972222203</v>
      </c>
      <c r="P318" s="2" t="s">
        <v>751</v>
      </c>
      <c r="Q318" s="34"/>
      <c r="R318" s="1" t="s">
        <v>31</v>
      </c>
    </row>
    <row r="319" spans="2:18">
      <c r="B319" s="2" t="s">
        <v>1900</v>
      </c>
      <c r="C319" s="2" t="s">
        <v>964</v>
      </c>
      <c r="D319" s="1">
        <v>4</v>
      </c>
      <c r="E319" s="2" t="s">
        <v>1901</v>
      </c>
      <c r="F319" s="2" t="s">
        <v>1310</v>
      </c>
      <c r="G319" s="45" t="s">
        <v>702</v>
      </c>
      <c r="H319" s="1">
        <v>1</v>
      </c>
      <c r="I319" s="43" t="s">
        <v>702</v>
      </c>
      <c r="J319" s="43" t="s">
        <v>702</v>
      </c>
      <c r="K319" s="30">
        <v>40000</v>
      </c>
      <c r="L319" s="43" t="s">
        <v>702</v>
      </c>
      <c r="M319" s="3">
        <v>46161.665972222203</v>
      </c>
      <c r="N319" s="2" t="s">
        <v>751</v>
      </c>
      <c r="O319" s="3">
        <v>46181.665972222203</v>
      </c>
      <c r="P319" s="2" t="s">
        <v>751</v>
      </c>
      <c r="Q319" s="34"/>
      <c r="R319" s="1" t="s">
        <v>31</v>
      </c>
    </row>
    <row r="320" spans="2:18" ht="29" customHeight="1">
      <c r="B320" s="2" t="s">
        <v>1902</v>
      </c>
      <c r="C320" s="2" t="s">
        <v>967</v>
      </c>
      <c r="D320" s="1">
        <v>1</v>
      </c>
      <c r="E320" s="2" t="s">
        <v>1903</v>
      </c>
      <c r="F320" s="2" t="s">
        <v>1313</v>
      </c>
      <c r="G320" s="45" t="s">
        <v>702</v>
      </c>
      <c r="H320" s="45">
        <v>2</v>
      </c>
      <c r="I320" s="43" t="s">
        <v>702</v>
      </c>
      <c r="J320" s="43" t="s">
        <v>702</v>
      </c>
      <c r="K320" s="30">
        <v>80000</v>
      </c>
      <c r="L320" s="43" t="s">
        <v>702</v>
      </c>
      <c r="M320" s="3">
        <v>46162.386111111096</v>
      </c>
      <c r="N320" s="2" t="s">
        <v>754</v>
      </c>
      <c r="O320" s="3">
        <v>46182.386111111096</v>
      </c>
      <c r="P320" s="2" t="s">
        <v>754</v>
      </c>
      <c r="Q320" s="34"/>
      <c r="R320" s="1" t="s">
        <v>31</v>
      </c>
    </row>
    <row r="321" spans="2:18">
      <c r="B321" s="2" t="s">
        <v>1904</v>
      </c>
      <c r="C321" s="2" t="s">
        <v>967</v>
      </c>
      <c r="D321" s="1">
        <v>2</v>
      </c>
      <c r="E321" s="2" t="s">
        <v>1905</v>
      </c>
      <c r="F321" s="2" t="s">
        <v>1316</v>
      </c>
      <c r="G321" s="45">
        <v>11</v>
      </c>
      <c r="H321" s="45" t="s">
        <v>702</v>
      </c>
      <c r="I321" s="43" t="s">
        <v>702</v>
      </c>
      <c r="J321" s="43" t="s">
        <v>702</v>
      </c>
      <c r="K321" s="30">
        <v>165000</v>
      </c>
      <c r="L321" s="43" t="s">
        <v>702</v>
      </c>
      <c r="M321" s="3">
        <v>46162.386111111096</v>
      </c>
      <c r="N321" s="2" t="s">
        <v>754</v>
      </c>
      <c r="O321" s="3">
        <v>46182.386111111096</v>
      </c>
      <c r="P321" s="2" t="s">
        <v>754</v>
      </c>
      <c r="Q321" s="34"/>
      <c r="R321" s="1" t="s">
        <v>31</v>
      </c>
    </row>
    <row r="322" spans="2:18">
      <c r="B322" s="2" t="s">
        <v>1906</v>
      </c>
      <c r="C322" s="2" t="s">
        <v>967</v>
      </c>
      <c r="D322" s="1">
        <v>3</v>
      </c>
      <c r="E322" s="2" t="s">
        <v>1907</v>
      </c>
      <c r="F322" s="2" t="s">
        <v>1319</v>
      </c>
      <c r="G322" s="45" t="s">
        <v>702</v>
      </c>
      <c r="H322" s="45">
        <v>1</v>
      </c>
      <c r="I322" s="43" t="s">
        <v>702</v>
      </c>
      <c r="J322" s="43" t="s">
        <v>702</v>
      </c>
      <c r="K322" s="30">
        <v>60000</v>
      </c>
      <c r="L322" s="43" t="s">
        <v>702</v>
      </c>
      <c r="M322" s="3">
        <v>46162.386111111096</v>
      </c>
      <c r="N322" s="2" t="s">
        <v>754</v>
      </c>
      <c r="O322" s="3">
        <v>46182.386111111096</v>
      </c>
      <c r="P322" s="2" t="s">
        <v>754</v>
      </c>
      <c r="Q322" s="34"/>
      <c r="R322" s="1" t="s">
        <v>31</v>
      </c>
    </row>
    <row r="323" spans="2:18">
      <c r="B323" s="2" t="s">
        <v>1908</v>
      </c>
      <c r="C323" s="2" t="s">
        <v>967</v>
      </c>
      <c r="D323" s="1">
        <v>4</v>
      </c>
      <c r="E323" s="2" t="s">
        <v>1909</v>
      </c>
      <c r="F323" s="2" t="s">
        <v>1259</v>
      </c>
      <c r="G323" s="1">
        <v>3</v>
      </c>
      <c r="H323" s="45" t="s">
        <v>702</v>
      </c>
      <c r="I323" s="43" t="s">
        <v>702</v>
      </c>
      <c r="J323" s="43" t="s">
        <v>702</v>
      </c>
      <c r="K323" s="30">
        <v>37500</v>
      </c>
      <c r="L323" s="43" t="s">
        <v>702</v>
      </c>
      <c r="M323" s="3">
        <v>46162.386111111096</v>
      </c>
      <c r="N323" s="2" t="s">
        <v>754</v>
      </c>
      <c r="O323" s="3">
        <v>46182.386111111096</v>
      </c>
      <c r="P323" s="2" t="s">
        <v>754</v>
      </c>
      <c r="Q323" s="34"/>
      <c r="R323" s="1" t="s">
        <v>31</v>
      </c>
    </row>
    <row r="324" spans="2:18">
      <c r="B324" s="2" t="s">
        <v>1910</v>
      </c>
      <c r="C324" s="2" t="s">
        <v>970</v>
      </c>
      <c r="D324" s="1">
        <v>1</v>
      </c>
      <c r="E324" s="2" t="s">
        <v>1911</v>
      </c>
      <c r="F324" s="2" t="s">
        <v>1262</v>
      </c>
      <c r="G324" s="45">
        <v>10</v>
      </c>
      <c r="H324" s="45" t="s">
        <v>702</v>
      </c>
      <c r="I324" s="43" t="s">
        <v>702</v>
      </c>
      <c r="J324" s="43" t="s">
        <v>702</v>
      </c>
      <c r="K324" s="30">
        <v>150000</v>
      </c>
      <c r="L324" s="43" t="s">
        <v>702</v>
      </c>
      <c r="M324" s="3">
        <v>46162.522916666698</v>
      </c>
      <c r="N324" s="2" t="s">
        <v>757</v>
      </c>
      <c r="O324" s="3">
        <v>46182.522916666698</v>
      </c>
      <c r="P324" s="2" t="s">
        <v>757</v>
      </c>
      <c r="Q324" s="34"/>
      <c r="R324" s="1" t="s">
        <v>31</v>
      </c>
    </row>
    <row r="325" spans="2:18">
      <c r="B325" s="2" t="s">
        <v>1912</v>
      </c>
      <c r="C325" s="2" t="s">
        <v>970</v>
      </c>
      <c r="D325" s="1">
        <v>2</v>
      </c>
      <c r="E325" s="2" t="s">
        <v>1913</v>
      </c>
      <c r="F325" s="2" t="s">
        <v>1265</v>
      </c>
      <c r="G325" s="45" t="s">
        <v>702</v>
      </c>
      <c r="H325" s="1">
        <v>1</v>
      </c>
      <c r="I325" s="43" t="s">
        <v>702</v>
      </c>
      <c r="J325" s="43" t="s">
        <v>702</v>
      </c>
      <c r="K325" s="30">
        <v>50000</v>
      </c>
      <c r="L325" s="43" t="s">
        <v>702</v>
      </c>
      <c r="M325" s="3">
        <v>46162.522916666698</v>
      </c>
      <c r="N325" s="2" t="s">
        <v>757</v>
      </c>
      <c r="O325" s="3">
        <v>46182.522916666698</v>
      </c>
      <c r="P325" s="2" t="s">
        <v>757</v>
      </c>
      <c r="Q325" s="34"/>
      <c r="R325" s="1" t="s">
        <v>31</v>
      </c>
    </row>
    <row r="326" spans="2:18">
      <c r="B326" s="2" t="s">
        <v>1914</v>
      </c>
      <c r="C326" s="2" t="s">
        <v>970</v>
      </c>
      <c r="D326" s="1">
        <v>3</v>
      </c>
      <c r="E326" s="2" t="s">
        <v>1915</v>
      </c>
      <c r="F326" s="2" t="s">
        <v>1268</v>
      </c>
      <c r="G326" s="1">
        <v>2</v>
      </c>
      <c r="H326" s="45" t="s">
        <v>702</v>
      </c>
      <c r="I326" s="43" t="s">
        <v>702</v>
      </c>
      <c r="J326" s="43" t="s">
        <v>702</v>
      </c>
      <c r="K326" s="30">
        <v>15000</v>
      </c>
      <c r="L326" s="43" t="s">
        <v>702</v>
      </c>
      <c r="M326" s="3">
        <v>46162.522916666698</v>
      </c>
      <c r="N326" s="2" t="s">
        <v>757</v>
      </c>
      <c r="O326" s="3">
        <v>46182.522916666698</v>
      </c>
      <c r="P326" s="2" t="s">
        <v>757</v>
      </c>
      <c r="Q326" s="34"/>
      <c r="R326" s="1" t="s">
        <v>31</v>
      </c>
    </row>
    <row r="327" spans="2:18" ht="29" customHeight="1">
      <c r="B327" s="2" t="s">
        <v>1916</v>
      </c>
      <c r="C327" s="2" t="s">
        <v>970</v>
      </c>
      <c r="D327" s="1">
        <v>4</v>
      </c>
      <c r="E327" s="2" t="s">
        <v>1917</v>
      </c>
      <c r="F327" s="2" t="s">
        <v>1271</v>
      </c>
      <c r="G327" s="45" t="s">
        <v>702</v>
      </c>
      <c r="H327" s="1">
        <v>3</v>
      </c>
      <c r="I327" s="43" t="s">
        <v>702</v>
      </c>
      <c r="J327" s="43" t="s">
        <v>702</v>
      </c>
      <c r="K327" s="30">
        <v>96000</v>
      </c>
      <c r="L327" s="43" t="s">
        <v>702</v>
      </c>
      <c r="M327" s="3">
        <v>46162.522916666698</v>
      </c>
      <c r="N327" s="2" t="s">
        <v>757</v>
      </c>
      <c r="O327" s="3">
        <v>46182.522916666698</v>
      </c>
      <c r="P327" s="2" t="s">
        <v>757</v>
      </c>
      <c r="Q327" s="34"/>
      <c r="R327" s="1" t="s">
        <v>31</v>
      </c>
    </row>
    <row r="328" spans="2:18">
      <c r="B328" s="2" t="s">
        <v>1918</v>
      </c>
      <c r="C328" s="2" t="s">
        <v>973</v>
      </c>
      <c r="D328" s="1">
        <v>1</v>
      </c>
      <c r="E328" s="2" t="s">
        <v>1919</v>
      </c>
      <c r="F328" s="2" t="s">
        <v>1274</v>
      </c>
      <c r="G328" s="45" t="s">
        <v>702</v>
      </c>
      <c r="H328" s="45">
        <v>1</v>
      </c>
      <c r="I328" s="43" t="s">
        <v>702</v>
      </c>
      <c r="J328" s="43" t="s">
        <v>702</v>
      </c>
      <c r="K328" s="30">
        <v>40000</v>
      </c>
      <c r="L328" s="43" t="s">
        <v>702</v>
      </c>
      <c r="M328" s="3">
        <v>46163.659722222197</v>
      </c>
      <c r="N328" s="2" t="s">
        <v>760</v>
      </c>
      <c r="O328" s="3">
        <v>46183.659722222197</v>
      </c>
      <c r="P328" s="2" t="s">
        <v>760</v>
      </c>
      <c r="Q328" s="34"/>
      <c r="R328" s="1" t="s">
        <v>31</v>
      </c>
    </row>
    <row r="329" spans="2:18">
      <c r="B329" s="2" t="s">
        <v>1920</v>
      </c>
      <c r="C329" s="2" t="s">
        <v>973</v>
      </c>
      <c r="D329" s="1">
        <v>2</v>
      </c>
      <c r="E329" s="2" t="s">
        <v>1921</v>
      </c>
      <c r="F329" s="2" t="s">
        <v>1277</v>
      </c>
      <c r="G329" s="45">
        <v>1</v>
      </c>
      <c r="H329" s="45" t="s">
        <v>702</v>
      </c>
      <c r="I329" s="43" t="s">
        <v>702</v>
      </c>
      <c r="J329" s="43" t="s">
        <v>702</v>
      </c>
      <c r="K329" s="30">
        <v>12500</v>
      </c>
      <c r="L329" s="43" t="s">
        <v>702</v>
      </c>
      <c r="M329" s="3">
        <v>46163.659722222197</v>
      </c>
      <c r="N329" s="2" t="s">
        <v>760</v>
      </c>
      <c r="O329" s="3">
        <v>46183.659722222197</v>
      </c>
      <c r="P329" s="2" t="s">
        <v>760</v>
      </c>
      <c r="Q329" s="34"/>
      <c r="R329" s="1" t="s">
        <v>31</v>
      </c>
    </row>
    <row r="330" spans="2:18" ht="29" customHeight="1">
      <c r="B330" s="2" t="s">
        <v>1922</v>
      </c>
      <c r="C330" s="2" t="s">
        <v>973</v>
      </c>
      <c r="D330" s="1">
        <v>3</v>
      </c>
      <c r="E330" s="2" t="s">
        <v>1923</v>
      </c>
      <c r="F330" s="2" t="s">
        <v>1280</v>
      </c>
      <c r="G330" s="45" t="s">
        <v>702</v>
      </c>
      <c r="H330" s="45">
        <v>3</v>
      </c>
      <c r="I330" s="43" t="s">
        <v>702</v>
      </c>
      <c r="J330" s="43" t="s">
        <v>702</v>
      </c>
      <c r="K330" s="30">
        <v>127500</v>
      </c>
      <c r="L330" s="43" t="s">
        <v>702</v>
      </c>
      <c r="M330" s="3">
        <v>46163.659722222197</v>
      </c>
      <c r="N330" s="2" t="s">
        <v>760</v>
      </c>
      <c r="O330" s="3">
        <v>46183.659722222197</v>
      </c>
      <c r="P330" s="2" t="s">
        <v>760</v>
      </c>
      <c r="Q330" s="34"/>
      <c r="R330" s="1" t="s">
        <v>31</v>
      </c>
    </row>
    <row r="331" spans="2:18" ht="29" customHeight="1">
      <c r="B331" s="2" t="s">
        <v>1924</v>
      </c>
      <c r="C331" s="2" t="s">
        <v>973</v>
      </c>
      <c r="D331" s="1">
        <v>4</v>
      </c>
      <c r="E331" s="2" t="s">
        <v>1925</v>
      </c>
      <c r="F331" s="2" t="s">
        <v>1283</v>
      </c>
      <c r="G331" s="45">
        <v>5</v>
      </c>
      <c r="H331" s="45" t="s">
        <v>702</v>
      </c>
      <c r="I331" s="43" t="s">
        <v>702</v>
      </c>
      <c r="J331" s="43" t="s">
        <v>702</v>
      </c>
      <c r="K331" s="30">
        <v>87500</v>
      </c>
      <c r="L331" s="43" t="s">
        <v>702</v>
      </c>
      <c r="M331" s="3">
        <v>46163.659722222197</v>
      </c>
      <c r="N331" s="2" t="s">
        <v>760</v>
      </c>
      <c r="O331" s="3">
        <v>46183.659722222197</v>
      </c>
      <c r="P331" s="2" t="s">
        <v>760</v>
      </c>
      <c r="Q331" s="34"/>
      <c r="R331" s="1" t="s">
        <v>31</v>
      </c>
    </row>
    <row r="332" spans="2:18">
      <c r="B332" s="2" t="s">
        <v>1926</v>
      </c>
      <c r="C332" s="2" t="s">
        <v>976</v>
      </c>
      <c r="D332" s="1">
        <v>1</v>
      </c>
      <c r="E332" s="2" t="s">
        <v>1927</v>
      </c>
      <c r="F332" s="2" t="s">
        <v>1286</v>
      </c>
      <c r="G332" s="45">
        <v>12</v>
      </c>
      <c r="H332" s="45" t="s">
        <v>702</v>
      </c>
      <c r="I332" s="43" t="s">
        <v>702</v>
      </c>
      <c r="J332" s="43" t="s">
        <v>702</v>
      </c>
      <c r="K332" s="30">
        <v>120000</v>
      </c>
      <c r="L332" s="43" t="s">
        <v>702</v>
      </c>
      <c r="M332" s="3">
        <v>46163.421527777798</v>
      </c>
      <c r="N332" s="2" t="s">
        <v>763</v>
      </c>
      <c r="O332" s="3">
        <v>46183.421527777798</v>
      </c>
      <c r="P332" s="2" t="s">
        <v>763</v>
      </c>
      <c r="Q332" s="34"/>
      <c r="R332" s="1" t="s">
        <v>31</v>
      </c>
    </row>
    <row r="333" spans="2:18" ht="29" customHeight="1">
      <c r="B333" s="2" t="s">
        <v>1928</v>
      </c>
      <c r="C333" s="2" t="s">
        <v>976</v>
      </c>
      <c r="D333" s="1">
        <v>2</v>
      </c>
      <c r="E333" s="2" t="s">
        <v>1929</v>
      </c>
      <c r="F333" s="2" t="s">
        <v>1289</v>
      </c>
      <c r="G333" s="45" t="s">
        <v>702</v>
      </c>
      <c r="H333" s="45">
        <v>3</v>
      </c>
      <c r="I333" s="43" t="s">
        <v>702</v>
      </c>
      <c r="J333" s="43" t="s">
        <v>702</v>
      </c>
      <c r="K333" s="30">
        <v>120000</v>
      </c>
      <c r="L333" s="43" t="s">
        <v>702</v>
      </c>
      <c r="M333" s="3">
        <v>46163.421527777798</v>
      </c>
      <c r="N333" s="2" t="s">
        <v>763</v>
      </c>
      <c r="O333" s="3">
        <v>46183.421527777798</v>
      </c>
      <c r="P333" s="2" t="s">
        <v>763</v>
      </c>
      <c r="Q333" s="34"/>
      <c r="R333" s="1" t="s">
        <v>31</v>
      </c>
    </row>
    <row r="334" spans="2:18" ht="29" customHeight="1">
      <c r="B334" s="2" t="s">
        <v>1930</v>
      </c>
      <c r="C334" s="2" t="s">
        <v>976</v>
      </c>
      <c r="D334" s="1">
        <v>3</v>
      </c>
      <c r="E334" s="2" t="s">
        <v>1931</v>
      </c>
      <c r="F334" s="2" t="s">
        <v>1292</v>
      </c>
      <c r="G334" s="45">
        <v>4</v>
      </c>
      <c r="H334" s="45" t="s">
        <v>702</v>
      </c>
      <c r="I334" s="43" t="s">
        <v>702</v>
      </c>
      <c r="J334" s="43" t="s">
        <v>702</v>
      </c>
      <c r="K334" s="30">
        <v>60000</v>
      </c>
      <c r="L334" s="43" t="s">
        <v>702</v>
      </c>
      <c r="M334" s="3">
        <v>46163.421527777798</v>
      </c>
      <c r="N334" s="2" t="s">
        <v>763</v>
      </c>
      <c r="O334" s="3">
        <v>46183.421527777798</v>
      </c>
      <c r="P334" s="2" t="s">
        <v>763</v>
      </c>
      <c r="Q334" s="34"/>
      <c r="R334" s="1" t="s">
        <v>31</v>
      </c>
    </row>
    <row r="335" spans="2:18">
      <c r="B335" s="2" t="s">
        <v>1932</v>
      </c>
      <c r="C335" s="2" t="s">
        <v>976</v>
      </c>
      <c r="D335" s="1">
        <v>4</v>
      </c>
      <c r="E335" s="2" t="s">
        <v>1933</v>
      </c>
      <c r="F335" s="2" t="s">
        <v>1295</v>
      </c>
      <c r="G335" s="45" t="s">
        <v>702</v>
      </c>
      <c r="H335" s="45">
        <v>2</v>
      </c>
      <c r="I335" s="43" t="s">
        <v>702</v>
      </c>
      <c r="J335" s="43" t="s">
        <v>702</v>
      </c>
      <c r="K335" s="30">
        <v>30000</v>
      </c>
      <c r="L335" s="43" t="s">
        <v>702</v>
      </c>
      <c r="M335" s="3">
        <v>46163.421527777798</v>
      </c>
      <c r="N335" s="2" t="s">
        <v>763</v>
      </c>
      <c r="O335" s="3">
        <v>46183.421527777798</v>
      </c>
      <c r="P335" s="2" t="s">
        <v>763</v>
      </c>
      <c r="Q335" s="34"/>
      <c r="R335" s="1" t="s">
        <v>31</v>
      </c>
    </row>
    <row r="336" spans="2:18" ht="29" customHeight="1">
      <c r="B336" s="2" t="s">
        <v>1934</v>
      </c>
      <c r="C336" s="2" t="s">
        <v>979</v>
      </c>
      <c r="D336" s="1">
        <v>1</v>
      </c>
      <c r="E336" s="2" t="s">
        <v>1935</v>
      </c>
      <c r="F336" s="2" t="s">
        <v>1298</v>
      </c>
      <c r="G336" s="45" t="s">
        <v>702</v>
      </c>
      <c r="H336" s="1">
        <v>3</v>
      </c>
      <c r="I336" s="43" t="s">
        <v>702</v>
      </c>
      <c r="J336" s="43" t="s">
        <v>702</v>
      </c>
      <c r="K336" s="30">
        <v>60000</v>
      </c>
      <c r="L336" s="43" t="s">
        <v>702</v>
      </c>
      <c r="M336" s="3">
        <v>46163.516666666699</v>
      </c>
      <c r="N336" s="2" t="s">
        <v>766</v>
      </c>
      <c r="O336" s="3">
        <v>46183.516666666699</v>
      </c>
      <c r="P336" s="2" t="s">
        <v>766</v>
      </c>
      <c r="Q336" s="34"/>
      <c r="R336" s="1" t="s">
        <v>31</v>
      </c>
    </row>
    <row r="337" spans="2:18" ht="29" customHeight="1">
      <c r="B337" s="2" t="s">
        <v>1936</v>
      </c>
      <c r="C337" s="2" t="s">
        <v>979</v>
      </c>
      <c r="D337" s="1">
        <v>2</v>
      </c>
      <c r="E337" s="2" t="s">
        <v>1937</v>
      </c>
      <c r="F337" s="2" t="s">
        <v>1301</v>
      </c>
      <c r="G337" s="1">
        <v>3</v>
      </c>
      <c r="H337" s="45" t="s">
        <v>702</v>
      </c>
      <c r="I337" s="43" t="s">
        <v>702</v>
      </c>
      <c r="J337" s="43" t="s">
        <v>702</v>
      </c>
      <c r="K337" s="30">
        <v>21000</v>
      </c>
      <c r="L337" s="43" t="s">
        <v>702</v>
      </c>
      <c r="M337" s="3">
        <v>46163.516666666699</v>
      </c>
      <c r="N337" s="2" t="s">
        <v>766</v>
      </c>
      <c r="O337" s="3">
        <v>46183.516666666699</v>
      </c>
      <c r="P337" s="2" t="s">
        <v>766</v>
      </c>
      <c r="Q337" s="34"/>
      <c r="R337" s="1" t="s">
        <v>31</v>
      </c>
    </row>
    <row r="338" spans="2:18">
      <c r="B338" s="2" t="s">
        <v>1938</v>
      </c>
      <c r="C338" s="2" t="s">
        <v>979</v>
      </c>
      <c r="D338" s="1">
        <v>3</v>
      </c>
      <c r="E338" s="2" t="s">
        <v>1939</v>
      </c>
      <c r="F338" s="2" t="s">
        <v>1304</v>
      </c>
      <c r="G338" s="45" t="s">
        <v>702</v>
      </c>
      <c r="H338" s="1">
        <v>2</v>
      </c>
      <c r="I338" s="43" t="s">
        <v>702</v>
      </c>
      <c r="J338" s="43" t="s">
        <v>702</v>
      </c>
      <c r="K338" s="30">
        <v>40000</v>
      </c>
      <c r="L338" s="43" t="s">
        <v>702</v>
      </c>
      <c r="M338" s="3">
        <v>46163.516666666699</v>
      </c>
      <c r="N338" s="2" t="s">
        <v>766</v>
      </c>
      <c r="O338" s="3">
        <v>46183.516666666699</v>
      </c>
      <c r="P338" s="2" t="s">
        <v>766</v>
      </c>
      <c r="Q338" s="34"/>
      <c r="R338" s="1" t="s">
        <v>31</v>
      </c>
    </row>
    <row r="339" spans="2:18">
      <c r="B339" s="2" t="s">
        <v>1940</v>
      </c>
      <c r="C339" s="2" t="s">
        <v>979</v>
      </c>
      <c r="D339" s="1">
        <v>4</v>
      </c>
      <c r="E339" s="2" t="s">
        <v>1941</v>
      </c>
      <c r="F339" s="2" t="s">
        <v>1307</v>
      </c>
      <c r="G339" s="1">
        <v>7</v>
      </c>
      <c r="H339" s="45" t="s">
        <v>702</v>
      </c>
      <c r="I339" s="43" t="s">
        <v>702</v>
      </c>
      <c r="J339" s="43" t="s">
        <v>702</v>
      </c>
      <c r="K339" s="30">
        <v>56000</v>
      </c>
      <c r="L339" s="43" t="s">
        <v>702</v>
      </c>
      <c r="M339" s="3">
        <v>46163.516666666699</v>
      </c>
      <c r="N339" s="2" t="s">
        <v>766</v>
      </c>
      <c r="O339" s="3">
        <v>46183.516666666699</v>
      </c>
      <c r="P339" s="2" t="s">
        <v>766</v>
      </c>
      <c r="Q339" s="34"/>
      <c r="R339" s="1" t="s">
        <v>31</v>
      </c>
    </row>
    <row r="340" spans="2:18" ht="29" customHeight="1">
      <c r="B340" s="2" t="s">
        <v>1942</v>
      </c>
      <c r="C340" s="2" t="s">
        <v>982</v>
      </c>
      <c r="D340" s="1">
        <v>1</v>
      </c>
      <c r="E340" s="2" t="s">
        <v>1943</v>
      </c>
      <c r="F340" s="2" t="s">
        <v>1310</v>
      </c>
      <c r="G340" s="45">
        <v>2</v>
      </c>
      <c r="H340" s="45" t="s">
        <v>702</v>
      </c>
      <c r="I340" s="43" t="s">
        <v>702</v>
      </c>
      <c r="J340" s="43" t="s">
        <v>702</v>
      </c>
      <c r="K340" s="30">
        <v>24000</v>
      </c>
      <c r="L340" s="43" t="s">
        <v>702</v>
      </c>
      <c r="M340" s="3">
        <v>46164.653472222199</v>
      </c>
      <c r="N340" s="2" t="s">
        <v>769</v>
      </c>
      <c r="O340" s="3">
        <v>46184.653472222199</v>
      </c>
      <c r="P340" s="2" t="s">
        <v>769</v>
      </c>
      <c r="Q340" s="34"/>
      <c r="R340" s="1" t="s">
        <v>31</v>
      </c>
    </row>
    <row r="341" spans="2:18">
      <c r="B341" s="2" t="s">
        <v>1944</v>
      </c>
      <c r="C341" s="2" t="s">
        <v>982</v>
      </c>
      <c r="D341" s="1">
        <v>2</v>
      </c>
      <c r="E341" s="2" t="s">
        <v>1945</v>
      </c>
      <c r="F341" s="2" t="s">
        <v>1313</v>
      </c>
      <c r="G341" s="45" t="s">
        <v>702</v>
      </c>
      <c r="H341" s="45">
        <v>2</v>
      </c>
      <c r="I341" s="43" t="s">
        <v>702</v>
      </c>
      <c r="J341" s="43" t="s">
        <v>702</v>
      </c>
      <c r="K341" s="30">
        <v>80000</v>
      </c>
      <c r="L341" s="43" t="s">
        <v>702</v>
      </c>
      <c r="M341" s="3">
        <v>46164.653472222199</v>
      </c>
      <c r="N341" s="2" t="s">
        <v>769</v>
      </c>
      <c r="O341" s="3">
        <v>46184.653472222199</v>
      </c>
      <c r="P341" s="2" t="s">
        <v>769</v>
      </c>
      <c r="Q341" s="34"/>
      <c r="R341" s="1" t="s">
        <v>31</v>
      </c>
    </row>
    <row r="342" spans="2:18">
      <c r="B342" s="2" t="s">
        <v>1946</v>
      </c>
      <c r="C342" s="2" t="s">
        <v>982</v>
      </c>
      <c r="D342" s="1">
        <v>3</v>
      </c>
      <c r="E342" s="2" t="s">
        <v>1947</v>
      </c>
      <c r="F342" s="2" t="s">
        <v>1316</v>
      </c>
      <c r="G342" s="45">
        <v>6</v>
      </c>
      <c r="H342" s="45" t="s">
        <v>702</v>
      </c>
      <c r="I342" s="43" t="s">
        <v>702</v>
      </c>
      <c r="J342" s="43" t="s">
        <v>702</v>
      </c>
      <c r="K342" s="30">
        <v>90000</v>
      </c>
      <c r="L342" s="43" t="s">
        <v>702</v>
      </c>
      <c r="M342" s="3">
        <v>46164.653472222199</v>
      </c>
      <c r="N342" s="2" t="s">
        <v>769</v>
      </c>
      <c r="O342" s="3">
        <v>46184.653472222199</v>
      </c>
      <c r="P342" s="2" t="s">
        <v>769</v>
      </c>
      <c r="Q342" s="34"/>
      <c r="R342" s="1" t="s">
        <v>31</v>
      </c>
    </row>
    <row r="343" spans="2:18">
      <c r="B343" s="2" t="s">
        <v>1948</v>
      </c>
      <c r="C343" s="2" t="s">
        <v>982</v>
      </c>
      <c r="D343" s="1">
        <v>4</v>
      </c>
      <c r="E343" s="2" t="s">
        <v>1949</v>
      </c>
      <c r="F343" s="2" t="s">
        <v>1319</v>
      </c>
      <c r="G343" s="45" t="s">
        <v>702</v>
      </c>
      <c r="H343" s="1">
        <v>1</v>
      </c>
      <c r="I343" s="43" t="s">
        <v>702</v>
      </c>
      <c r="J343" s="43" t="s">
        <v>702</v>
      </c>
      <c r="K343" s="30">
        <v>60000</v>
      </c>
      <c r="L343" s="43" t="s">
        <v>702</v>
      </c>
      <c r="M343" s="3">
        <v>46164.653472222199</v>
      </c>
      <c r="N343" s="2" t="s">
        <v>769</v>
      </c>
      <c r="O343" s="3">
        <v>46184.653472222199</v>
      </c>
      <c r="P343" s="2" t="s">
        <v>769</v>
      </c>
      <c r="Q343" s="34"/>
      <c r="R343" s="1" t="s">
        <v>31</v>
      </c>
    </row>
    <row r="344" spans="2:18">
      <c r="B344" s="2" t="s">
        <v>1950</v>
      </c>
      <c r="C344" s="2" t="s">
        <v>985</v>
      </c>
      <c r="D344" s="1">
        <v>1</v>
      </c>
      <c r="E344" s="2" t="s">
        <v>1951</v>
      </c>
      <c r="F344" s="2" t="s">
        <v>1259</v>
      </c>
      <c r="G344" s="45" t="s">
        <v>702</v>
      </c>
      <c r="H344" s="45">
        <v>2</v>
      </c>
      <c r="I344" s="43" t="s">
        <v>702</v>
      </c>
      <c r="J344" s="43" t="s">
        <v>702</v>
      </c>
      <c r="K344" s="30">
        <v>70000</v>
      </c>
      <c r="L344" s="43" t="s">
        <v>702</v>
      </c>
      <c r="M344" s="3">
        <v>46164.4152777778</v>
      </c>
      <c r="N344" s="2" t="s">
        <v>772</v>
      </c>
      <c r="O344" s="3">
        <v>46184.4152777778</v>
      </c>
      <c r="P344" s="2" t="s">
        <v>772</v>
      </c>
      <c r="Q344" s="34"/>
      <c r="R344" s="1" t="s">
        <v>31</v>
      </c>
    </row>
    <row r="345" spans="2:18">
      <c r="B345" s="2" t="s">
        <v>1952</v>
      </c>
      <c r="C345" s="2" t="s">
        <v>985</v>
      </c>
      <c r="D345" s="1">
        <v>2</v>
      </c>
      <c r="E345" s="2" t="s">
        <v>1953</v>
      </c>
      <c r="F345" s="2" t="s">
        <v>1262</v>
      </c>
      <c r="G345" s="45">
        <v>5</v>
      </c>
      <c r="H345" s="45" t="s">
        <v>702</v>
      </c>
      <c r="I345" s="43" t="s">
        <v>702</v>
      </c>
      <c r="J345" s="43" t="s">
        <v>702</v>
      </c>
      <c r="K345" s="30">
        <v>75000</v>
      </c>
      <c r="L345" s="43" t="s">
        <v>702</v>
      </c>
      <c r="M345" s="3">
        <v>46164.4152777778</v>
      </c>
      <c r="N345" s="2" t="s">
        <v>772</v>
      </c>
      <c r="O345" s="3">
        <v>46184.4152777778</v>
      </c>
      <c r="P345" s="2" t="s">
        <v>772</v>
      </c>
      <c r="Q345" s="34"/>
      <c r="R345" s="1" t="s">
        <v>31</v>
      </c>
    </row>
    <row r="346" spans="2:18">
      <c r="B346" s="2" t="s">
        <v>1954</v>
      </c>
      <c r="C346" s="2" t="s">
        <v>985</v>
      </c>
      <c r="D346" s="1">
        <v>3</v>
      </c>
      <c r="E346" s="2" t="s">
        <v>1955</v>
      </c>
      <c r="F346" s="2" t="s">
        <v>1265</v>
      </c>
      <c r="G346" s="45" t="s">
        <v>702</v>
      </c>
      <c r="H346" s="45">
        <v>1</v>
      </c>
      <c r="I346" s="43" t="s">
        <v>702</v>
      </c>
      <c r="J346" s="43" t="s">
        <v>702</v>
      </c>
      <c r="K346" s="30">
        <v>50000</v>
      </c>
      <c r="L346" s="43" t="s">
        <v>702</v>
      </c>
      <c r="M346" s="3">
        <v>46164.4152777778</v>
      </c>
      <c r="N346" s="2" t="s">
        <v>772</v>
      </c>
      <c r="O346" s="3">
        <v>46184.4152777778</v>
      </c>
      <c r="P346" s="2" t="s">
        <v>772</v>
      </c>
      <c r="Q346" s="34"/>
      <c r="R346" s="1" t="s">
        <v>31</v>
      </c>
    </row>
    <row r="347" spans="2:18">
      <c r="B347" s="2" t="s">
        <v>1956</v>
      </c>
      <c r="C347" s="2" t="s">
        <v>985</v>
      </c>
      <c r="D347" s="1">
        <v>4</v>
      </c>
      <c r="E347" s="2" t="s">
        <v>1957</v>
      </c>
      <c r="F347" s="2" t="s">
        <v>1268</v>
      </c>
      <c r="G347" s="45">
        <v>9</v>
      </c>
      <c r="H347" s="45" t="s">
        <v>702</v>
      </c>
      <c r="I347" s="43" t="s">
        <v>702</v>
      </c>
      <c r="J347" s="43" t="s">
        <v>702</v>
      </c>
      <c r="K347" s="30">
        <v>67500</v>
      </c>
      <c r="L347" s="43" t="s">
        <v>702</v>
      </c>
      <c r="M347" s="3">
        <v>46164.4152777778</v>
      </c>
      <c r="N347" s="2" t="s">
        <v>772</v>
      </c>
      <c r="O347" s="3">
        <v>46184.4152777778</v>
      </c>
      <c r="P347" s="2" t="s">
        <v>772</v>
      </c>
      <c r="Q347" s="34"/>
      <c r="R347" s="1" t="s">
        <v>31</v>
      </c>
    </row>
    <row r="348" spans="2:18">
      <c r="B348" s="2" t="s">
        <v>1958</v>
      </c>
      <c r="C348" s="2" t="s">
        <v>988</v>
      </c>
      <c r="D348" s="1">
        <v>1</v>
      </c>
      <c r="E348" s="2" t="s">
        <v>1959</v>
      </c>
      <c r="F348" s="2" t="s">
        <v>1271</v>
      </c>
      <c r="G348" s="1">
        <v>4</v>
      </c>
      <c r="H348" s="45" t="s">
        <v>702</v>
      </c>
      <c r="I348" s="43" t="s">
        <v>702</v>
      </c>
      <c r="J348" s="43" t="s">
        <v>702</v>
      </c>
      <c r="K348" s="30">
        <v>40000</v>
      </c>
      <c r="L348" s="43" t="s">
        <v>702</v>
      </c>
      <c r="M348" s="3">
        <v>46165.510416666701</v>
      </c>
      <c r="N348" s="2" t="s">
        <v>775</v>
      </c>
      <c r="O348" s="3">
        <v>46185.510416666701</v>
      </c>
      <c r="P348" s="2" t="s">
        <v>775</v>
      </c>
      <c r="Q348" s="34"/>
      <c r="R348" s="1" t="s">
        <v>31</v>
      </c>
    </row>
    <row r="349" spans="2:18">
      <c r="B349" s="2" t="s">
        <v>1960</v>
      </c>
      <c r="C349" s="2" t="s">
        <v>988</v>
      </c>
      <c r="D349" s="1">
        <v>2</v>
      </c>
      <c r="E349" s="2" t="s">
        <v>1961</v>
      </c>
      <c r="F349" s="2" t="s">
        <v>1274</v>
      </c>
      <c r="G349" s="45" t="s">
        <v>702</v>
      </c>
      <c r="H349" s="1">
        <v>1</v>
      </c>
      <c r="I349" s="43" t="s">
        <v>702</v>
      </c>
      <c r="J349" s="43" t="s">
        <v>702</v>
      </c>
      <c r="K349" s="30">
        <v>40000</v>
      </c>
      <c r="L349" s="43" t="s">
        <v>702</v>
      </c>
      <c r="M349" s="3">
        <v>46165.510416666701</v>
      </c>
      <c r="N349" s="2" t="s">
        <v>775</v>
      </c>
      <c r="O349" s="3">
        <v>46185.510416666701</v>
      </c>
      <c r="P349" s="2" t="s">
        <v>775</v>
      </c>
      <c r="Q349" s="34"/>
      <c r="R349" s="1" t="s">
        <v>31</v>
      </c>
    </row>
    <row r="350" spans="2:18">
      <c r="B350" s="2" t="s">
        <v>1962</v>
      </c>
      <c r="C350" s="2" t="s">
        <v>988</v>
      </c>
      <c r="D350" s="1">
        <v>3</v>
      </c>
      <c r="E350" s="2" t="s">
        <v>1963</v>
      </c>
      <c r="F350" s="2" t="s">
        <v>1277</v>
      </c>
      <c r="G350" s="1">
        <v>8</v>
      </c>
      <c r="H350" s="45" t="s">
        <v>702</v>
      </c>
      <c r="I350" s="43" t="s">
        <v>702</v>
      </c>
      <c r="J350" s="43" t="s">
        <v>702</v>
      </c>
      <c r="K350" s="30">
        <v>100000</v>
      </c>
      <c r="L350" s="43" t="s">
        <v>702</v>
      </c>
      <c r="M350" s="3">
        <v>46165.510416666701</v>
      </c>
      <c r="N350" s="2" t="s">
        <v>775</v>
      </c>
      <c r="O350" s="3">
        <v>46185.510416666701</v>
      </c>
      <c r="P350" s="2" t="s">
        <v>775</v>
      </c>
      <c r="Q350" s="34"/>
      <c r="R350" s="1" t="s">
        <v>31</v>
      </c>
    </row>
    <row r="351" spans="2:18">
      <c r="B351" s="2" t="s">
        <v>1964</v>
      </c>
      <c r="C351" s="2" t="s">
        <v>988</v>
      </c>
      <c r="D351" s="1">
        <v>4</v>
      </c>
      <c r="E351" s="2" t="s">
        <v>1965</v>
      </c>
      <c r="F351" s="2" t="s">
        <v>1280</v>
      </c>
      <c r="G351" s="45" t="s">
        <v>702</v>
      </c>
      <c r="H351" s="1">
        <v>3</v>
      </c>
      <c r="I351" s="43" t="s">
        <v>702</v>
      </c>
      <c r="J351" s="43" t="s">
        <v>702</v>
      </c>
      <c r="K351" s="30">
        <v>127500</v>
      </c>
      <c r="L351" s="43" t="s">
        <v>702</v>
      </c>
      <c r="M351" s="3">
        <v>46165.510416666701</v>
      </c>
      <c r="N351" s="2" t="s">
        <v>775</v>
      </c>
      <c r="O351" s="3">
        <v>46185.510416666701</v>
      </c>
      <c r="P351" s="2" t="s">
        <v>775</v>
      </c>
      <c r="Q351" s="34"/>
      <c r="R351" s="1" t="s">
        <v>31</v>
      </c>
    </row>
    <row r="352" spans="2:18">
      <c r="B352" s="2" t="s">
        <v>1966</v>
      </c>
      <c r="C352" s="2" t="s">
        <v>991</v>
      </c>
      <c r="D352" s="1">
        <v>1</v>
      </c>
      <c r="E352" s="2" t="s">
        <v>1967</v>
      </c>
      <c r="F352" s="2" t="s">
        <v>1283</v>
      </c>
      <c r="G352" s="45" t="s">
        <v>702</v>
      </c>
      <c r="H352" s="45">
        <v>1</v>
      </c>
      <c r="I352" s="43" t="s">
        <v>702</v>
      </c>
      <c r="J352" s="43" t="s">
        <v>702</v>
      </c>
      <c r="K352" s="30">
        <v>50000</v>
      </c>
      <c r="L352" s="43" t="s">
        <v>702</v>
      </c>
      <c r="M352" s="3">
        <v>46165.6472222222</v>
      </c>
      <c r="N352" s="2" t="s">
        <v>150</v>
      </c>
      <c r="O352" s="3">
        <v>46185.6472222222</v>
      </c>
      <c r="P352" s="2" t="s">
        <v>150</v>
      </c>
      <c r="Q352" s="34"/>
      <c r="R352" s="1" t="s">
        <v>31</v>
      </c>
    </row>
    <row r="353" spans="2:18">
      <c r="B353" s="2" t="s">
        <v>1968</v>
      </c>
      <c r="C353" s="2" t="s">
        <v>991</v>
      </c>
      <c r="D353" s="1">
        <v>2</v>
      </c>
      <c r="E353" s="2" t="s">
        <v>1969</v>
      </c>
      <c r="F353" s="2" t="s">
        <v>1286</v>
      </c>
      <c r="G353" s="45">
        <v>7</v>
      </c>
      <c r="H353" s="45" t="s">
        <v>702</v>
      </c>
      <c r="I353" s="43" t="s">
        <v>702</v>
      </c>
      <c r="J353" s="43" t="s">
        <v>702</v>
      </c>
      <c r="K353" s="30">
        <v>70000</v>
      </c>
      <c r="L353" s="43" t="s">
        <v>702</v>
      </c>
      <c r="M353" s="3">
        <v>46165.6472222222</v>
      </c>
      <c r="N353" s="2" t="s">
        <v>150</v>
      </c>
      <c r="O353" s="3">
        <v>46185.6472222222</v>
      </c>
      <c r="P353" s="2" t="s">
        <v>150</v>
      </c>
      <c r="Q353" s="34"/>
      <c r="R353" s="1" t="s">
        <v>31</v>
      </c>
    </row>
    <row r="354" spans="2:18">
      <c r="B354" s="2" t="s">
        <v>1970</v>
      </c>
      <c r="C354" s="2" t="s">
        <v>991</v>
      </c>
      <c r="D354" s="1">
        <v>3</v>
      </c>
      <c r="E354" s="2" t="s">
        <v>1971</v>
      </c>
      <c r="F354" s="2" t="s">
        <v>1289</v>
      </c>
      <c r="G354" s="45" t="s">
        <v>702</v>
      </c>
      <c r="H354" s="45">
        <v>3</v>
      </c>
      <c r="I354" s="43" t="s">
        <v>702</v>
      </c>
      <c r="J354" s="43" t="s">
        <v>702</v>
      </c>
      <c r="K354" s="30">
        <v>120000</v>
      </c>
      <c r="L354" s="43" t="s">
        <v>702</v>
      </c>
      <c r="M354" s="3">
        <v>46165.6472222222</v>
      </c>
      <c r="N354" s="2" t="s">
        <v>150</v>
      </c>
      <c r="O354" s="3">
        <v>46185.6472222222</v>
      </c>
      <c r="P354" s="2" t="s">
        <v>150</v>
      </c>
      <c r="Q354" s="34"/>
      <c r="R354" s="1" t="s">
        <v>31</v>
      </c>
    </row>
    <row r="355" spans="2:18">
      <c r="B355" s="2" t="s">
        <v>1972</v>
      </c>
      <c r="C355" s="2" t="s">
        <v>991</v>
      </c>
      <c r="D355" s="1">
        <v>4</v>
      </c>
      <c r="E355" s="2" t="s">
        <v>1973</v>
      </c>
      <c r="F355" s="2" t="s">
        <v>1292</v>
      </c>
      <c r="G355" s="45">
        <v>11</v>
      </c>
      <c r="H355" s="45" t="s">
        <v>702</v>
      </c>
      <c r="I355" s="43" t="s">
        <v>702</v>
      </c>
      <c r="J355" s="43" t="s">
        <v>702</v>
      </c>
      <c r="K355" s="30">
        <v>165000</v>
      </c>
      <c r="L355" s="43" t="s">
        <v>702</v>
      </c>
      <c r="M355" s="3">
        <v>46165.6472222222</v>
      </c>
      <c r="N355" s="2" t="s">
        <v>150</v>
      </c>
      <c r="O355" s="3">
        <v>46185.6472222222</v>
      </c>
      <c r="P355" s="2" t="s">
        <v>150</v>
      </c>
      <c r="Q355" s="34"/>
      <c r="R355" s="1" t="s">
        <v>31</v>
      </c>
    </row>
    <row r="356" spans="2:18">
      <c r="B356" s="2" t="s">
        <v>1974</v>
      </c>
      <c r="C356" s="2" t="s">
        <v>994</v>
      </c>
      <c r="D356" s="1">
        <v>1</v>
      </c>
      <c r="E356" s="2" t="s">
        <v>1975</v>
      </c>
      <c r="F356" s="2" t="s">
        <v>1295</v>
      </c>
      <c r="G356" s="1">
        <v>6</v>
      </c>
      <c r="H356" s="45" t="s">
        <v>702</v>
      </c>
      <c r="I356" s="43" t="s">
        <v>702</v>
      </c>
      <c r="J356" s="43" t="s">
        <v>702</v>
      </c>
      <c r="K356" s="30">
        <v>18000</v>
      </c>
      <c r="L356" s="43" t="s">
        <v>702</v>
      </c>
      <c r="M356" s="3">
        <v>46166.409027777801</v>
      </c>
      <c r="N356" s="2" t="s">
        <v>154</v>
      </c>
      <c r="O356" s="3">
        <v>46186.409027777801</v>
      </c>
      <c r="P356" s="2" t="s">
        <v>154</v>
      </c>
      <c r="Q356" s="34"/>
      <c r="R356" s="1" t="s">
        <v>31</v>
      </c>
    </row>
    <row r="357" spans="2:18">
      <c r="B357" s="2" t="s">
        <v>1976</v>
      </c>
      <c r="C357" s="2" t="s">
        <v>994</v>
      </c>
      <c r="D357" s="1">
        <v>2</v>
      </c>
      <c r="E357" s="2" t="s">
        <v>1977</v>
      </c>
      <c r="F357" s="2" t="s">
        <v>1298</v>
      </c>
      <c r="G357" s="45" t="s">
        <v>702</v>
      </c>
      <c r="H357" s="1">
        <v>3</v>
      </c>
      <c r="I357" s="43" t="s">
        <v>702</v>
      </c>
      <c r="J357" s="43" t="s">
        <v>702</v>
      </c>
      <c r="K357" s="30">
        <v>60000</v>
      </c>
      <c r="L357" s="43" t="s">
        <v>702</v>
      </c>
      <c r="M357" s="3">
        <v>46166.409027777801</v>
      </c>
      <c r="N357" s="2" t="s">
        <v>154</v>
      </c>
      <c r="O357" s="3">
        <v>46186.409027777801</v>
      </c>
      <c r="P357" s="2" t="s">
        <v>154</v>
      </c>
      <c r="Q357" s="34"/>
      <c r="R357" s="1" t="s">
        <v>31</v>
      </c>
    </row>
    <row r="358" spans="2:18">
      <c r="B358" s="2" t="s">
        <v>1978</v>
      </c>
      <c r="C358" s="2" t="s">
        <v>994</v>
      </c>
      <c r="D358" s="1">
        <v>3</v>
      </c>
      <c r="E358" s="2" t="s">
        <v>1979</v>
      </c>
      <c r="F358" s="2" t="s">
        <v>1301</v>
      </c>
      <c r="G358" s="45">
        <v>10</v>
      </c>
      <c r="H358" s="45" t="s">
        <v>702</v>
      </c>
      <c r="I358" s="43" t="s">
        <v>702</v>
      </c>
      <c r="J358" s="43" t="s">
        <v>702</v>
      </c>
      <c r="K358" s="30">
        <v>70000</v>
      </c>
      <c r="L358" s="43" t="s">
        <v>702</v>
      </c>
      <c r="M358" s="3">
        <v>46166.409027777801</v>
      </c>
      <c r="N358" s="2" t="s">
        <v>154</v>
      </c>
      <c r="O358" s="3">
        <v>46186.409027777801</v>
      </c>
      <c r="P358" s="2" t="s">
        <v>154</v>
      </c>
      <c r="Q358" s="34"/>
      <c r="R358" s="1" t="s">
        <v>31</v>
      </c>
    </row>
    <row r="359" spans="2:18" ht="29" customHeight="1">
      <c r="B359" s="2" t="s">
        <v>1980</v>
      </c>
      <c r="C359" s="2" t="s">
        <v>994</v>
      </c>
      <c r="D359" s="1">
        <v>4</v>
      </c>
      <c r="E359" s="2" t="s">
        <v>1981</v>
      </c>
      <c r="F359" s="2" t="s">
        <v>1304</v>
      </c>
      <c r="G359" s="45" t="s">
        <v>702</v>
      </c>
      <c r="H359" s="45">
        <v>2</v>
      </c>
      <c r="I359" s="43" t="s">
        <v>702</v>
      </c>
      <c r="J359" s="43" t="s">
        <v>702</v>
      </c>
      <c r="K359" s="30">
        <v>40000</v>
      </c>
      <c r="L359" s="43" t="s">
        <v>702</v>
      </c>
      <c r="M359" s="3">
        <v>46166.409027777801</v>
      </c>
      <c r="N359" s="2" t="s">
        <v>154</v>
      </c>
      <c r="O359" s="3">
        <v>46186.409027777801</v>
      </c>
      <c r="P359" s="2" t="s">
        <v>154</v>
      </c>
      <c r="Q359" s="34"/>
      <c r="R359" s="1" t="s">
        <v>31</v>
      </c>
    </row>
    <row r="360" spans="2:18">
      <c r="B360" s="2" t="s">
        <v>1982</v>
      </c>
      <c r="C360" s="2" t="s">
        <v>997</v>
      </c>
      <c r="D360" s="1">
        <v>1</v>
      </c>
      <c r="E360" s="2" t="s">
        <v>1983</v>
      </c>
      <c r="F360" s="2" t="s">
        <v>1307</v>
      </c>
      <c r="G360" s="45" t="s">
        <v>702</v>
      </c>
      <c r="H360" s="45">
        <v>3</v>
      </c>
      <c r="I360" s="43" t="s">
        <v>702</v>
      </c>
      <c r="J360" s="43" t="s">
        <v>702</v>
      </c>
      <c r="K360" s="30">
        <v>90000</v>
      </c>
      <c r="L360" s="43" t="s">
        <v>702</v>
      </c>
      <c r="M360" s="3">
        <v>46166.545833333301</v>
      </c>
      <c r="N360" s="2" t="s">
        <v>782</v>
      </c>
      <c r="O360" s="3">
        <v>46186.545833333301</v>
      </c>
      <c r="P360" s="2" t="s">
        <v>782</v>
      </c>
      <c r="Q360" s="34"/>
      <c r="R360" s="1" t="s">
        <v>31</v>
      </c>
    </row>
    <row r="361" spans="2:18">
      <c r="B361" s="2" t="s">
        <v>1984</v>
      </c>
      <c r="C361" s="2" t="s">
        <v>997</v>
      </c>
      <c r="D361" s="1">
        <v>2</v>
      </c>
      <c r="E361" s="2" t="s">
        <v>1985</v>
      </c>
      <c r="F361" s="2" t="s">
        <v>1310</v>
      </c>
      <c r="G361" s="45">
        <v>9</v>
      </c>
      <c r="H361" s="45" t="s">
        <v>702</v>
      </c>
      <c r="I361" s="43" t="s">
        <v>702</v>
      </c>
      <c r="J361" s="43" t="s">
        <v>702</v>
      </c>
      <c r="K361" s="30">
        <v>108000</v>
      </c>
      <c r="L361" s="43" t="s">
        <v>702</v>
      </c>
      <c r="M361" s="3">
        <v>46166.545833333301</v>
      </c>
      <c r="N361" s="2" t="s">
        <v>782</v>
      </c>
      <c r="O361" s="3">
        <v>46186.545833333301</v>
      </c>
      <c r="P361" s="2" t="s">
        <v>782</v>
      </c>
      <c r="Q361" s="34"/>
      <c r="R361" s="1" t="s">
        <v>31</v>
      </c>
    </row>
    <row r="362" spans="2:18" ht="29" customHeight="1">
      <c r="B362" s="2" t="s">
        <v>1986</v>
      </c>
      <c r="C362" s="2" t="s">
        <v>997</v>
      </c>
      <c r="D362" s="1">
        <v>3</v>
      </c>
      <c r="E362" s="2" t="s">
        <v>1987</v>
      </c>
      <c r="F362" s="2" t="s">
        <v>1313</v>
      </c>
      <c r="G362" s="45" t="s">
        <v>702</v>
      </c>
      <c r="H362" s="45">
        <v>2</v>
      </c>
      <c r="I362" s="43" t="s">
        <v>702</v>
      </c>
      <c r="J362" s="43" t="s">
        <v>702</v>
      </c>
      <c r="K362" s="30">
        <v>80000</v>
      </c>
      <c r="L362" s="43" t="s">
        <v>702</v>
      </c>
      <c r="M362" s="3">
        <v>46166.545833333301</v>
      </c>
      <c r="N362" s="2" t="s">
        <v>782</v>
      </c>
      <c r="O362" s="3">
        <v>46186.545833333301</v>
      </c>
      <c r="P362" s="2" t="s">
        <v>782</v>
      </c>
      <c r="Q362" s="34"/>
      <c r="R362" s="1" t="s">
        <v>31</v>
      </c>
    </row>
    <row r="363" spans="2:18">
      <c r="B363" s="2" t="s">
        <v>1988</v>
      </c>
      <c r="C363" s="2" t="s">
        <v>997</v>
      </c>
      <c r="D363" s="1">
        <v>4</v>
      </c>
      <c r="E363" s="2" t="s">
        <v>1989</v>
      </c>
      <c r="F363" s="2" t="s">
        <v>1316</v>
      </c>
      <c r="G363" s="45">
        <v>1</v>
      </c>
      <c r="H363" s="45" t="s">
        <v>702</v>
      </c>
      <c r="I363" s="43" t="s">
        <v>702</v>
      </c>
      <c r="J363" s="43" t="s">
        <v>702</v>
      </c>
      <c r="K363" s="30">
        <v>15000</v>
      </c>
      <c r="L363" s="43" t="s">
        <v>702</v>
      </c>
      <c r="M363" s="3">
        <v>46166.545833333301</v>
      </c>
      <c r="N363" s="2" t="s">
        <v>782</v>
      </c>
      <c r="O363" s="3">
        <v>46186.545833333301</v>
      </c>
      <c r="P363" s="2" t="s">
        <v>782</v>
      </c>
      <c r="Q363" s="34"/>
      <c r="R363" s="1" t="s">
        <v>31</v>
      </c>
    </row>
    <row r="364" spans="2:18">
      <c r="B364" s="2" t="s">
        <v>1990</v>
      </c>
      <c r="C364" s="2" t="s">
        <v>1000</v>
      </c>
      <c r="D364" s="1">
        <v>1</v>
      </c>
      <c r="E364" s="2" t="s">
        <v>1991</v>
      </c>
      <c r="F364" s="2" t="s">
        <v>1319</v>
      </c>
      <c r="G364" s="1">
        <v>8</v>
      </c>
      <c r="H364" s="45" t="s">
        <v>702</v>
      </c>
      <c r="I364" s="43" t="s">
        <v>702</v>
      </c>
      <c r="J364" s="43" t="s">
        <v>702</v>
      </c>
      <c r="K364" s="30">
        <v>140000</v>
      </c>
      <c r="L364" s="43" t="s">
        <v>702</v>
      </c>
      <c r="M364" s="3">
        <v>46167.640972222202</v>
      </c>
      <c r="N364" s="2" t="s">
        <v>785</v>
      </c>
      <c r="O364" s="3">
        <v>46187.640972222202</v>
      </c>
      <c r="P364" s="2" t="s">
        <v>785</v>
      </c>
      <c r="Q364" s="34"/>
      <c r="R364" s="1" t="s">
        <v>31</v>
      </c>
    </row>
    <row r="365" spans="2:18" ht="29" customHeight="1">
      <c r="B365" s="2" t="s">
        <v>1992</v>
      </c>
      <c r="C365" s="2" t="s">
        <v>1000</v>
      </c>
      <c r="D365" s="1">
        <v>2</v>
      </c>
      <c r="E365" s="2" t="s">
        <v>1993</v>
      </c>
      <c r="F365" s="2" t="s">
        <v>1259</v>
      </c>
      <c r="G365" s="45" t="s">
        <v>702</v>
      </c>
      <c r="H365" s="1">
        <v>2</v>
      </c>
      <c r="I365" s="43" t="s">
        <v>702</v>
      </c>
      <c r="J365" s="43" t="s">
        <v>702</v>
      </c>
      <c r="K365" s="30">
        <v>70000</v>
      </c>
      <c r="L365" s="43" t="s">
        <v>702</v>
      </c>
      <c r="M365" s="3">
        <v>46167.640972222202</v>
      </c>
      <c r="N365" s="2" t="s">
        <v>785</v>
      </c>
      <c r="O365" s="3">
        <v>46187.640972222202</v>
      </c>
      <c r="P365" s="2" t="s">
        <v>785</v>
      </c>
      <c r="Q365" s="34"/>
      <c r="R365" s="1" t="s">
        <v>31</v>
      </c>
    </row>
    <row r="366" spans="2:18">
      <c r="B366" s="2" t="s">
        <v>1994</v>
      </c>
      <c r="C366" s="2" t="s">
        <v>1000</v>
      </c>
      <c r="D366" s="1">
        <v>3</v>
      </c>
      <c r="E366" s="2" t="s">
        <v>1995</v>
      </c>
      <c r="F366" s="2" t="s">
        <v>1262</v>
      </c>
      <c r="G366" s="1">
        <v>12</v>
      </c>
      <c r="H366" s="45" t="s">
        <v>702</v>
      </c>
      <c r="I366" s="43" t="s">
        <v>702</v>
      </c>
      <c r="J366" s="43" t="s">
        <v>702</v>
      </c>
      <c r="K366" s="30">
        <v>180000</v>
      </c>
      <c r="L366" s="43" t="s">
        <v>702</v>
      </c>
      <c r="M366" s="3">
        <v>46167.640972222202</v>
      </c>
      <c r="N366" s="2" t="s">
        <v>785</v>
      </c>
      <c r="O366" s="3">
        <v>46187.640972222202</v>
      </c>
      <c r="P366" s="2" t="s">
        <v>785</v>
      </c>
      <c r="Q366" s="34"/>
      <c r="R366" s="1" t="s">
        <v>31</v>
      </c>
    </row>
    <row r="367" spans="2:18">
      <c r="B367" s="2" t="s">
        <v>1996</v>
      </c>
      <c r="C367" s="2" t="s">
        <v>1000</v>
      </c>
      <c r="D367" s="1">
        <v>4</v>
      </c>
      <c r="E367" s="2" t="s">
        <v>1997</v>
      </c>
      <c r="F367" s="2" t="s">
        <v>1265</v>
      </c>
      <c r="G367" s="45" t="s">
        <v>702</v>
      </c>
      <c r="H367" s="45">
        <v>1</v>
      </c>
      <c r="I367" s="43" t="s">
        <v>702</v>
      </c>
      <c r="J367" s="43" t="s">
        <v>702</v>
      </c>
      <c r="K367" s="30">
        <v>50000</v>
      </c>
      <c r="L367" s="43" t="s">
        <v>702</v>
      </c>
      <c r="M367" s="3">
        <v>46167.640972222202</v>
      </c>
      <c r="N367" s="2" t="s">
        <v>785</v>
      </c>
      <c r="O367" s="3">
        <v>46187.640972222202</v>
      </c>
      <c r="P367" s="2" t="s">
        <v>785</v>
      </c>
      <c r="Q367" s="34"/>
      <c r="R367" s="1" t="s">
        <v>31</v>
      </c>
    </row>
    <row r="368" spans="2:18" ht="29" customHeight="1">
      <c r="B368" s="2" t="s">
        <v>1998</v>
      </c>
      <c r="C368" s="2" t="s">
        <v>1003</v>
      </c>
      <c r="D368" s="1">
        <v>1</v>
      </c>
      <c r="E368" s="2" t="s">
        <v>1999</v>
      </c>
      <c r="F368" s="2" t="s">
        <v>1268</v>
      </c>
      <c r="G368" s="45" t="s">
        <v>702</v>
      </c>
      <c r="H368" s="1">
        <v>2</v>
      </c>
      <c r="I368" s="43" t="s">
        <v>702</v>
      </c>
      <c r="J368" s="43" t="s">
        <v>702</v>
      </c>
      <c r="K368" s="30">
        <v>50000</v>
      </c>
      <c r="L368" s="43" t="s">
        <v>702</v>
      </c>
      <c r="M368" s="3">
        <v>46167.402777777803</v>
      </c>
      <c r="N368" s="2" t="s">
        <v>788</v>
      </c>
      <c r="O368" s="3">
        <v>46187.402777777803</v>
      </c>
      <c r="P368" s="2" t="s">
        <v>788</v>
      </c>
      <c r="Q368" s="34"/>
      <c r="R368" s="1" t="s">
        <v>31</v>
      </c>
    </row>
    <row r="369" spans="2:18">
      <c r="B369" s="2" t="s">
        <v>2000</v>
      </c>
      <c r="C369" s="2" t="s">
        <v>1003</v>
      </c>
      <c r="D369" s="1">
        <v>2</v>
      </c>
      <c r="E369" s="2" t="s">
        <v>2001</v>
      </c>
      <c r="F369" s="2" t="s">
        <v>1271</v>
      </c>
      <c r="G369" s="1">
        <v>11</v>
      </c>
      <c r="H369" s="45" t="s">
        <v>702</v>
      </c>
      <c r="I369" s="43" t="s">
        <v>702</v>
      </c>
      <c r="J369" s="43" t="s">
        <v>702</v>
      </c>
      <c r="K369" s="30">
        <v>110000</v>
      </c>
      <c r="L369" s="43" t="s">
        <v>702</v>
      </c>
      <c r="M369" s="3">
        <v>46167.402777777803</v>
      </c>
      <c r="N369" s="2" t="s">
        <v>788</v>
      </c>
      <c r="O369" s="3">
        <v>46187.402777777803</v>
      </c>
      <c r="P369" s="2" t="s">
        <v>788</v>
      </c>
      <c r="Q369" s="34"/>
      <c r="R369" s="1" t="s">
        <v>31</v>
      </c>
    </row>
    <row r="370" spans="2:18">
      <c r="B370" s="2" t="s">
        <v>2002</v>
      </c>
      <c r="C370" s="2" t="s">
        <v>1003</v>
      </c>
      <c r="D370" s="1">
        <v>3</v>
      </c>
      <c r="E370" s="2" t="s">
        <v>2003</v>
      </c>
      <c r="F370" s="2" t="s">
        <v>1274</v>
      </c>
      <c r="G370" s="45" t="s">
        <v>702</v>
      </c>
      <c r="H370" s="1">
        <v>1</v>
      </c>
      <c r="I370" s="43" t="s">
        <v>702</v>
      </c>
      <c r="J370" s="43" t="s">
        <v>702</v>
      </c>
      <c r="K370" s="30">
        <v>40000</v>
      </c>
      <c r="L370" s="43" t="s">
        <v>702</v>
      </c>
      <c r="M370" s="3">
        <v>46167.402777777803</v>
      </c>
      <c r="N370" s="2" t="s">
        <v>788</v>
      </c>
      <c r="O370" s="3">
        <v>46187.402777777803</v>
      </c>
      <c r="P370" s="2" t="s">
        <v>788</v>
      </c>
      <c r="Q370" s="34"/>
      <c r="R370" s="1" t="s">
        <v>31</v>
      </c>
    </row>
    <row r="371" spans="2:18">
      <c r="B371" s="2" t="s">
        <v>2004</v>
      </c>
      <c r="C371" s="2" t="s">
        <v>1003</v>
      </c>
      <c r="D371" s="1">
        <v>4</v>
      </c>
      <c r="E371" s="2" t="s">
        <v>2005</v>
      </c>
      <c r="F371" s="2" t="s">
        <v>1277</v>
      </c>
      <c r="G371" s="1">
        <v>3</v>
      </c>
      <c r="H371" s="45" t="s">
        <v>702</v>
      </c>
      <c r="I371" s="43" t="s">
        <v>702</v>
      </c>
      <c r="J371" s="43" t="s">
        <v>702</v>
      </c>
      <c r="K371" s="30">
        <v>37500</v>
      </c>
      <c r="L371" s="43" t="s">
        <v>702</v>
      </c>
      <c r="M371" s="3">
        <v>46167.402777777803</v>
      </c>
      <c r="N371" s="2" t="s">
        <v>788</v>
      </c>
      <c r="O371" s="3">
        <v>46187.402777777803</v>
      </c>
      <c r="P371" s="2" t="s">
        <v>788</v>
      </c>
      <c r="Q371" s="34"/>
      <c r="R371" s="1" t="s">
        <v>31</v>
      </c>
    </row>
    <row r="372" spans="2:18">
      <c r="B372" s="2" t="s">
        <v>2006</v>
      </c>
      <c r="C372" s="2" t="s">
        <v>1006</v>
      </c>
      <c r="D372" s="1">
        <v>1</v>
      </c>
      <c r="E372" s="2" t="s">
        <v>2007</v>
      </c>
      <c r="F372" s="2" t="s">
        <v>1280</v>
      </c>
      <c r="G372" s="45">
        <v>10</v>
      </c>
      <c r="H372" s="45" t="s">
        <v>702</v>
      </c>
      <c r="I372" s="43" t="s">
        <v>702</v>
      </c>
      <c r="J372" s="43" t="s">
        <v>702</v>
      </c>
      <c r="K372" s="30">
        <v>150000</v>
      </c>
      <c r="L372" s="43" t="s">
        <v>702</v>
      </c>
      <c r="M372" s="3">
        <v>46168.539583333302</v>
      </c>
      <c r="N372" s="2" t="s">
        <v>791</v>
      </c>
      <c r="O372" s="3">
        <v>46188.539583333302</v>
      </c>
      <c r="P372" s="2" t="s">
        <v>791</v>
      </c>
      <c r="Q372" s="34"/>
      <c r="R372" s="1" t="s">
        <v>31</v>
      </c>
    </row>
    <row r="373" spans="2:18">
      <c r="B373" s="2" t="s">
        <v>2008</v>
      </c>
      <c r="C373" s="2" t="s">
        <v>1006</v>
      </c>
      <c r="D373" s="1">
        <v>2</v>
      </c>
      <c r="E373" s="2" t="s">
        <v>2009</v>
      </c>
      <c r="F373" s="2" t="s">
        <v>1283</v>
      </c>
      <c r="G373" s="45" t="s">
        <v>702</v>
      </c>
      <c r="H373" s="45">
        <v>1</v>
      </c>
      <c r="I373" s="43" t="s">
        <v>702</v>
      </c>
      <c r="J373" s="43" t="s">
        <v>702</v>
      </c>
      <c r="K373" s="30">
        <v>50000</v>
      </c>
      <c r="L373" s="43" t="s">
        <v>702</v>
      </c>
      <c r="M373" s="3">
        <v>46168.539583333302</v>
      </c>
      <c r="N373" s="2" t="s">
        <v>791</v>
      </c>
      <c r="O373" s="3">
        <v>46188.539583333302</v>
      </c>
      <c r="P373" s="2" t="s">
        <v>791</v>
      </c>
      <c r="Q373" s="34"/>
      <c r="R373" s="1" t="s">
        <v>31</v>
      </c>
    </row>
    <row r="374" spans="2:18">
      <c r="B374" s="2" t="s">
        <v>2010</v>
      </c>
      <c r="C374" s="2" t="s">
        <v>1006</v>
      </c>
      <c r="D374" s="1">
        <v>3</v>
      </c>
      <c r="E374" s="2" t="s">
        <v>2011</v>
      </c>
      <c r="F374" s="2" t="s">
        <v>1286</v>
      </c>
      <c r="G374" s="45">
        <v>2</v>
      </c>
      <c r="H374" s="45" t="s">
        <v>702</v>
      </c>
      <c r="I374" s="43" t="s">
        <v>702</v>
      </c>
      <c r="J374" s="43" t="s">
        <v>702</v>
      </c>
      <c r="K374" s="30">
        <v>20000</v>
      </c>
      <c r="L374" s="43" t="s">
        <v>702</v>
      </c>
      <c r="M374" s="3">
        <v>46168.539583333302</v>
      </c>
      <c r="N374" s="2" t="s">
        <v>791</v>
      </c>
      <c r="O374" s="3">
        <v>46188.539583333302</v>
      </c>
      <c r="P374" s="2" t="s">
        <v>791</v>
      </c>
      <c r="Q374" s="34"/>
      <c r="R374" s="1" t="s">
        <v>31</v>
      </c>
    </row>
    <row r="375" spans="2:18" ht="29" customHeight="1">
      <c r="B375" s="2" t="s">
        <v>2012</v>
      </c>
      <c r="C375" s="2" t="s">
        <v>1006</v>
      </c>
      <c r="D375" s="1">
        <v>4</v>
      </c>
      <c r="E375" s="2" t="s">
        <v>2013</v>
      </c>
      <c r="F375" s="2" t="s">
        <v>1289</v>
      </c>
      <c r="G375" s="45" t="s">
        <v>702</v>
      </c>
      <c r="H375" s="45">
        <v>3</v>
      </c>
      <c r="I375" s="43" t="s">
        <v>702</v>
      </c>
      <c r="J375" s="43" t="s">
        <v>702</v>
      </c>
      <c r="K375" s="30">
        <v>120000</v>
      </c>
      <c r="L375" s="43" t="s">
        <v>702</v>
      </c>
      <c r="M375" s="3">
        <v>46168.539583333302</v>
      </c>
      <c r="N375" s="2" t="s">
        <v>791</v>
      </c>
      <c r="O375" s="3">
        <v>46188.539583333302</v>
      </c>
      <c r="P375" s="2" t="s">
        <v>791</v>
      </c>
      <c r="Q375" s="34"/>
      <c r="R375" s="1" t="s">
        <v>31</v>
      </c>
    </row>
    <row r="376" spans="2:18">
      <c r="B376" s="2" t="s">
        <v>2014</v>
      </c>
      <c r="C376" s="2" t="s">
        <v>1009</v>
      </c>
      <c r="D376" s="1">
        <v>1</v>
      </c>
      <c r="E376" s="2" t="s">
        <v>2015</v>
      </c>
      <c r="F376" s="2" t="s">
        <v>1292</v>
      </c>
      <c r="G376" s="45" t="s">
        <v>702</v>
      </c>
      <c r="H376" s="1">
        <v>1</v>
      </c>
      <c r="I376" s="43" t="s">
        <v>702</v>
      </c>
      <c r="J376" s="43" t="s">
        <v>702</v>
      </c>
      <c r="K376" s="30">
        <v>50000</v>
      </c>
      <c r="L376" s="43" t="s">
        <v>702</v>
      </c>
      <c r="M376" s="3">
        <v>46168.634722222203</v>
      </c>
      <c r="N376" s="2" t="s">
        <v>795</v>
      </c>
      <c r="O376" s="3">
        <v>46188.634722222203</v>
      </c>
      <c r="P376" s="2" t="s">
        <v>795</v>
      </c>
      <c r="Q376" s="34"/>
      <c r="R376" s="1" t="s">
        <v>31</v>
      </c>
    </row>
    <row r="377" spans="2:18">
      <c r="B377" s="2" t="s">
        <v>2016</v>
      </c>
      <c r="C377" s="2" t="s">
        <v>1009</v>
      </c>
      <c r="D377" s="1">
        <v>2</v>
      </c>
      <c r="E377" s="2" t="s">
        <v>2017</v>
      </c>
      <c r="F377" s="2" t="s">
        <v>1295</v>
      </c>
      <c r="G377" s="1">
        <v>1</v>
      </c>
      <c r="H377" s="45" t="s">
        <v>702</v>
      </c>
      <c r="I377" s="43" t="s">
        <v>702</v>
      </c>
      <c r="J377" s="43" t="s">
        <v>702</v>
      </c>
      <c r="K377" s="30">
        <v>3000</v>
      </c>
      <c r="L377" s="43" t="s">
        <v>702</v>
      </c>
      <c r="M377" s="3">
        <v>46168.634722222203</v>
      </c>
      <c r="N377" s="2" t="s">
        <v>795</v>
      </c>
      <c r="O377" s="3">
        <v>46188.634722222203</v>
      </c>
      <c r="P377" s="2" t="s">
        <v>795</v>
      </c>
      <c r="Q377" s="34"/>
      <c r="R377" s="1" t="s">
        <v>31</v>
      </c>
    </row>
    <row r="378" spans="2:18" ht="29" customHeight="1">
      <c r="B378" s="2" t="s">
        <v>2018</v>
      </c>
      <c r="C378" s="2" t="s">
        <v>1009</v>
      </c>
      <c r="D378" s="1">
        <v>3</v>
      </c>
      <c r="E378" s="2" t="s">
        <v>2019</v>
      </c>
      <c r="F378" s="2" t="s">
        <v>1298</v>
      </c>
      <c r="G378" s="45" t="s">
        <v>702</v>
      </c>
      <c r="H378" s="45">
        <v>3</v>
      </c>
      <c r="I378" s="43" t="s">
        <v>702</v>
      </c>
      <c r="J378" s="43" t="s">
        <v>702</v>
      </c>
      <c r="K378" s="30">
        <v>60000</v>
      </c>
      <c r="L378" s="43" t="s">
        <v>702</v>
      </c>
      <c r="M378" s="3">
        <v>46168.634722222203</v>
      </c>
      <c r="N378" s="2" t="s">
        <v>795</v>
      </c>
      <c r="O378" s="3">
        <v>46188.634722222203</v>
      </c>
      <c r="P378" s="2" t="s">
        <v>795</v>
      </c>
      <c r="Q378" s="34"/>
      <c r="R378" s="1" t="s">
        <v>31</v>
      </c>
    </row>
    <row r="379" spans="2:18" ht="29" customHeight="1">
      <c r="B379" s="2" t="s">
        <v>2020</v>
      </c>
      <c r="C379" s="2" t="s">
        <v>1009</v>
      </c>
      <c r="D379" s="1">
        <v>4</v>
      </c>
      <c r="E379" s="2" t="s">
        <v>2021</v>
      </c>
      <c r="F379" s="2" t="s">
        <v>1301</v>
      </c>
      <c r="G379" s="45">
        <v>5</v>
      </c>
      <c r="H379" s="45" t="s">
        <v>702</v>
      </c>
      <c r="I379" s="43" t="s">
        <v>702</v>
      </c>
      <c r="J379" s="43" t="s">
        <v>702</v>
      </c>
      <c r="K379" s="30">
        <v>35000</v>
      </c>
      <c r="L379" s="43" t="s">
        <v>702</v>
      </c>
      <c r="M379" s="3">
        <v>46168.634722222203</v>
      </c>
      <c r="N379" s="2" t="s">
        <v>795</v>
      </c>
      <c r="O379" s="3">
        <v>46188.634722222203</v>
      </c>
      <c r="P379" s="2" t="s">
        <v>795</v>
      </c>
      <c r="Q379" s="34"/>
      <c r="R379" s="1" t="s">
        <v>31</v>
      </c>
    </row>
    <row r="380" spans="2:18">
      <c r="B380" s="2" t="s">
        <v>2022</v>
      </c>
      <c r="C380" s="2" t="s">
        <v>1012</v>
      </c>
      <c r="D380" s="1">
        <v>1</v>
      </c>
      <c r="E380" s="2" t="s">
        <v>2023</v>
      </c>
      <c r="F380" s="2" t="s">
        <v>1304</v>
      </c>
      <c r="G380" s="1">
        <v>12</v>
      </c>
      <c r="H380" s="45" t="s">
        <v>702</v>
      </c>
      <c r="I380" s="43" t="s">
        <v>702</v>
      </c>
      <c r="J380" s="43" t="s">
        <v>702</v>
      </c>
      <c r="K380" s="30">
        <v>72000</v>
      </c>
      <c r="L380" s="43" t="s">
        <v>702</v>
      </c>
      <c r="M380" s="3">
        <v>46169.396527777797</v>
      </c>
      <c r="N380" s="2" t="s">
        <v>799</v>
      </c>
      <c r="O380" s="3">
        <v>46189.396527777797</v>
      </c>
      <c r="P380" s="2" t="s">
        <v>799</v>
      </c>
      <c r="Q380" s="34"/>
      <c r="R380" s="1" t="s">
        <v>31</v>
      </c>
    </row>
    <row r="381" spans="2:18" ht="29" customHeight="1">
      <c r="B381" s="2" t="s">
        <v>2024</v>
      </c>
      <c r="C381" s="2" t="s">
        <v>1012</v>
      </c>
      <c r="D381" s="1">
        <v>2</v>
      </c>
      <c r="E381" s="2" t="s">
        <v>2025</v>
      </c>
      <c r="F381" s="2" t="s">
        <v>1307</v>
      </c>
      <c r="G381" s="45" t="s">
        <v>702</v>
      </c>
      <c r="H381" s="1">
        <v>3</v>
      </c>
      <c r="I381" s="43" t="s">
        <v>702</v>
      </c>
      <c r="J381" s="43" t="s">
        <v>702</v>
      </c>
      <c r="K381" s="30">
        <v>90000</v>
      </c>
      <c r="L381" s="43" t="s">
        <v>702</v>
      </c>
      <c r="M381" s="3">
        <v>46169.396527777797</v>
      </c>
      <c r="N381" s="2" t="s">
        <v>799</v>
      </c>
      <c r="O381" s="3">
        <v>46189.396527777797</v>
      </c>
      <c r="P381" s="2" t="s">
        <v>799</v>
      </c>
      <c r="Q381" s="34"/>
      <c r="R381" s="1" t="s">
        <v>31</v>
      </c>
    </row>
    <row r="382" spans="2:18" ht="29" customHeight="1">
      <c r="B382" s="2" t="s">
        <v>2026</v>
      </c>
      <c r="C382" s="2" t="s">
        <v>1012</v>
      </c>
      <c r="D382" s="1">
        <v>3</v>
      </c>
      <c r="E382" s="2" t="s">
        <v>2027</v>
      </c>
      <c r="F382" s="2" t="s">
        <v>1310</v>
      </c>
      <c r="G382" s="1">
        <v>4</v>
      </c>
      <c r="H382" s="45" t="s">
        <v>702</v>
      </c>
      <c r="I382" s="43" t="s">
        <v>702</v>
      </c>
      <c r="J382" s="43" t="s">
        <v>702</v>
      </c>
      <c r="K382" s="30">
        <v>48000</v>
      </c>
      <c r="L382" s="43" t="s">
        <v>702</v>
      </c>
      <c r="M382" s="3">
        <v>46169.396527777797</v>
      </c>
      <c r="N382" s="2" t="s">
        <v>799</v>
      </c>
      <c r="O382" s="3">
        <v>46189.396527777797</v>
      </c>
      <c r="P382" s="2" t="s">
        <v>799</v>
      </c>
      <c r="Q382" s="34"/>
      <c r="R382" s="1" t="s">
        <v>31</v>
      </c>
    </row>
    <row r="383" spans="2:18">
      <c r="B383" s="2" t="s">
        <v>2028</v>
      </c>
      <c r="C383" s="2" t="s">
        <v>1012</v>
      </c>
      <c r="D383" s="1">
        <v>4</v>
      </c>
      <c r="E383" s="2" t="s">
        <v>2029</v>
      </c>
      <c r="F383" s="2" t="s">
        <v>1313</v>
      </c>
      <c r="G383" s="45" t="s">
        <v>702</v>
      </c>
      <c r="H383" s="1">
        <v>2</v>
      </c>
      <c r="I383" s="43" t="s">
        <v>702</v>
      </c>
      <c r="J383" s="43" t="s">
        <v>702</v>
      </c>
      <c r="K383" s="30">
        <v>80000</v>
      </c>
      <c r="L383" s="43" t="s">
        <v>702</v>
      </c>
      <c r="M383" s="3">
        <v>46169.396527777797</v>
      </c>
      <c r="N383" s="2" t="s">
        <v>799</v>
      </c>
      <c r="O383" s="3">
        <v>46189.396527777797</v>
      </c>
      <c r="P383" s="2" t="s">
        <v>799</v>
      </c>
      <c r="Q383" s="34"/>
      <c r="R383" s="1" t="s">
        <v>31</v>
      </c>
    </row>
    <row r="384" spans="2:18" ht="29" customHeight="1">
      <c r="B384" s="2" t="s">
        <v>2030</v>
      </c>
      <c r="C384" s="2" t="s">
        <v>1015</v>
      </c>
      <c r="D384" s="1">
        <v>1</v>
      </c>
      <c r="E384" s="2" t="s">
        <v>2031</v>
      </c>
      <c r="F384" s="2" t="s">
        <v>1316</v>
      </c>
      <c r="G384" s="45" t="s">
        <v>702</v>
      </c>
      <c r="H384" s="45">
        <v>3</v>
      </c>
      <c r="I384" s="43" t="s">
        <v>702</v>
      </c>
      <c r="J384" s="43" t="s">
        <v>702</v>
      </c>
      <c r="K384" s="30">
        <v>150000</v>
      </c>
      <c r="L384" s="43" t="s">
        <v>702</v>
      </c>
      <c r="M384" s="3">
        <v>46169.533333333296</v>
      </c>
      <c r="N384" s="2" t="s">
        <v>803</v>
      </c>
      <c r="O384" s="3">
        <v>46189.533333333296</v>
      </c>
      <c r="P384" s="2" t="s">
        <v>803</v>
      </c>
      <c r="Q384" s="34"/>
      <c r="R384" s="1" t="s">
        <v>31</v>
      </c>
    </row>
    <row r="385" spans="2:18" ht="29" customHeight="1">
      <c r="B385" s="2" t="s">
        <v>2032</v>
      </c>
      <c r="C385" s="2" t="s">
        <v>1015</v>
      </c>
      <c r="D385" s="1">
        <v>2</v>
      </c>
      <c r="E385" s="2" t="s">
        <v>2033</v>
      </c>
      <c r="F385" s="2" t="s">
        <v>1319</v>
      </c>
      <c r="G385" s="45">
        <v>3</v>
      </c>
      <c r="H385" s="45" t="s">
        <v>702</v>
      </c>
      <c r="I385" s="43" t="s">
        <v>702</v>
      </c>
      <c r="J385" s="43" t="s">
        <v>702</v>
      </c>
      <c r="K385" s="30">
        <v>52500</v>
      </c>
      <c r="L385" s="43" t="s">
        <v>702</v>
      </c>
      <c r="M385" s="3">
        <v>46169.533333333296</v>
      </c>
      <c r="N385" s="2" t="s">
        <v>803</v>
      </c>
      <c r="O385" s="3">
        <v>46189.533333333296</v>
      </c>
      <c r="P385" s="2" t="s">
        <v>803</v>
      </c>
      <c r="Q385" s="34"/>
      <c r="R385" s="1" t="s">
        <v>31</v>
      </c>
    </row>
    <row r="386" spans="2:18">
      <c r="B386" s="2" t="s">
        <v>2034</v>
      </c>
      <c r="C386" s="2" t="s">
        <v>1015</v>
      </c>
      <c r="D386" s="1">
        <v>3</v>
      </c>
      <c r="E386" s="2" t="s">
        <v>2035</v>
      </c>
      <c r="F386" s="2" t="s">
        <v>1259</v>
      </c>
      <c r="G386" s="45" t="s">
        <v>702</v>
      </c>
      <c r="H386" s="45">
        <v>2</v>
      </c>
      <c r="I386" s="43" t="s">
        <v>702</v>
      </c>
      <c r="J386" s="43" t="s">
        <v>702</v>
      </c>
      <c r="K386" s="30">
        <v>70000</v>
      </c>
      <c r="L386" s="43" t="s">
        <v>702</v>
      </c>
      <c r="M386" s="3">
        <v>46169.533333333296</v>
      </c>
      <c r="N386" s="2" t="s">
        <v>803</v>
      </c>
      <c r="O386" s="3">
        <v>46189.533333333296</v>
      </c>
      <c r="P386" s="2" t="s">
        <v>803</v>
      </c>
      <c r="Q386" s="34"/>
      <c r="R386" s="1" t="s">
        <v>31</v>
      </c>
    </row>
    <row r="387" spans="2:18">
      <c r="B387" s="2" t="s">
        <v>2036</v>
      </c>
      <c r="C387" s="2" t="s">
        <v>1015</v>
      </c>
      <c r="D387" s="1">
        <v>4</v>
      </c>
      <c r="E387" s="2" t="s">
        <v>2037</v>
      </c>
      <c r="F387" s="2" t="s">
        <v>1262</v>
      </c>
      <c r="G387" s="45">
        <v>7</v>
      </c>
      <c r="H387" s="45" t="s">
        <v>702</v>
      </c>
      <c r="I387" s="43" t="s">
        <v>702</v>
      </c>
      <c r="J387" s="43" t="s">
        <v>702</v>
      </c>
      <c r="K387" s="30">
        <v>105000</v>
      </c>
      <c r="L387" s="43" t="s">
        <v>702</v>
      </c>
      <c r="M387" s="3">
        <v>46169.533333333296</v>
      </c>
      <c r="N387" s="2" t="s">
        <v>803</v>
      </c>
      <c r="O387" s="3">
        <v>46189.533333333296</v>
      </c>
      <c r="P387" s="2" t="s">
        <v>803</v>
      </c>
      <c r="Q387" s="34"/>
      <c r="R387" s="1" t="s">
        <v>31</v>
      </c>
    </row>
    <row r="388" spans="2:18" ht="29" customHeight="1">
      <c r="B388" s="2" t="s">
        <v>2038</v>
      </c>
      <c r="C388" s="2" t="s">
        <v>1018</v>
      </c>
      <c r="D388" s="1">
        <v>1</v>
      </c>
      <c r="E388" s="2" t="s">
        <v>2039</v>
      </c>
      <c r="F388" s="2" t="s">
        <v>1265</v>
      </c>
      <c r="G388" s="1">
        <v>2</v>
      </c>
      <c r="H388" s="45" t="s">
        <v>702</v>
      </c>
      <c r="I388" s="43" t="s">
        <v>702</v>
      </c>
      <c r="J388" s="43" t="s">
        <v>702</v>
      </c>
      <c r="K388" s="30">
        <v>35000</v>
      </c>
      <c r="L388" s="43" t="s">
        <v>702</v>
      </c>
      <c r="M388" s="3">
        <v>46169.670138888898</v>
      </c>
      <c r="N388" s="2" t="s">
        <v>807</v>
      </c>
      <c r="O388" s="3">
        <v>46189.670138888898</v>
      </c>
      <c r="P388" s="2" t="s">
        <v>807</v>
      </c>
      <c r="Q388" s="34"/>
      <c r="R388" s="1" t="s">
        <v>31</v>
      </c>
    </row>
    <row r="389" spans="2:18">
      <c r="B389" s="2" t="s">
        <v>2040</v>
      </c>
      <c r="C389" s="2" t="s">
        <v>1018</v>
      </c>
      <c r="D389" s="1">
        <v>2</v>
      </c>
      <c r="E389" s="2" t="s">
        <v>2041</v>
      </c>
      <c r="F389" s="2" t="s">
        <v>1268</v>
      </c>
      <c r="G389" s="45" t="s">
        <v>702</v>
      </c>
      <c r="H389" s="1">
        <v>2</v>
      </c>
      <c r="I389" s="43" t="s">
        <v>702</v>
      </c>
      <c r="J389" s="43" t="s">
        <v>702</v>
      </c>
      <c r="K389" s="30">
        <v>50000</v>
      </c>
      <c r="L389" s="43" t="s">
        <v>702</v>
      </c>
      <c r="M389" s="3">
        <v>46169.670138888898</v>
      </c>
      <c r="N389" s="2" t="s">
        <v>807</v>
      </c>
      <c r="O389" s="3">
        <v>46189.670138888898</v>
      </c>
      <c r="P389" s="2" t="s">
        <v>807</v>
      </c>
      <c r="Q389" s="34"/>
      <c r="R389" s="1" t="s">
        <v>31</v>
      </c>
    </row>
    <row r="390" spans="2:18">
      <c r="B390" s="2" t="s">
        <v>2042</v>
      </c>
      <c r="C390" s="2" t="s">
        <v>1018</v>
      </c>
      <c r="D390" s="1">
        <v>3</v>
      </c>
      <c r="E390" s="2" t="s">
        <v>2043</v>
      </c>
      <c r="F390" s="2" t="s">
        <v>1271</v>
      </c>
      <c r="G390" s="1">
        <v>6</v>
      </c>
      <c r="H390" s="45" t="s">
        <v>702</v>
      </c>
      <c r="I390" s="43" t="s">
        <v>702</v>
      </c>
      <c r="J390" s="43" t="s">
        <v>702</v>
      </c>
      <c r="K390" s="30">
        <v>60000</v>
      </c>
      <c r="L390" s="43" t="s">
        <v>702</v>
      </c>
      <c r="M390" s="3">
        <v>46169.670138888898</v>
      </c>
      <c r="N390" s="2" t="s">
        <v>807</v>
      </c>
      <c r="O390" s="3">
        <v>46189.670138888898</v>
      </c>
      <c r="P390" s="2" t="s">
        <v>807</v>
      </c>
      <c r="Q390" s="34"/>
      <c r="R390" s="1" t="s">
        <v>31</v>
      </c>
    </row>
    <row r="391" spans="2:18">
      <c r="B391" s="2" t="s">
        <v>2044</v>
      </c>
      <c r="C391" s="2" t="s">
        <v>1018</v>
      </c>
      <c r="D391" s="1">
        <v>4</v>
      </c>
      <c r="E391" s="2" t="s">
        <v>2045</v>
      </c>
      <c r="F391" s="2" t="s">
        <v>1274</v>
      </c>
      <c r="G391" s="45" t="s">
        <v>702</v>
      </c>
      <c r="H391" s="1">
        <v>1</v>
      </c>
      <c r="I391" s="43" t="s">
        <v>702</v>
      </c>
      <c r="J391" s="43" t="s">
        <v>702</v>
      </c>
      <c r="K391" s="30">
        <v>40000</v>
      </c>
      <c r="L391" s="43" t="s">
        <v>702</v>
      </c>
      <c r="M391" s="3">
        <v>46169.670138888898</v>
      </c>
      <c r="N391" s="2" t="s">
        <v>807</v>
      </c>
      <c r="O391" s="3">
        <v>46189.670138888898</v>
      </c>
      <c r="P391" s="2" t="s">
        <v>807</v>
      </c>
      <c r="Q391" s="34"/>
      <c r="R391" s="1" t="s">
        <v>31</v>
      </c>
    </row>
    <row r="392" spans="2:18">
      <c r="B392" s="2" t="s">
        <v>2046</v>
      </c>
      <c r="C392" s="2" t="s">
        <v>1021</v>
      </c>
      <c r="D392" s="1">
        <v>1</v>
      </c>
      <c r="E392" s="2" t="s">
        <v>2047</v>
      </c>
      <c r="F392" s="2" t="s">
        <v>1277</v>
      </c>
      <c r="G392" s="45" t="s">
        <v>702</v>
      </c>
      <c r="H392" s="45">
        <v>2</v>
      </c>
      <c r="I392" s="43" t="s">
        <v>702</v>
      </c>
      <c r="J392" s="43" t="s">
        <v>702</v>
      </c>
      <c r="K392" s="30">
        <v>70000</v>
      </c>
      <c r="L392" s="43" t="s">
        <v>702</v>
      </c>
      <c r="M392" s="3">
        <v>46170.390277777798</v>
      </c>
      <c r="N392" s="2" t="s">
        <v>811</v>
      </c>
      <c r="O392" s="3">
        <v>46190.390277777798</v>
      </c>
      <c r="P392" s="2" t="s">
        <v>811</v>
      </c>
      <c r="Q392" s="34"/>
      <c r="R392" s="1" t="s">
        <v>31</v>
      </c>
    </row>
    <row r="393" spans="2:18">
      <c r="B393" s="2" t="s">
        <v>2048</v>
      </c>
      <c r="C393" s="2" t="s">
        <v>1021</v>
      </c>
      <c r="D393" s="1">
        <v>2</v>
      </c>
      <c r="E393" s="2" t="s">
        <v>2049</v>
      </c>
      <c r="F393" s="2" t="s">
        <v>1280</v>
      </c>
      <c r="G393" s="1">
        <v>5</v>
      </c>
      <c r="H393" s="45" t="s">
        <v>702</v>
      </c>
      <c r="I393" s="43" t="s">
        <v>702</v>
      </c>
      <c r="J393" s="43" t="s">
        <v>702</v>
      </c>
      <c r="K393" s="30">
        <v>75000</v>
      </c>
      <c r="L393" s="43" t="s">
        <v>702</v>
      </c>
      <c r="M393" s="3">
        <v>46170.390277777798</v>
      </c>
      <c r="N393" s="2" t="s">
        <v>811</v>
      </c>
      <c r="O393" s="3">
        <v>46190.390277777798</v>
      </c>
      <c r="P393" s="2" t="s">
        <v>811</v>
      </c>
      <c r="Q393" s="34"/>
      <c r="R393" s="1" t="s">
        <v>31</v>
      </c>
    </row>
    <row r="394" spans="2:18">
      <c r="B394" s="2" t="s">
        <v>2050</v>
      </c>
      <c r="C394" s="2" t="s">
        <v>1021</v>
      </c>
      <c r="D394" s="1">
        <v>3</v>
      </c>
      <c r="E394" s="2" t="s">
        <v>2051</v>
      </c>
      <c r="F394" s="2" t="s">
        <v>1283</v>
      </c>
      <c r="G394" s="45" t="s">
        <v>702</v>
      </c>
      <c r="H394" s="1">
        <v>1</v>
      </c>
      <c r="I394" s="43" t="s">
        <v>702</v>
      </c>
      <c r="J394" s="43" t="s">
        <v>702</v>
      </c>
      <c r="K394" s="30">
        <v>50000</v>
      </c>
      <c r="L394" s="43" t="s">
        <v>702</v>
      </c>
      <c r="M394" s="3">
        <v>46170.390277777798</v>
      </c>
      <c r="N394" s="2" t="s">
        <v>811</v>
      </c>
      <c r="O394" s="3">
        <v>46190.390277777798</v>
      </c>
      <c r="P394" s="2" t="s">
        <v>811</v>
      </c>
      <c r="Q394" s="34"/>
      <c r="R394" s="1" t="s">
        <v>31</v>
      </c>
    </row>
    <row r="395" spans="2:18">
      <c r="B395" s="2" t="s">
        <v>2052</v>
      </c>
      <c r="C395" s="2" t="s">
        <v>1021</v>
      </c>
      <c r="D395" s="1">
        <v>4</v>
      </c>
      <c r="E395" s="2" t="s">
        <v>2053</v>
      </c>
      <c r="F395" s="2" t="s">
        <v>1286</v>
      </c>
      <c r="G395" s="45">
        <v>9</v>
      </c>
      <c r="H395" s="45" t="s">
        <v>702</v>
      </c>
      <c r="I395" s="43" t="s">
        <v>702</v>
      </c>
      <c r="J395" s="43" t="s">
        <v>702</v>
      </c>
      <c r="K395" s="30">
        <v>90000</v>
      </c>
      <c r="L395" s="43" t="s">
        <v>702</v>
      </c>
      <c r="M395" s="3">
        <v>46170.390277777798</v>
      </c>
      <c r="N395" s="2" t="s">
        <v>811</v>
      </c>
      <c r="O395" s="3">
        <v>46190.390277777798</v>
      </c>
      <c r="P395" s="2" t="s">
        <v>811</v>
      </c>
      <c r="Q395" s="34"/>
      <c r="R395" s="1" t="s">
        <v>31</v>
      </c>
    </row>
    <row r="396" spans="2:18">
      <c r="B396" s="2" t="s">
        <v>2054</v>
      </c>
      <c r="C396" s="2" t="s">
        <v>1024</v>
      </c>
      <c r="D396" s="1">
        <v>1</v>
      </c>
      <c r="E396" s="2" t="s">
        <v>2055</v>
      </c>
      <c r="F396" s="2" t="s">
        <v>1289</v>
      </c>
      <c r="G396" s="1">
        <v>4</v>
      </c>
      <c r="H396" s="45" t="s">
        <v>702</v>
      </c>
      <c r="I396" s="43" t="s">
        <v>702</v>
      </c>
      <c r="J396" s="43" t="s">
        <v>702</v>
      </c>
      <c r="K396" s="30">
        <v>50000</v>
      </c>
      <c r="L396" s="43" t="s">
        <v>702</v>
      </c>
      <c r="M396" s="3">
        <v>46170.527083333298</v>
      </c>
      <c r="N396" s="2" t="s">
        <v>815</v>
      </c>
      <c r="O396" s="3">
        <v>46190.527083333298</v>
      </c>
      <c r="P396" s="2" t="s">
        <v>815</v>
      </c>
      <c r="Q396" s="34"/>
      <c r="R396" s="1" t="s">
        <v>31</v>
      </c>
    </row>
    <row r="397" spans="2:18">
      <c r="B397" s="2" t="s">
        <v>2056</v>
      </c>
      <c r="C397" s="2" t="s">
        <v>1024</v>
      </c>
      <c r="D397" s="1">
        <v>2</v>
      </c>
      <c r="E397" s="2" t="s">
        <v>2057</v>
      </c>
      <c r="F397" s="2" t="s">
        <v>1292</v>
      </c>
      <c r="G397" s="45" t="s">
        <v>702</v>
      </c>
      <c r="H397" s="1">
        <v>1</v>
      </c>
      <c r="I397" s="43" t="s">
        <v>702</v>
      </c>
      <c r="J397" s="43" t="s">
        <v>702</v>
      </c>
      <c r="K397" s="30">
        <v>50000</v>
      </c>
      <c r="L397" s="43" t="s">
        <v>702</v>
      </c>
      <c r="M397" s="3">
        <v>46170.527083333298</v>
      </c>
      <c r="N397" s="2" t="s">
        <v>815</v>
      </c>
      <c r="O397" s="3">
        <v>46190.527083333298</v>
      </c>
      <c r="P397" s="2" t="s">
        <v>815</v>
      </c>
      <c r="Q397" s="34"/>
      <c r="R397" s="1" t="s">
        <v>31</v>
      </c>
    </row>
    <row r="398" spans="2:18">
      <c r="B398" s="2" t="s">
        <v>2058</v>
      </c>
      <c r="C398" s="2" t="s">
        <v>1024</v>
      </c>
      <c r="D398" s="1">
        <v>3</v>
      </c>
      <c r="E398" s="2" t="s">
        <v>2059</v>
      </c>
      <c r="F398" s="2" t="s">
        <v>1295</v>
      </c>
      <c r="G398" s="1">
        <v>8</v>
      </c>
      <c r="H398" s="45" t="s">
        <v>702</v>
      </c>
      <c r="I398" s="43" t="s">
        <v>702</v>
      </c>
      <c r="J398" s="43" t="s">
        <v>702</v>
      </c>
      <c r="K398" s="30">
        <v>24000</v>
      </c>
      <c r="L398" s="43" t="s">
        <v>702</v>
      </c>
      <c r="M398" s="3">
        <v>46170.527083333298</v>
      </c>
      <c r="N398" s="2" t="s">
        <v>815</v>
      </c>
      <c r="O398" s="3">
        <v>46190.527083333298</v>
      </c>
      <c r="P398" s="2" t="s">
        <v>815</v>
      </c>
      <c r="Q398" s="34"/>
      <c r="R398" s="1" t="s">
        <v>31</v>
      </c>
    </row>
    <row r="399" spans="2:18">
      <c r="B399" s="2" t="s">
        <v>2060</v>
      </c>
      <c r="C399" s="2" t="s">
        <v>1024</v>
      </c>
      <c r="D399" s="1">
        <v>4</v>
      </c>
      <c r="E399" s="2" t="s">
        <v>2061</v>
      </c>
      <c r="F399" s="2" t="s">
        <v>1298</v>
      </c>
      <c r="G399" s="45" t="s">
        <v>702</v>
      </c>
      <c r="H399" s="1">
        <v>3</v>
      </c>
      <c r="I399" s="43" t="s">
        <v>702</v>
      </c>
      <c r="J399" s="43" t="s">
        <v>702</v>
      </c>
      <c r="K399" s="30">
        <v>60000</v>
      </c>
      <c r="L399" s="43" t="s">
        <v>702</v>
      </c>
      <c r="M399" s="3">
        <v>46170.527083333298</v>
      </c>
      <c r="N399" s="2" t="s">
        <v>815</v>
      </c>
      <c r="O399" s="3">
        <v>46190.527083333298</v>
      </c>
      <c r="P399" s="2" t="s">
        <v>815</v>
      </c>
      <c r="Q399" s="34"/>
      <c r="R399" s="1" t="s">
        <v>31</v>
      </c>
    </row>
    <row r="400" spans="2:18">
      <c r="B400" s="2" t="s">
        <v>2062</v>
      </c>
      <c r="C400" s="2" t="s">
        <v>1027</v>
      </c>
      <c r="D400" s="1">
        <v>1</v>
      </c>
      <c r="E400" s="2" t="s">
        <v>2063</v>
      </c>
      <c r="F400" s="2" t="s">
        <v>1301</v>
      </c>
      <c r="G400" s="45" t="s">
        <v>702</v>
      </c>
      <c r="H400" s="45">
        <v>1</v>
      </c>
      <c r="I400" s="43" t="s">
        <v>702</v>
      </c>
      <c r="J400" s="43" t="s">
        <v>702</v>
      </c>
      <c r="K400" s="30">
        <v>25000</v>
      </c>
      <c r="L400" s="43" t="s">
        <v>702</v>
      </c>
      <c r="M400" s="3">
        <v>46171.663888888899</v>
      </c>
      <c r="N400" s="2" t="s">
        <v>86</v>
      </c>
      <c r="O400" s="3">
        <v>46191.663888888899</v>
      </c>
      <c r="P400" s="2" t="s">
        <v>86</v>
      </c>
      <c r="Q400" s="34"/>
      <c r="R400" s="1" t="s">
        <v>31</v>
      </c>
    </row>
    <row r="401" spans="2:18">
      <c r="B401" s="2" t="s">
        <v>2064</v>
      </c>
      <c r="C401" s="2" t="s">
        <v>1027</v>
      </c>
      <c r="D401" s="1">
        <v>2</v>
      </c>
      <c r="E401" s="2" t="s">
        <v>2065</v>
      </c>
      <c r="F401" s="2" t="s">
        <v>1304</v>
      </c>
      <c r="G401" s="45">
        <v>7</v>
      </c>
      <c r="H401" s="45" t="s">
        <v>702</v>
      </c>
      <c r="I401" s="43" t="s">
        <v>702</v>
      </c>
      <c r="J401" s="43" t="s">
        <v>702</v>
      </c>
      <c r="K401" s="30">
        <v>42000</v>
      </c>
      <c r="L401" s="43" t="s">
        <v>702</v>
      </c>
      <c r="M401" s="3">
        <v>46171.663888888899</v>
      </c>
      <c r="N401" s="2" t="s">
        <v>86</v>
      </c>
      <c r="O401" s="3">
        <v>46191.663888888899</v>
      </c>
      <c r="P401" s="2" t="s">
        <v>86</v>
      </c>
      <c r="Q401" s="34"/>
      <c r="R401" s="1" t="s">
        <v>31</v>
      </c>
    </row>
    <row r="402" spans="2:18">
      <c r="B402" s="2" t="s">
        <v>2066</v>
      </c>
      <c r="C402" s="2" t="s">
        <v>1027</v>
      </c>
      <c r="D402" s="1">
        <v>3</v>
      </c>
      <c r="E402" s="2" t="s">
        <v>2067</v>
      </c>
      <c r="F402" s="2" t="s">
        <v>1307</v>
      </c>
      <c r="G402" s="45" t="s">
        <v>702</v>
      </c>
      <c r="H402" s="1">
        <v>3</v>
      </c>
      <c r="I402" s="43" t="s">
        <v>702</v>
      </c>
      <c r="J402" s="43" t="s">
        <v>702</v>
      </c>
      <c r="K402" s="30">
        <v>90000</v>
      </c>
      <c r="L402" s="43" t="s">
        <v>702</v>
      </c>
      <c r="M402" s="3">
        <v>46171.663888888899</v>
      </c>
      <c r="N402" s="2" t="s">
        <v>86</v>
      </c>
      <c r="O402" s="3">
        <v>46191.663888888899</v>
      </c>
      <c r="P402" s="2" t="s">
        <v>86</v>
      </c>
      <c r="Q402" s="34"/>
      <c r="R402" s="1" t="s">
        <v>31</v>
      </c>
    </row>
    <row r="403" spans="2:18">
      <c r="B403" s="2" t="s">
        <v>2068</v>
      </c>
      <c r="C403" s="2" t="s">
        <v>1027</v>
      </c>
      <c r="D403" s="1">
        <v>4</v>
      </c>
      <c r="E403" s="2" t="s">
        <v>2069</v>
      </c>
      <c r="F403" s="2" t="s">
        <v>1310</v>
      </c>
      <c r="G403" s="1">
        <v>11</v>
      </c>
      <c r="H403" s="45" t="s">
        <v>702</v>
      </c>
      <c r="I403" s="43" t="s">
        <v>702</v>
      </c>
      <c r="J403" s="43" t="s">
        <v>702</v>
      </c>
      <c r="K403" s="30">
        <v>132000</v>
      </c>
      <c r="L403" s="43" t="s">
        <v>702</v>
      </c>
      <c r="M403" s="3">
        <v>46171.663888888899</v>
      </c>
      <c r="N403" s="2" t="s">
        <v>86</v>
      </c>
      <c r="O403" s="3">
        <v>46191.663888888899</v>
      </c>
      <c r="P403" s="2" t="s">
        <v>86</v>
      </c>
      <c r="Q403" s="34"/>
      <c r="R403" s="1" t="s">
        <v>31</v>
      </c>
    </row>
    <row r="404" spans="2:18">
      <c r="B404" s="2" t="s">
        <v>2070</v>
      </c>
      <c r="C404" s="2" t="s">
        <v>1030</v>
      </c>
      <c r="D404" s="1">
        <v>1</v>
      </c>
      <c r="E404" s="2" t="s">
        <v>2071</v>
      </c>
      <c r="F404" s="2" t="s">
        <v>1313</v>
      </c>
      <c r="G404" s="45">
        <v>6</v>
      </c>
      <c r="H404" s="45" t="s">
        <v>702</v>
      </c>
      <c r="I404" s="43" t="s">
        <v>702</v>
      </c>
      <c r="J404" s="43" t="s">
        <v>702</v>
      </c>
      <c r="K404" s="30">
        <v>75000</v>
      </c>
      <c r="L404" s="43" t="s">
        <v>702</v>
      </c>
      <c r="M404" s="3">
        <v>46171.3840277778</v>
      </c>
      <c r="N404" s="2" t="s">
        <v>822</v>
      </c>
      <c r="O404" s="3">
        <v>46191.3840277778</v>
      </c>
      <c r="P404" s="2" t="s">
        <v>822</v>
      </c>
      <c r="Q404" s="34"/>
      <c r="R404" s="1" t="s">
        <v>31</v>
      </c>
    </row>
    <row r="405" spans="2:18">
      <c r="B405" s="2" t="s">
        <v>2072</v>
      </c>
      <c r="C405" s="2" t="s">
        <v>1030</v>
      </c>
      <c r="D405" s="1">
        <v>2</v>
      </c>
      <c r="E405" s="2" t="s">
        <v>2073</v>
      </c>
      <c r="F405" s="2" t="s">
        <v>1316</v>
      </c>
      <c r="G405" s="45" t="s">
        <v>702</v>
      </c>
      <c r="H405" s="45">
        <v>3</v>
      </c>
      <c r="I405" s="43" t="s">
        <v>702</v>
      </c>
      <c r="J405" s="43" t="s">
        <v>702</v>
      </c>
      <c r="K405" s="30">
        <v>150000</v>
      </c>
      <c r="L405" s="43" t="s">
        <v>702</v>
      </c>
      <c r="M405" s="3">
        <v>46171.3840277778</v>
      </c>
      <c r="N405" s="2" t="s">
        <v>822</v>
      </c>
      <c r="O405" s="3">
        <v>46191.3840277778</v>
      </c>
      <c r="P405" s="2" t="s">
        <v>822</v>
      </c>
      <c r="Q405" s="34"/>
      <c r="R405" s="1" t="s">
        <v>31</v>
      </c>
    </row>
    <row r="406" spans="2:18">
      <c r="B406" s="2" t="s">
        <v>2074</v>
      </c>
      <c r="C406" s="2" t="s">
        <v>1030</v>
      </c>
      <c r="D406" s="1">
        <v>3</v>
      </c>
      <c r="E406" s="2" t="s">
        <v>2075</v>
      </c>
      <c r="F406" s="2" t="s">
        <v>1319</v>
      </c>
      <c r="G406" s="45">
        <v>10</v>
      </c>
      <c r="H406" s="45" t="s">
        <v>702</v>
      </c>
      <c r="I406" s="43" t="s">
        <v>702</v>
      </c>
      <c r="J406" s="43" t="s">
        <v>702</v>
      </c>
      <c r="K406" s="30">
        <v>175000</v>
      </c>
      <c r="L406" s="43" t="s">
        <v>702</v>
      </c>
      <c r="M406" s="3">
        <v>46171.3840277778</v>
      </c>
      <c r="N406" s="2" t="s">
        <v>822</v>
      </c>
      <c r="O406" s="3">
        <v>46191.3840277778</v>
      </c>
      <c r="P406" s="2" t="s">
        <v>822</v>
      </c>
      <c r="Q406" s="34"/>
      <c r="R406" s="1" t="s">
        <v>31</v>
      </c>
    </row>
    <row r="407" spans="2:18" ht="29" customHeight="1">
      <c r="B407" s="2" t="s">
        <v>2076</v>
      </c>
      <c r="C407" s="2" t="s">
        <v>1030</v>
      </c>
      <c r="D407" s="1">
        <v>4</v>
      </c>
      <c r="E407" s="2" t="s">
        <v>2077</v>
      </c>
      <c r="F407" s="2" t="s">
        <v>1259</v>
      </c>
      <c r="G407" s="45" t="s">
        <v>702</v>
      </c>
      <c r="H407" s="45">
        <v>2</v>
      </c>
      <c r="I407" s="43" t="s">
        <v>702</v>
      </c>
      <c r="J407" s="43" t="s">
        <v>702</v>
      </c>
      <c r="K407" s="30">
        <v>70000</v>
      </c>
      <c r="L407" s="43" t="s">
        <v>702</v>
      </c>
      <c r="M407" s="3">
        <v>46171.3840277778</v>
      </c>
      <c r="N407" s="2" t="s">
        <v>822</v>
      </c>
      <c r="O407" s="3">
        <v>46191.3840277778</v>
      </c>
      <c r="P407" s="2" t="s">
        <v>822</v>
      </c>
      <c r="Q407" s="34"/>
      <c r="R407" s="1" t="s">
        <v>31</v>
      </c>
    </row>
    <row r="408" spans="2:18">
      <c r="B408" s="2" t="s">
        <v>2078</v>
      </c>
      <c r="C408" s="2" t="s">
        <v>1033</v>
      </c>
      <c r="D408" s="1">
        <v>1</v>
      </c>
      <c r="E408" s="2" t="s">
        <v>2079</v>
      </c>
      <c r="F408" s="2" t="s">
        <v>1262</v>
      </c>
      <c r="G408" s="45" t="s">
        <v>702</v>
      </c>
      <c r="H408" s="1">
        <v>3</v>
      </c>
      <c r="I408" s="43" t="s">
        <v>702</v>
      </c>
      <c r="J408" s="43" t="s">
        <v>702</v>
      </c>
      <c r="K408" s="30">
        <v>127500</v>
      </c>
      <c r="L408" s="43" t="s">
        <v>702</v>
      </c>
      <c r="M408" s="3">
        <v>46172.520833333299</v>
      </c>
      <c r="N408" s="2" t="s">
        <v>826</v>
      </c>
      <c r="O408" s="3">
        <v>46192.520833333299</v>
      </c>
      <c r="P408" s="2" t="s">
        <v>826</v>
      </c>
      <c r="Q408" s="34"/>
      <c r="R408" s="1" t="s">
        <v>31</v>
      </c>
    </row>
    <row r="409" spans="2:18">
      <c r="B409" s="2" t="s">
        <v>2080</v>
      </c>
      <c r="C409" s="2" t="s">
        <v>1033</v>
      </c>
      <c r="D409" s="1">
        <v>2</v>
      </c>
      <c r="E409" s="2" t="s">
        <v>2081</v>
      </c>
      <c r="F409" s="2" t="s">
        <v>1265</v>
      </c>
      <c r="G409" s="1">
        <v>9</v>
      </c>
      <c r="H409" s="45" t="s">
        <v>702</v>
      </c>
      <c r="I409" s="43" t="s">
        <v>702</v>
      </c>
      <c r="J409" s="43" t="s">
        <v>702</v>
      </c>
      <c r="K409" s="30">
        <v>157500</v>
      </c>
      <c r="L409" s="43" t="s">
        <v>702</v>
      </c>
      <c r="M409" s="3">
        <v>46172.520833333299</v>
      </c>
      <c r="N409" s="2" t="s">
        <v>826</v>
      </c>
      <c r="O409" s="3">
        <v>46192.520833333299</v>
      </c>
      <c r="P409" s="2" t="s">
        <v>826</v>
      </c>
      <c r="Q409" s="34"/>
      <c r="R409" s="1" t="s">
        <v>31</v>
      </c>
    </row>
    <row r="410" spans="2:18" ht="29" customHeight="1">
      <c r="B410" s="2" t="s">
        <v>2082</v>
      </c>
      <c r="C410" s="2" t="s">
        <v>1033</v>
      </c>
      <c r="D410" s="1">
        <v>3</v>
      </c>
      <c r="E410" s="2" t="s">
        <v>2083</v>
      </c>
      <c r="F410" s="2" t="s">
        <v>1268</v>
      </c>
      <c r="G410" s="45" t="s">
        <v>702</v>
      </c>
      <c r="H410" s="1">
        <v>2</v>
      </c>
      <c r="I410" s="43" t="s">
        <v>702</v>
      </c>
      <c r="J410" s="43" t="s">
        <v>702</v>
      </c>
      <c r="K410" s="30">
        <v>50000</v>
      </c>
      <c r="L410" s="43" t="s">
        <v>702</v>
      </c>
      <c r="M410" s="3">
        <v>46172.520833333299</v>
      </c>
      <c r="N410" s="2" t="s">
        <v>826</v>
      </c>
      <c r="O410" s="3">
        <v>46192.520833333299</v>
      </c>
      <c r="P410" s="2" t="s">
        <v>826</v>
      </c>
      <c r="Q410" s="34"/>
      <c r="R410" s="1" t="s">
        <v>31</v>
      </c>
    </row>
    <row r="411" spans="2:18">
      <c r="B411" s="2" t="s">
        <v>2084</v>
      </c>
      <c r="C411" s="2" t="s">
        <v>1033</v>
      </c>
      <c r="D411" s="1">
        <v>4</v>
      </c>
      <c r="E411" s="2" t="s">
        <v>2085</v>
      </c>
      <c r="F411" s="2" t="s">
        <v>1271</v>
      </c>
      <c r="G411" s="1">
        <v>1</v>
      </c>
      <c r="H411" s="45" t="s">
        <v>702</v>
      </c>
      <c r="I411" s="43" t="s">
        <v>702</v>
      </c>
      <c r="J411" s="43" t="s">
        <v>702</v>
      </c>
      <c r="K411" s="30">
        <v>10000</v>
      </c>
      <c r="L411" s="43" t="s">
        <v>702</v>
      </c>
      <c r="M411" s="3">
        <v>46172.520833333299</v>
      </c>
      <c r="N411" s="2" t="s">
        <v>826</v>
      </c>
      <c r="O411" s="3">
        <v>46192.520833333299</v>
      </c>
      <c r="P411" s="2" t="s">
        <v>826</v>
      </c>
      <c r="Q411" s="34"/>
      <c r="R411" s="1" t="s">
        <v>31</v>
      </c>
    </row>
    <row r="412" spans="2:18">
      <c r="B412" s="2" t="s">
        <v>2086</v>
      </c>
      <c r="C412" s="2" t="s">
        <v>1035</v>
      </c>
      <c r="D412" s="1">
        <v>1</v>
      </c>
      <c r="E412" s="2" t="s">
        <v>2087</v>
      </c>
      <c r="F412" s="2" t="s">
        <v>1274</v>
      </c>
      <c r="G412" s="45">
        <v>8</v>
      </c>
      <c r="H412" s="45" t="s">
        <v>702</v>
      </c>
      <c r="I412" s="43" t="s">
        <v>702</v>
      </c>
      <c r="J412" s="43" t="s">
        <v>702</v>
      </c>
      <c r="K412" s="30">
        <v>100000</v>
      </c>
      <c r="L412" s="43" t="s">
        <v>702</v>
      </c>
      <c r="M412" s="3">
        <v>46172.657638888901</v>
      </c>
      <c r="N412" s="2" t="s">
        <v>830</v>
      </c>
      <c r="O412" s="3">
        <v>46192.657638888901</v>
      </c>
      <c r="P412" s="2" t="s">
        <v>830</v>
      </c>
      <c r="Q412" s="34"/>
      <c r="R412" s="1" t="s">
        <v>31</v>
      </c>
    </row>
    <row r="413" spans="2:18" ht="29" customHeight="1">
      <c r="B413" s="2" t="s">
        <v>2088</v>
      </c>
      <c r="C413" s="2" t="s">
        <v>1035</v>
      </c>
      <c r="D413" s="1">
        <v>2</v>
      </c>
      <c r="E413" s="2" t="s">
        <v>2089</v>
      </c>
      <c r="F413" s="2" t="s">
        <v>1277</v>
      </c>
      <c r="G413" s="45" t="s">
        <v>702</v>
      </c>
      <c r="H413" s="1">
        <v>2</v>
      </c>
      <c r="I413" s="43" t="s">
        <v>702</v>
      </c>
      <c r="J413" s="43" t="s">
        <v>702</v>
      </c>
      <c r="K413" s="30">
        <v>70000</v>
      </c>
      <c r="L413" s="43" t="s">
        <v>702</v>
      </c>
      <c r="M413" s="3">
        <v>46172.657638888901</v>
      </c>
      <c r="N413" s="2" t="s">
        <v>830</v>
      </c>
      <c r="O413" s="3">
        <v>46192.657638888901</v>
      </c>
      <c r="P413" s="2" t="s">
        <v>830</v>
      </c>
      <c r="Q413" s="34"/>
      <c r="R413" s="1" t="s">
        <v>31</v>
      </c>
    </row>
    <row r="414" spans="2:18">
      <c r="B414" s="2" t="s">
        <v>2090</v>
      </c>
      <c r="C414" s="2" t="s">
        <v>1035</v>
      </c>
      <c r="D414" s="1">
        <v>3</v>
      </c>
      <c r="E414" s="2" t="s">
        <v>2091</v>
      </c>
      <c r="F414" s="2" t="s">
        <v>1280</v>
      </c>
      <c r="G414" s="1">
        <v>12</v>
      </c>
      <c r="H414" s="45" t="s">
        <v>702</v>
      </c>
      <c r="I414" s="43" t="s">
        <v>702</v>
      </c>
      <c r="J414" s="43" t="s">
        <v>702</v>
      </c>
      <c r="K414" s="30">
        <v>180000</v>
      </c>
      <c r="L414" s="43" t="s">
        <v>702</v>
      </c>
      <c r="M414" s="3">
        <v>46172.657638888901</v>
      </c>
      <c r="N414" s="2" t="s">
        <v>830</v>
      </c>
      <c r="O414" s="3">
        <v>46192.657638888901</v>
      </c>
      <c r="P414" s="2" t="s">
        <v>830</v>
      </c>
      <c r="Q414" s="34"/>
      <c r="R414" s="1" t="s">
        <v>31</v>
      </c>
    </row>
    <row r="415" spans="2:18">
      <c r="B415" s="2" t="s">
        <v>2092</v>
      </c>
      <c r="C415" s="2" t="s">
        <v>1035</v>
      </c>
      <c r="D415" s="1">
        <v>4</v>
      </c>
      <c r="E415" s="2" t="s">
        <v>2093</v>
      </c>
      <c r="F415" s="2" t="s">
        <v>1283</v>
      </c>
      <c r="G415" s="45" t="s">
        <v>702</v>
      </c>
      <c r="H415" s="1">
        <v>1</v>
      </c>
      <c r="I415" s="43" t="s">
        <v>702</v>
      </c>
      <c r="J415" s="43" t="s">
        <v>702</v>
      </c>
      <c r="K415" s="30">
        <v>50000</v>
      </c>
      <c r="L415" s="43" t="s">
        <v>702</v>
      </c>
      <c r="M415" s="3">
        <v>46172.657638888901</v>
      </c>
      <c r="N415" s="2" t="s">
        <v>830</v>
      </c>
      <c r="O415" s="3">
        <v>46192.657638888901</v>
      </c>
      <c r="P415" s="2" t="s">
        <v>830</v>
      </c>
      <c r="Q415" s="34"/>
      <c r="R415" s="1" t="s">
        <v>31</v>
      </c>
    </row>
    <row r="416" spans="2:18" ht="29" customHeight="1">
      <c r="B416" s="2" t="s">
        <v>2094</v>
      </c>
      <c r="C416" s="2" t="s">
        <v>1037</v>
      </c>
      <c r="D416" s="1">
        <v>1</v>
      </c>
      <c r="E416" s="2" t="s">
        <v>2095</v>
      </c>
      <c r="F416" s="2" t="s">
        <v>1286</v>
      </c>
      <c r="G416" s="45" t="s">
        <v>702</v>
      </c>
      <c r="H416" s="45">
        <v>2</v>
      </c>
      <c r="I416" s="43" t="s">
        <v>702</v>
      </c>
      <c r="J416" s="43" t="s">
        <v>702</v>
      </c>
      <c r="K416" s="30">
        <v>60000</v>
      </c>
      <c r="L416" s="43" t="s">
        <v>702</v>
      </c>
      <c r="M416" s="3">
        <v>46173.4194444444</v>
      </c>
      <c r="N416" s="2" t="s">
        <v>834</v>
      </c>
      <c r="O416" s="3">
        <v>46193.4194444444</v>
      </c>
      <c r="P416" s="2" t="s">
        <v>834</v>
      </c>
      <c r="Q416" s="34"/>
      <c r="R416" s="1" t="s">
        <v>31</v>
      </c>
    </row>
    <row r="417" spans="2:18">
      <c r="B417" s="2" t="s">
        <v>2096</v>
      </c>
      <c r="C417" s="2" t="s">
        <v>1037</v>
      </c>
      <c r="D417" s="1">
        <v>2</v>
      </c>
      <c r="E417" s="2" t="s">
        <v>2097</v>
      </c>
      <c r="F417" s="2" t="s">
        <v>1289</v>
      </c>
      <c r="G417" s="45">
        <v>11</v>
      </c>
      <c r="H417" s="45" t="s">
        <v>702</v>
      </c>
      <c r="I417" s="43" t="s">
        <v>702</v>
      </c>
      <c r="J417" s="43" t="s">
        <v>702</v>
      </c>
      <c r="K417" s="30">
        <v>137500</v>
      </c>
      <c r="L417" s="43" t="s">
        <v>702</v>
      </c>
      <c r="M417" s="3">
        <v>46173.4194444444</v>
      </c>
      <c r="N417" s="2" t="s">
        <v>834</v>
      </c>
      <c r="O417" s="3">
        <v>46193.4194444444</v>
      </c>
      <c r="P417" s="2" t="s">
        <v>834</v>
      </c>
      <c r="Q417" s="34"/>
      <c r="R417" s="1" t="s">
        <v>31</v>
      </c>
    </row>
    <row r="418" spans="2:18">
      <c r="B418" s="2" t="s">
        <v>2098</v>
      </c>
      <c r="C418" s="2" t="s">
        <v>1037</v>
      </c>
      <c r="D418" s="1">
        <v>3</v>
      </c>
      <c r="E418" s="2" t="s">
        <v>2099</v>
      </c>
      <c r="F418" s="2" t="s">
        <v>1292</v>
      </c>
      <c r="G418" s="45" t="s">
        <v>702</v>
      </c>
      <c r="H418" s="45">
        <v>1</v>
      </c>
      <c r="I418" s="43" t="s">
        <v>702</v>
      </c>
      <c r="J418" s="43" t="s">
        <v>702</v>
      </c>
      <c r="K418" s="30">
        <v>50000</v>
      </c>
      <c r="L418" s="43" t="s">
        <v>702</v>
      </c>
      <c r="M418" s="3">
        <v>46173.4194444444</v>
      </c>
      <c r="N418" s="2" t="s">
        <v>834</v>
      </c>
      <c r="O418" s="3">
        <v>46193.4194444444</v>
      </c>
      <c r="P418" s="2" t="s">
        <v>834</v>
      </c>
      <c r="Q418" s="34"/>
      <c r="R418" s="1" t="s">
        <v>31</v>
      </c>
    </row>
    <row r="419" spans="2:18">
      <c r="B419" s="2" t="s">
        <v>2100</v>
      </c>
      <c r="C419" s="2" t="s">
        <v>1037</v>
      </c>
      <c r="D419" s="1">
        <v>4</v>
      </c>
      <c r="E419" s="2" t="s">
        <v>2101</v>
      </c>
      <c r="F419" s="2" t="s">
        <v>1295</v>
      </c>
      <c r="G419" s="45">
        <v>3</v>
      </c>
      <c r="H419" s="45" t="s">
        <v>702</v>
      </c>
      <c r="I419" s="43" t="s">
        <v>702</v>
      </c>
      <c r="J419" s="43" t="s">
        <v>702</v>
      </c>
      <c r="K419" s="30">
        <v>9000</v>
      </c>
      <c r="L419" s="43" t="s">
        <v>702</v>
      </c>
      <c r="M419" s="3">
        <v>46173.4194444444</v>
      </c>
      <c r="N419" s="2" t="s">
        <v>834</v>
      </c>
      <c r="O419" s="3">
        <v>46193.4194444444</v>
      </c>
      <c r="P419" s="2" t="s">
        <v>834</v>
      </c>
      <c r="Q419" s="34"/>
      <c r="R419" s="1" t="s">
        <v>31</v>
      </c>
    </row>
    <row r="420" spans="2:18">
      <c r="B420" s="2" t="s">
        <v>2102</v>
      </c>
      <c r="C420" s="2" t="s">
        <v>1039</v>
      </c>
      <c r="D420" s="1">
        <v>1</v>
      </c>
      <c r="E420" s="2" t="s">
        <v>2103</v>
      </c>
      <c r="F420" s="2" t="s">
        <v>1298</v>
      </c>
      <c r="G420" s="1">
        <v>10</v>
      </c>
      <c r="H420" s="45" t="s">
        <v>702</v>
      </c>
      <c r="I420" s="43" t="s">
        <v>702</v>
      </c>
      <c r="J420" s="43" t="s">
        <v>702</v>
      </c>
      <c r="K420" s="30">
        <v>50000</v>
      </c>
      <c r="L420" s="43" t="s">
        <v>702</v>
      </c>
      <c r="M420" s="3">
        <v>46173.514583333301</v>
      </c>
      <c r="N420" s="2" t="s">
        <v>838</v>
      </c>
      <c r="O420" s="3">
        <v>46193.514583333301</v>
      </c>
      <c r="P420" s="2" t="s">
        <v>838</v>
      </c>
      <c r="Q420" s="34"/>
      <c r="R420" s="1" t="s">
        <v>31</v>
      </c>
    </row>
    <row r="421" spans="2:18">
      <c r="B421" s="2" t="s">
        <v>2104</v>
      </c>
      <c r="C421" s="2" t="s">
        <v>1039</v>
      </c>
      <c r="D421" s="1">
        <v>2</v>
      </c>
      <c r="E421" s="2" t="s">
        <v>2105</v>
      </c>
      <c r="F421" s="2" t="s">
        <v>1301</v>
      </c>
      <c r="G421" s="45" t="s">
        <v>702</v>
      </c>
      <c r="H421" s="1">
        <v>1</v>
      </c>
      <c r="I421" s="43" t="s">
        <v>702</v>
      </c>
      <c r="J421" s="43" t="s">
        <v>702</v>
      </c>
      <c r="K421" s="30">
        <v>25000</v>
      </c>
      <c r="L421" s="43" t="s">
        <v>702</v>
      </c>
      <c r="M421" s="3">
        <v>46173.514583333301</v>
      </c>
      <c r="N421" s="2" t="s">
        <v>838</v>
      </c>
      <c r="O421" s="3">
        <v>46193.514583333301</v>
      </c>
      <c r="P421" s="2" t="s">
        <v>838</v>
      </c>
      <c r="Q421" s="34"/>
      <c r="R421" s="1" t="s">
        <v>31</v>
      </c>
    </row>
    <row r="422" spans="2:18">
      <c r="B422" s="2" t="s">
        <v>2106</v>
      </c>
      <c r="C422" s="2" t="s">
        <v>1039</v>
      </c>
      <c r="D422" s="1">
        <v>3</v>
      </c>
      <c r="E422" s="2" t="s">
        <v>2107</v>
      </c>
      <c r="F422" s="2" t="s">
        <v>1304</v>
      </c>
      <c r="G422" s="1">
        <v>2</v>
      </c>
      <c r="H422" s="45" t="s">
        <v>702</v>
      </c>
      <c r="I422" s="43" t="s">
        <v>702</v>
      </c>
      <c r="J422" s="43" t="s">
        <v>702</v>
      </c>
      <c r="K422" s="30">
        <v>12000</v>
      </c>
      <c r="L422" s="43" t="s">
        <v>702</v>
      </c>
      <c r="M422" s="3">
        <v>46173.514583333301</v>
      </c>
      <c r="N422" s="2" t="s">
        <v>838</v>
      </c>
      <c r="O422" s="3">
        <v>46193.514583333301</v>
      </c>
      <c r="P422" s="2" t="s">
        <v>838</v>
      </c>
      <c r="Q422" s="34"/>
      <c r="R422" s="1" t="s">
        <v>31</v>
      </c>
    </row>
    <row r="423" spans="2:18" ht="29" customHeight="1">
      <c r="B423" s="2" t="s">
        <v>2108</v>
      </c>
      <c r="C423" s="2" t="s">
        <v>1039</v>
      </c>
      <c r="D423" s="1">
        <v>4</v>
      </c>
      <c r="E423" s="2" t="s">
        <v>2109</v>
      </c>
      <c r="F423" s="2" t="s">
        <v>1307</v>
      </c>
      <c r="G423" s="45" t="s">
        <v>702</v>
      </c>
      <c r="H423" s="1">
        <v>3</v>
      </c>
      <c r="I423" s="43" t="s">
        <v>702</v>
      </c>
      <c r="J423" s="43" t="s">
        <v>702</v>
      </c>
      <c r="K423" s="30">
        <v>90000</v>
      </c>
      <c r="L423" s="43" t="s">
        <v>702</v>
      </c>
      <c r="M423" s="3">
        <v>46173.514583333301</v>
      </c>
      <c r="N423" s="2" t="s">
        <v>838</v>
      </c>
      <c r="O423" s="3">
        <v>46193.514583333301</v>
      </c>
      <c r="P423" s="2" t="s">
        <v>838</v>
      </c>
      <c r="Q423" s="34"/>
      <c r="R423" s="1" t="s">
        <v>31</v>
      </c>
    </row>
    <row r="424" spans="2:18">
      <c r="B424" s="2" t="s">
        <v>2110</v>
      </c>
      <c r="C424" s="2" t="s">
        <v>1041</v>
      </c>
      <c r="D424" s="1">
        <v>1</v>
      </c>
      <c r="E424" s="2" t="s">
        <v>2111</v>
      </c>
      <c r="F424" s="2" t="s">
        <v>1310</v>
      </c>
      <c r="G424" s="45" t="s">
        <v>702</v>
      </c>
      <c r="H424" s="45">
        <v>1</v>
      </c>
      <c r="I424" s="43" t="s">
        <v>702</v>
      </c>
      <c r="J424" s="43" t="s">
        <v>702</v>
      </c>
      <c r="K424" s="30">
        <v>40000</v>
      </c>
      <c r="L424" s="43" t="s">
        <v>702</v>
      </c>
      <c r="M424" s="3">
        <v>46174.651388888902</v>
      </c>
      <c r="N424" s="2" t="s">
        <v>842</v>
      </c>
      <c r="O424" s="3">
        <v>46194.651388888902</v>
      </c>
      <c r="P424" s="2" t="s">
        <v>842</v>
      </c>
      <c r="Q424" s="34"/>
      <c r="R424" s="1" t="s">
        <v>31</v>
      </c>
    </row>
    <row r="425" spans="2:18">
      <c r="B425" s="2" t="s">
        <v>2112</v>
      </c>
      <c r="C425" s="2" t="s">
        <v>1041</v>
      </c>
      <c r="D425" s="1">
        <v>2</v>
      </c>
      <c r="E425" s="2" t="s">
        <v>2113</v>
      </c>
      <c r="F425" s="2" t="s">
        <v>1313</v>
      </c>
      <c r="G425" s="45">
        <v>1</v>
      </c>
      <c r="H425" s="45" t="s">
        <v>702</v>
      </c>
      <c r="I425" s="43" t="s">
        <v>702</v>
      </c>
      <c r="J425" s="43" t="s">
        <v>702</v>
      </c>
      <c r="K425" s="30">
        <v>12500</v>
      </c>
      <c r="L425" s="43" t="s">
        <v>702</v>
      </c>
      <c r="M425" s="3">
        <v>46174.651388888902</v>
      </c>
      <c r="N425" s="2" t="s">
        <v>842</v>
      </c>
      <c r="O425" s="3">
        <v>46194.651388888902</v>
      </c>
      <c r="P425" s="2" t="s">
        <v>842</v>
      </c>
      <c r="Q425" s="34"/>
      <c r="R425" s="1" t="s">
        <v>31</v>
      </c>
    </row>
    <row r="426" spans="2:18" ht="29" customHeight="1">
      <c r="B426" s="2" t="s">
        <v>2114</v>
      </c>
      <c r="C426" s="2" t="s">
        <v>1041</v>
      </c>
      <c r="D426" s="1">
        <v>3</v>
      </c>
      <c r="E426" s="2" t="s">
        <v>2115</v>
      </c>
      <c r="F426" s="2" t="s">
        <v>1316</v>
      </c>
      <c r="G426" s="45" t="s">
        <v>702</v>
      </c>
      <c r="H426" s="45">
        <v>3</v>
      </c>
      <c r="I426" s="43" t="s">
        <v>702</v>
      </c>
      <c r="J426" s="43" t="s">
        <v>702</v>
      </c>
      <c r="K426" s="30">
        <v>150000</v>
      </c>
      <c r="L426" s="43" t="s">
        <v>702</v>
      </c>
      <c r="M426" s="3">
        <v>46174.651388888902</v>
      </c>
      <c r="N426" s="2" t="s">
        <v>842</v>
      </c>
      <c r="O426" s="3">
        <v>46194.651388888902</v>
      </c>
      <c r="P426" s="2" t="s">
        <v>842</v>
      </c>
      <c r="Q426" s="34"/>
      <c r="R426" s="1" t="s">
        <v>31</v>
      </c>
    </row>
    <row r="427" spans="2:18" ht="29" customHeight="1">
      <c r="B427" s="2" t="s">
        <v>2116</v>
      </c>
      <c r="C427" s="2" t="s">
        <v>1041</v>
      </c>
      <c r="D427" s="1">
        <v>4</v>
      </c>
      <c r="E427" s="2" t="s">
        <v>2117</v>
      </c>
      <c r="F427" s="2" t="s">
        <v>1319</v>
      </c>
      <c r="G427" s="45">
        <v>5</v>
      </c>
      <c r="H427" s="45" t="s">
        <v>702</v>
      </c>
      <c r="I427" s="43" t="s">
        <v>702</v>
      </c>
      <c r="J427" s="43" t="s">
        <v>702</v>
      </c>
      <c r="K427" s="30">
        <v>87500</v>
      </c>
      <c r="L427" s="43" t="s">
        <v>702</v>
      </c>
      <c r="M427" s="3">
        <v>46174.651388888902</v>
      </c>
      <c r="N427" s="2" t="s">
        <v>842</v>
      </c>
      <c r="O427" s="3">
        <v>46194.651388888902</v>
      </c>
      <c r="P427" s="2" t="s">
        <v>842</v>
      </c>
      <c r="Q427" s="34"/>
      <c r="R427" s="1" t="s">
        <v>31</v>
      </c>
    </row>
    <row r="428" spans="2:18">
      <c r="B428" s="2" t="s">
        <v>2118</v>
      </c>
      <c r="C428" s="2" t="s">
        <v>1043</v>
      </c>
      <c r="D428" s="1">
        <v>1</v>
      </c>
      <c r="E428" s="2" t="s">
        <v>2119</v>
      </c>
      <c r="F428" s="2" t="s">
        <v>1259</v>
      </c>
      <c r="G428" s="45">
        <v>12</v>
      </c>
      <c r="H428" s="45" t="s">
        <v>702</v>
      </c>
      <c r="I428" s="43" t="s">
        <v>702</v>
      </c>
      <c r="J428" s="43" t="s">
        <v>702</v>
      </c>
      <c r="K428" s="30">
        <v>150000</v>
      </c>
      <c r="L428" s="43" t="s">
        <v>702</v>
      </c>
      <c r="M428" s="3">
        <v>46174.413194444402</v>
      </c>
      <c r="N428" s="2" t="s">
        <v>846</v>
      </c>
      <c r="O428" s="3">
        <v>46194.413194444402</v>
      </c>
      <c r="P428" s="2" t="s">
        <v>846</v>
      </c>
      <c r="Q428" s="34"/>
      <c r="R428" s="1" t="s">
        <v>31</v>
      </c>
    </row>
    <row r="429" spans="2:18" ht="29" customHeight="1">
      <c r="B429" s="2" t="s">
        <v>2120</v>
      </c>
      <c r="C429" s="2" t="s">
        <v>1043</v>
      </c>
      <c r="D429" s="1">
        <v>2</v>
      </c>
      <c r="E429" s="2" t="s">
        <v>2121</v>
      </c>
      <c r="F429" s="2" t="s">
        <v>1262</v>
      </c>
      <c r="G429" s="45" t="s">
        <v>702</v>
      </c>
      <c r="H429" s="45">
        <v>3</v>
      </c>
      <c r="I429" s="43" t="s">
        <v>702</v>
      </c>
      <c r="J429" s="43" t="s">
        <v>702</v>
      </c>
      <c r="K429" s="30">
        <v>127500</v>
      </c>
      <c r="L429" s="43" t="s">
        <v>702</v>
      </c>
      <c r="M429" s="3">
        <v>46174.413194444402</v>
      </c>
      <c r="N429" s="2" t="s">
        <v>846</v>
      </c>
      <c r="O429" s="3">
        <v>46194.413194444402</v>
      </c>
      <c r="P429" s="2" t="s">
        <v>846</v>
      </c>
      <c r="Q429" s="34"/>
      <c r="R429" s="1" t="s">
        <v>31</v>
      </c>
    </row>
    <row r="430" spans="2:18" ht="29" customHeight="1">
      <c r="B430" s="2" t="s">
        <v>2122</v>
      </c>
      <c r="C430" s="2" t="s">
        <v>1043</v>
      </c>
      <c r="D430" s="1">
        <v>3</v>
      </c>
      <c r="E430" s="2" t="s">
        <v>2123</v>
      </c>
      <c r="F430" s="2" t="s">
        <v>1265</v>
      </c>
      <c r="G430" s="1">
        <v>4</v>
      </c>
      <c r="H430" s="45" t="s">
        <v>702</v>
      </c>
      <c r="I430" s="43" t="s">
        <v>702</v>
      </c>
      <c r="J430" s="43" t="s">
        <v>702</v>
      </c>
      <c r="K430" s="30">
        <v>70000</v>
      </c>
      <c r="L430" s="43" t="s">
        <v>702</v>
      </c>
      <c r="M430" s="3">
        <v>46174.413194444402</v>
      </c>
      <c r="N430" s="2" t="s">
        <v>846</v>
      </c>
      <c r="O430" s="3">
        <v>46194.413194444402</v>
      </c>
      <c r="P430" s="2" t="s">
        <v>846</v>
      </c>
      <c r="Q430" s="34"/>
      <c r="R430" s="1" t="s">
        <v>31</v>
      </c>
    </row>
    <row r="431" spans="2:18">
      <c r="B431" s="2" t="s">
        <v>2124</v>
      </c>
      <c r="C431" s="2" t="s">
        <v>1043</v>
      </c>
      <c r="D431" s="1">
        <v>4</v>
      </c>
      <c r="E431" s="2" t="s">
        <v>2125</v>
      </c>
      <c r="F431" s="2" t="s">
        <v>1268</v>
      </c>
      <c r="G431" s="45" t="s">
        <v>702</v>
      </c>
      <c r="H431" s="1">
        <v>2</v>
      </c>
      <c r="I431" s="43" t="s">
        <v>702</v>
      </c>
      <c r="J431" s="43" t="s">
        <v>702</v>
      </c>
      <c r="K431" s="30">
        <v>50000</v>
      </c>
      <c r="L431" s="43" t="s">
        <v>702</v>
      </c>
      <c r="M431" s="3">
        <v>46174.413194444402</v>
      </c>
      <c r="N431" s="2" t="s">
        <v>846</v>
      </c>
      <c r="O431" s="3">
        <v>46194.413194444402</v>
      </c>
      <c r="P431" s="2" t="s">
        <v>846</v>
      </c>
      <c r="Q431" s="34"/>
      <c r="R431" s="1" t="s">
        <v>31</v>
      </c>
    </row>
    <row r="432" spans="2:18" ht="29" customHeight="1">
      <c r="B432" s="2" t="s">
        <v>2126</v>
      </c>
      <c r="C432" s="2" t="s">
        <v>1045</v>
      </c>
      <c r="D432" s="1">
        <v>1</v>
      </c>
      <c r="E432" s="2" t="s">
        <v>2127</v>
      </c>
      <c r="F432" s="2" t="s">
        <v>1271</v>
      </c>
      <c r="G432" s="45" t="s">
        <v>702</v>
      </c>
      <c r="H432" s="45">
        <v>3</v>
      </c>
      <c r="I432" s="43" t="s">
        <v>702</v>
      </c>
      <c r="J432" s="43" t="s">
        <v>702</v>
      </c>
      <c r="K432" s="30">
        <v>96000</v>
      </c>
      <c r="L432" s="43" t="s">
        <v>702</v>
      </c>
      <c r="M432" s="3">
        <v>46174.508333333302</v>
      </c>
      <c r="N432" s="2" t="s">
        <v>850</v>
      </c>
      <c r="O432" s="3">
        <v>46194.508333333302</v>
      </c>
      <c r="P432" s="2" t="s">
        <v>850</v>
      </c>
      <c r="Q432" s="34"/>
      <c r="R432" s="1" t="s">
        <v>31</v>
      </c>
    </row>
    <row r="433" spans="2:18" ht="29" customHeight="1">
      <c r="B433" s="2" t="s">
        <v>2128</v>
      </c>
      <c r="C433" s="2" t="s">
        <v>1045</v>
      </c>
      <c r="D433" s="1">
        <v>2</v>
      </c>
      <c r="E433" s="2" t="s">
        <v>2129</v>
      </c>
      <c r="F433" s="2" t="s">
        <v>1274</v>
      </c>
      <c r="G433" s="45">
        <v>3</v>
      </c>
      <c r="H433" s="45" t="s">
        <v>702</v>
      </c>
      <c r="I433" s="43" t="s">
        <v>702</v>
      </c>
      <c r="J433" s="43" t="s">
        <v>702</v>
      </c>
      <c r="K433" s="30">
        <v>37500</v>
      </c>
      <c r="L433" s="43" t="s">
        <v>702</v>
      </c>
      <c r="M433" s="3">
        <v>46174.508333333302</v>
      </c>
      <c r="N433" s="2" t="s">
        <v>850</v>
      </c>
      <c r="O433" s="3">
        <v>46194.508333333302</v>
      </c>
      <c r="P433" s="2" t="s">
        <v>850</v>
      </c>
      <c r="Q433" s="34"/>
      <c r="R433" s="1" t="s">
        <v>31</v>
      </c>
    </row>
    <row r="434" spans="2:18">
      <c r="B434" s="2" t="s">
        <v>2130</v>
      </c>
      <c r="C434" s="2" t="s">
        <v>1045</v>
      </c>
      <c r="D434" s="1">
        <v>3</v>
      </c>
      <c r="E434" s="2" t="s">
        <v>2131</v>
      </c>
      <c r="F434" s="2" t="s">
        <v>1277</v>
      </c>
      <c r="G434" s="45" t="s">
        <v>702</v>
      </c>
      <c r="H434" s="45">
        <v>2</v>
      </c>
      <c r="I434" s="43" t="s">
        <v>702</v>
      </c>
      <c r="J434" s="43" t="s">
        <v>702</v>
      </c>
      <c r="K434" s="30">
        <v>70000</v>
      </c>
      <c r="L434" s="43" t="s">
        <v>702</v>
      </c>
      <c r="M434" s="3">
        <v>46174.508333333302</v>
      </c>
      <c r="N434" s="2" t="s">
        <v>850</v>
      </c>
      <c r="O434" s="3">
        <v>46194.508333333302</v>
      </c>
      <c r="P434" s="2" t="s">
        <v>850</v>
      </c>
      <c r="Q434" s="34"/>
      <c r="R434" s="1" t="s">
        <v>31</v>
      </c>
    </row>
    <row r="435" spans="2:18">
      <c r="B435" s="2" t="s">
        <v>2132</v>
      </c>
      <c r="C435" s="2" t="s">
        <v>1045</v>
      </c>
      <c r="D435" s="1">
        <v>4</v>
      </c>
      <c r="E435" s="2" t="s">
        <v>2133</v>
      </c>
      <c r="F435" s="2" t="s">
        <v>1280</v>
      </c>
      <c r="G435" s="45">
        <v>7</v>
      </c>
      <c r="H435" s="45" t="s">
        <v>702</v>
      </c>
      <c r="I435" s="43" t="s">
        <v>702</v>
      </c>
      <c r="J435" s="43" t="s">
        <v>702</v>
      </c>
      <c r="K435" s="30">
        <v>105000</v>
      </c>
      <c r="L435" s="43" t="s">
        <v>702</v>
      </c>
      <c r="M435" s="3">
        <v>46174.508333333302</v>
      </c>
      <c r="N435" s="2" t="s">
        <v>850</v>
      </c>
      <c r="O435" s="3">
        <v>46194.508333333302</v>
      </c>
      <c r="P435" s="2" t="s">
        <v>850</v>
      </c>
      <c r="Q435" s="34"/>
      <c r="R435" s="1" t="s">
        <v>31</v>
      </c>
    </row>
    <row r="436" spans="2:18" ht="29" customHeight="1">
      <c r="B436" s="2" t="s">
        <v>2134</v>
      </c>
      <c r="C436" s="2" t="s">
        <v>1047</v>
      </c>
      <c r="D436" s="1">
        <v>1</v>
      </c>
      <c r="E436" s="2" t="s">
        <v>2135</v>
      </c>
      <c r="F436" s="2" t="s">
        <v>1283</v>
      </c>
      <c r="G436" s="1">
        <v>2</v>
      </c>
      <c r="H436" s="45" t="s">
        <v>702</v>
      </c>
      <c r="I436" s="43" t="s">
        <v>702</v>
      </c>
      <c r="J436" s="43" t="s">
        <v>702</v>
      </c>
      <c r="K436" s="30">
        <v>35000</v>
      </c>
      <c r="L436" s="43" t="s">
        <v>702</v>
      </c>
      <c r="M436" s="3">
        <v>46175.645138888904</v>
      </c>
      <c r="N436" s="2" t="s">
        <v>854</v>
      </c>
      <c r="O436" s="3">
        <v>46195.645138888904</v>
      </c>
      <c r="P436" s="2" t="s">
        <v>854</v>
      </c>
      <c r="Q436" s="34"/>
      <c r="R436" s="1" t="s">
        <v>31</v>
      </c>
    </row>
    <row r="437" spans="2:18">
      <c r="B437" s="2" t="s">
        <v>2136</v>
      </c>
      <c r="C437" s="2" t="s">
        <v>1047</v>
      </c>
      <c r="D437" s="1">
        <v>2</v>
      </c>
      <c r="E437" s="2" t="s">
        <v>2137</v>
      </c>
      <c r="F437" s="2" t="s">
        <v>1286</v>
      </c>
      <c r="G437" s="45" t="s">
        <v>702</v>
      </c>
      <c r="H437" s="45">
        <v>2</v>
      </c>
      <c r="I437" s="43" t="s">
        <v>702</v>
      </c>
      <c r="J437" s="43" t="s">
        <v>702</v>
      </c>
      <c r="K437" s="30">
        <v>60000</v>
      </c>
      <c r="L437" s="43" t="s">
        <v>702</v>
      </c>
      <c r="M437" s="3">
        <v>46175.645138888904</v>
      </c>
      <c r="N437" s="2" t="s">
        <v>854</v>
      </c>
      <c r="O437" s="3">
        <v>46195.645138888904</v>
      </c>
      <c r="P437" s="2" t="s">
        <v>854</v>
      </c>
      <c r="Q437" s="34"/>
      <c r="R437" s="1" t="s">
        <v>31</v>
      </c>
    </row>
    <row r="438" spans="2:18">
      <c r="B438" s="2" t="s">
        <v>2138</v>
      </c>
      <c r="C438" s="2" t="s">
        <v>1047</v>
      </c>
      <c r="D438" s="1">
        <v>3</v>
      </c>
      <c r="E438" s="2" t="s">
        <v>2139</v>
      </c>
      <c r="F438" s="2" t="s">
        <v>1289</v>
      </c>
      <c r="G438" s="45">
        <v>6</v>
      </c>
      <c r="H438" s="45" t="s">
        <v>702</v>
      </c>
      <c r="I438" s="43" t="s">
        <v>702</v>
      </c>
      <c r="J438" s="43" t="s">
        <v>702</v>
      </c>
      <c r="K438" s="30">
        <v>75000</v>
      </c>
      <c r="L438" s="43" t="s">
        <v>702</v>
      </c>
      <c r="M438" s="3">
        <v>46175.645138888904</v>
      </c>
      <c r="N438" s="2" t="s">
        <v>854</v>
      </c>
      <c r="O438" s="3">
        <v>46195.645138888904</v>
      </c>
      <c r="P438" s="2" t="s">
        <v>854</v>
      </c>
      <c r="Q438" s="34"/>
      <c r="R438" s="1" t="s">
        <v>31</v>
      </c>
    </row>
    <row r="439" spans="2:18">
      <c r="B439" s="2" t="s">
        <v>2140</v>
      </c>
      <c r="C439" s="2" t="s">
        <v>1047</v>
      </c>
      <c r="D439" s="1">
        <v>4</v>
      </c>
      <c r="E439" s="2" t="s">
        <v>2141</v>
      </c>
      <c r="F439" s="2" t="s">
        <v>1292</v>
      </c>
      <c r="G439" s="45" t="s">
        <v>702</v>
      </c>
      <c r="H439" s="45">
        <v>1</v>
      </c>
      <c r="I439" s="43" t="s">
        <v>702</v>
      </c>
      <c r="J439" s="43" t="s">
        <v>702</v>
      </c>
      <c r="K439" s="30">
        <v>50000</v>
      </c>
      <c r="L439" s="43" t="s">
        <v>702</v>
      </c>
      <c r="M439" s="3">
        <v>46175.645138888904</v>
      </c>
      <c r="N439" s="2" t="s">
        <v>854</v>
      </c>
      <c r="O439" s="3">
        <v>46195.645138888904</v>
      </c>
      <c r="P439" s="2" t="s">
        <v>854</v>
      </c>
      <c r="Q439" s="34"/>
      <c r="R439" s="1" t="s">
        <v>31</v>
      </c>
    </row>
    <row r="440" spans="2:18">
      <c r="B440" s="2" t="s">
        <v>2142</v>
      </c>
      <c r="C440" s="2" t="s">
        <v>1049</v>
      </c>
      <c r="D440" s="1">
        <v>1</v>
      </c>
      <c r="E440" s="2" t="s">
        <v>2143</v>
      </c>
      <c r="F440" s="2" t="s">
        <v>1295</v>
      </c>
      <c r="G440" s="45" t="s">
        <v>702</v>
      </c>
      <c r="H440" s="1">
        <v>2</v>
      </c>
      <c r="I440" s="43" t="s">
        <v>702</v>
      </c>
      <c r="J440" s="43" t="s">
        <v>702</v>
      </c>
      <c r="K440" s="30">
        <v>30000</v>
      </c>
      <c r="L440" s="43" t="s">
        <v>702</v>
      </c>
      <c r="M440" s="3">
        <v>46175.406944444403</v>
      </c>
      <c r="N440" s="2" t="s">
        <v>858</v>
      </c>
      <c r="O440" s="3">
        <v>46195.406944444403</v>
      </c>
      <c r="P440" s="2" t="s">
        <v>858</v>
      </c>
      <c r="Q440" s="34"/>
      <c r="R440" s="1" t="s">
        <v>31</v>
      </c>
    </row>
    <row r="441" spans="2:18">
      <c r="B441" s="2" t="s">
        <v>2144</v>
      </c>
      <c r="C441" s="2" t="s">
        <v>1049</v>
      </c>
      <c r="D441" s="1">
        <v>2</v>
      </c>
      <c r="E441" s="2" t="s">
        <v>2145</v>
      </c>
      <c r="F441" s="2" t="s">
        <v>1298</v>
      </c>
      <c r="G441" s="1">
        <v>5</v>
      </c>
      <c r="H441" s="45" t="s">
        <v>702</v>
      </c>
      <c r="I441" s="43" t="s">
        <v>702</v>
      </c>
      <c r="J441" s="43" t="s">
        <v>702</v>
      </c>
      <c r="K441" s="30">
        <v>25000</v>
      </c>
      <c r="L441" s="43" t="s">
        <v>702</v>
      </c>
      <c r="M441" s="3">
        <v>46175.406944444403</v>
      </c>
      <c r="N441" s="2" t="s">
        <v>858</v>
      </c>
      <c r="O441" s="3">
        <v>46195.406944444403</v>
      </c>
      <c r="P441" s="2" t="s">
        <v>858</v>
      </c>
      <c r="Q441" s="34"/>
      <c r="R441" s="1" t="s">
        <v>31</v>
      </c>
    </row>
    <row r="442" spans="2:18">
      <c r="B442" s="2" t="s">
        <v>2146</v>
      </c>
      <c r="C442" s="2" t="s">
        <v>1049</v>
      </c>
      <c r="D442" s="1">
        <v>3</v>
      </c>
      <c r="E442" s="2" t="s">
        <v>2147</v>
      </c>
      <c r="F442" s="2" t="s">
        <v>1301</v>
      </c>
      <c r="G442" s="45" t="s">
        <v>702</v>
      </c>
      <c r="H442" s="1">
        <v>1</v>
      </c>
      <c r="I442" s="43" t="s">
        <v>702</v>
      </c>
      <c r="J442" s="43" t="s">
        <v>702</v>
      </c>
      <c r="K442" s="30">
        <v>25000</v>
      </c>
      <c r="L442" s="43" t="s">
        <v>702</v>
      </c>
      <c r="M442" s="3">
        <v>46175.406944444403</v>
      </c>
      <c r="N442" s="2" t="s">
        <v>858</v>
      </c>
      <c r="O442" s="3">
        <v>46195.406944444403</v>
      </c>
      <c r="P442" s="2" t="s">
        <v>858</v>
      </c>
      <c r="Q442" s="34"/>
      <c r="R442" s="1" t="s">
        <v>31</v>
      </c>
    </row>
    <row r="443" spans="2:18">
      <c r="B443" s="2" t="s">
        <v>2148</v>
      </c>
      <c r="C443" s="2" t="s">
        <v>1049</v>
      </c>
      <c r="D443" s="1">
        <v>4</v>
      </c>
      <c r="E443" s="2" t="s">
        <v>2149</v>
      </c>
      <c r="F443" s="2" t="s">
        <v>1304</v>
      </c>
      <c r="G443" s="1">
        <v>9</v>
      </c>
      <c r="H443" s="45" t="s">
        <v>702</v>
      </c>
      <c r="I443" s="43" t="s">
        <v>702</v>
      </c>
      <c r="J443" s="43" t="s">
        <v>702</v>
      </c>
      <c r="K443" s="30">
        <v>54000</v>
      </c>
      <c r="L443" s="43" t="s">
        <v>702</v>
      </c>
      <c r="M443" s="3">
        <v>46175.406944444403</v>
      </c>
      <c r="N443" s="2" t="s">
        <v>858</v>
      </c>
      <c r="O443" s="3">
        <v>46195.406944444403</v>
      </c>
      <c r="P443" s="2" t="s">
        <v>858</v>
      </c>
      <c r="Q443" s="34"/>
      <c r="R443" s="1" t="s">
        <v>31</v>
      </c>
    </row>
    <row r="444" spans="2:18">
      <c r="B444" s="2" t="s">
        <v>2150</v>
      </c>
      <c r="C444" s="2" t="s">
        <v>1051</v>
      </c>
      <c r="D444" s="1">
        <v>1</v>
      </c>
      <c r="E444" s="2" t="s">
        <v>2151</v>
      </c>
      <c r="F444" s="2" t="s">
        <v>1307</v>
      </c>
      <c r="G444" s="45">
        <v>4</v>
      </c>
      <c r="H444" s="45" t="s">
        <v>702</v>
      </c>
      <c r="I444" s="43" t="s">
        <v>702</v>
      </c>
      <c r="J444" s="43" t="s">
        <v>702</v>
      </c>
      <c r="K444" s="30">
        <v>32000</v>
      </c>
      <c r="L444" s="43" t="s">
        <v>702</v>
      </c>
      <c r="M444" s="3">
        <v>46176.543749999997</v>
      </c>
      <c r="N444" s="2" t="s">
        <v>862</v>
      </c>
      <c r="O444" s="3">
        <v>46196.543749999997</v>
      </c>
      <c r="P444" s="2" t="s">
        <v>862</v>
      </c>
      <c r="Q444" s="34"/>
      <c r="R444" s="1" t="s">
        <v>31</v>
      </c>
    </row>
    <row r="445" spans="2:18">
      <c r="B445" s="2" t="s">
        <v>2152</v>
      </c>
      <c r="C445" s="2" t="s">
        <v>1051</v>
      </c>
      <c r="D445" s="1">
        <v>2</v>
      </c>
      <c r="E445" s="2" t="s">
        <v>2153</v>
      </c>
      <c r="F445" s="2" t="s">
        <v>1310</v>
      </c>
      <c r="G445" s="45" t="s">
        <v>702</v>
      </c>
      <c r="H445" s="45">
        <v>1</v>
      </c>
      <c r="I445" s="43" t="s">
        <v>702</v>
      </c>
      <c r="J445" s="43" t="s">
        <v>702</v>
      </c>
      <c r="K445" s="30">
        <v>40000</v>
      </c>
      <c r="L445" s="43" t="s">
        <v>702</v>
      </c>
      <c r="M445" s="3">
        <v>46176.543749999997</v>
      </c>
      <c r="N445" s="2" t="s">
        <v>862</v>
      </c>
      <c r="O445" s="3">
        <v>46196.543749999997</v>
      </c>
      <c r="P445" s="2" t="s">
        <v>862</v>
      </c>
      <c r="Q445" s="34"/>
      <c r="R445" s="1" t="s">
        <v>31</v>
      </c>
    </row>
    <row r="446" spans="2:18">
      <c r="B446" s="2" t="s">
        <v>2154</v>
      </c>
      <c r="C446" s="2" t="s">
        <v>1051</v>
      </c>
      <c r="D446" s="1">
        <v>3</v>
      </c>
      <c r="E446" s="2" t="s">
        <v>2155</v>
      </c>
      <c r="F446" s="2" t="s">
        <v>1313</v>
      </c>
      <c r="G446" s="45">
        <v>8</v>
      </c>
      <c r="H446" s="45" t="s">
        <v>702</v>
      </c>
      <c r="I446" s="43" t="s">
        <v>702</v>
      </c>
      <c r="J446" s="43" t="s">
        <v>702</v>
      </c>
      <c r="K446" s="30">
        <v>100000</v>
      </c>
      <c r="L446" s="43" t="s">
        <v>702</v>
      </c>
      <c r="M446" s="3">
        <v>46176.543749999997</v>
      </c>
      <c r="N446" s="2" t="s">
        <v>862</v>
      </c>
      <c r="O446" s="3">
        <v>46196.543749999997</v>
      </c>
      <c r="P446" s="2" t="s">
        <v>862</v>
      </c>
      <c r="Q446" s="34"/>
      <c r="R446" s="1" t="s">
        <v>31</v>
      </c>
    </row>
    <row r="447" spans="2:18">
      <c r="B447" s="2" t="s">
        <v>2156</v>
      </c>
      <c r="C447" s="2" t="s">
        <v>1051</v>
      </c>
      <c r="D447" s="1">
        <v>4</v>
      </c>
      <c r="E447" s="2" t="s">
        <v>2157</v>
      </c>
      <c r="F447" s="2" t="s">
        <v>1316</v>
      </c>
      <c r="G447" s="45" t="s">
        <v>702</v>
      </c>
      <c r="H447" s="45">
        <v>3</v>
      </c>
      <c r="I447" s="43" t="s">
        <v>702</v>
      </c>
      <c r="J447" s="43" t="s">
        <v>702</v>
      </c>
      <c r="K447" s="30">
        <v>150000</v>
      </c>
      <c r="L447" s="43" t="s">
        <v>702</v>
      </c>
      <c r="M447" s="3">
        <v>46176.543749999997</v>
      </c>
      <c r="N447" s="2" t="s">
        <v>862</v>
      </c>
      <c r="O447" s="3">
        <v>46196.543749999997</v>
      </c>
      <c r="P447" s="2" t="s">
        <v>862</v>
      </c>
      <c r="Q447" s="34"/>
      <c r="R447" s="1" t="s">
        <v>31</v>
      </c>
    </row>
    <row r="448" spans="2:18">
      <c r="B448" s="2" t="s">
        <v>2158</v>
      </c>
      <c r="C448" s="2" t="s">
        <v>1053</v>
      </c>
      <c r="D448" s="1">
        <v>1</v>
      </c>
      <c r="E448" s="2" t="s">
        <v>2159</v>
      </c>
      <c r="F448" s="2" t="s">
        <v>1319</v>
      </c>
      <c r="G448" s="45" t="s">
        <v>702</v>
      </c>
      <c r="H448" s="45">
        <v>1</v>
      </c>
      <c r="I448" s="43" t="s">
        <v>702</v>
      </c>
      <c r="J448" s="43" t="s">
        <v>702</v>
      </c>
      <c r="K448" s="30">
        <v>60000</v>
      </c>
      <c r="L448" s="43" t="s">
        <v>702</v>
      </c>
      <c r="M448" s="3">
        <v>46176.638888888898</v>
      </c>
      <c r="N448" s="2" t="s">
        <v>97</v>
      </c>
      <c r="O448" s="3">
        <v>46196.638888888898</v>
      </c>
      <c r="P448" s="2" t="s">
        <v>97</v>
      </c>
      <c r="Q448" s="34"/>
      <c r="R448" s="1" t="s">
        <v>31</v>
      </c>
    </row>
    <row r="449" spans="2:18">
      <c r="B449" s="2" t="s">
        <v>2160</v>
      </c>
      <c r="C449" s="2" t="s">
        <v>1053</v>
      </c>
      <c r="D449" s="1">
        <v>2</v>
      </c>
      <c r="E449" s="2" t="s">
        <v>2161</v>
      </c>
      <c r="F449" s="2" t="s">
        <v>1259</v>
      </c>
      <c r="G449" s="45">
        <v>7</v>
      </c>
      <c r="H449" s="45" t="s">
        <v>702</v>
      </c>
      <c r="I449" s="43" t="s">
        <v>702</v>
      </c>
      <c r="J449" s="43" t="s">
        <v>702</v>
      </c>
      <c r="K449" s="30">
        <v>87500</v>
      </c>
      <c r="L449" s="43" t="s">
        <v>702</v>
      </c>
      <c r="M449" s="3">
        <v>46176.638888888898</v>
      </c>
      <c r="N449" s="2" t="s">
        <v>97</v>
      </c>
      <c r="O449" s="3">
        <v>46196.638888888898</v>
      </c>
      <c r="P449" s="2" t="s">
        <v>97</v>
      </c>
      <c r="Q449" s="34"/>
      <c r="R449" s="1" t="s">
        <v>31</v>
      </c>
    </row>
    <row r="450" spans="2:18">
      <c r="B450" s="2" t="s">
        <v>2162</v>
      </c>
      <c r="C450" s="2" t="s">
        <v>1053</v>
      </c>
      <c r="D450" s="1">
        <v>3</v>
      </c>
      <c r="E450" s="2" t="s">
        <v>2163</v>
      </c>
      <c r="F450" s="2" t="s">
        <v>1262</v>
      </c>
      <c r="G450" s="45" t="s">
        <v>702</v>
      </c>
      <c r="H450" s="45">
        <v>3</v>
      </c>
      <c r="I450" s="43" t="s">
        <v>702</v>
      </c>
      <c r="J450" s="43" t="s">
        <v>702</v>
      </c>
      <c r="K450" s="30">
        <v>127500</v>
      </c>
      <c r="L450" s="43" t="s">
        <v>702</v>
      </c>
      <c r="M450" s="3">
        <v>46176.638888888898</v>
      </c>
      <c r="N450" s="2" t="s">
        <v>97</v>
      </c>
      <c r="O450" s="3">
        <v>46196.638888888898</v>
      </c>
      <c r="P450" s="2" t="s">
        <v>97</v>
      </c>
      <c r="Q450" s="34"/>
      <c r="R450" s="1" t="s">
        <v>31</v>
      </c>
    </row>
    <row r="451" spans="2:18">
      <c r="B451" s="2" t="s">
        <v>2164</v>
      </c>
      <c r="C451" s="2" t="s">
        <v>1053</v>
      </c>
      <c r="D451" s="1">
        <v>4</v>
      </c>
      <c r="E451" s="2" t="s">
        <v>2165</v>
      </c>
      <c r="F451" s="2" t="s">
        <v>1265</v>
      </c>
      <c r="G451" s="45">
        <v>11</v>
      </c>
      <c r="H451" s="45" t="s">
        <v>702</v>
      </c>
      <c r="I451" s="43" t="s">
        <v>702</v>
      </c>
      <c r="J451" s="43" t="s">
        <v>702</v>
      </c>
      <c r="K451" s="30">
        <v>192500</v>
      </c>
      <c r="L451" s="43" t="s">
        <v>702</v>
      </c>
      <c r="M451" s="3">
        <v>46176.638888888898</v>
      </c>
      <c r="N451" s="2" t="s">
        <v>97</v>
      </c>
      <c r="O451" s="3">
        <v>46196.638888888898</v>
      </c>
      <c r="P451" s="2" t="s">
        <v>97</v>
      </c>
      <c r="Q451" s="34"/>
      <c r="R451" s="1" t="s">
        <v>31</v>
      </c>
    </row>
    <row r="452" spans="2:18">
      <c r="B452" s="2" t="s">
        <v>2166</v>
      </c>
      <c r="C452" s="2" t="s">
        <v>1055</v>
      </c>
      <c r="D452" s="1">
        <v>1</v>
      </c>
      <c r="E452" s="2" t="s">
        <v>2167</v>
      </c>
      <c r="F452" s="2" t="s">
        <v>1268</v>
      </c>
      <c r="G452" s="1">
        <v>6</v>
      </c>
      <c r="H452" s="45" t="s">
        <v>702</v>
      </c>
      <c r="I452" s="43" t="s">
        <v>702</v>
      </c>
      <c r="J452" s="43" t="s">
        <v>702</v>
      </c>
      <c r="K452" s="30">
        <v>45000</v>
      </c>
      <c r="L452" s="43" t="s">
        <v>702</v>
      </c>
      <c r="M452" s="3">
        <v>46177.400694444397</v>
      </c>
      <c r="N452" s="2" t="s">
        <v>869</v>
      </c>
      <c r="O452" s="3">
        <v>46197.400694444397</v>
      </c>
      <c r="P452" s="2" t="s">
        <v>869</v>
      </c>
      <c r="Q452" s="34"/>
      <c r="R452" s="1" t="s">
        <v>31</v>
      </c>
    </row>
    <row r="453" spans="2:18">
      <c r="B453" s="2" t="s">
        <v>2168</v>
      </c>
      <c r="C453" s="2" t="s">
        <v>1055</v>
      </c>
      <c r="D453" s="1">
        <v>2</v>
      </c>
      <c r="E453" s="2" t="s">
        <v>2169</v>
      </c>
      <c r="F453" s="2" t="s">
        <v>1271</v>
      </c>
      <c r="G453" s="45" t="s">
        <v>702</v>
      </c>
      <c r="H453" s="1">
        <v>3</v>
      </c>
      <c r="I453" s="43" t="s">
        <v>702</v>
      </c>
      <c r="J453" s="43" t="s">
        <v>702</v>
      </c>
      <c r="K453" s="30">
        <v>96000</v>
      </c>
      <c r="L453" s="43" t="s">
        <v>702</v>
      </c>
      <c r="M453" s="3">
        <v>46177.400694444397</v>
      </c>
      <c r="N453" s="2" t="s">
        <v>869</v>
      </c>
      <c r="O453" s="3">
        <v>46197.400694444397</v>
      </c>
      <c r="P453" s="2" t="s">
        <v>869</v>
      </c>
      <c r="Q453" s="34"/>
      <c r="R453" s="1" t="s">
        <v>31</v>
      </c>
    </row>
    <row r="454" spans="2:18">
      <c r="B454" s="2" t="s">
        <v>2170</v>
      </c>
      <c r="C454" s="2" t="s">
        <v>1055</v>
      </c>
      <c r="D454" s="1">
        <v>3</v>
      </c>
      <c r="E454" s="2" t="s">
        <v>2171</v>
      </c>
      <c r="F454" s="2" t="s">
        <v>1274</v>
      </c>
      <c r="G454" s="1">
        <v>10</v>
      </c>
      <c r="H454" s="45" t="s">
        <v>702</v>
      </c>
      <c r="I454" s="43" t="s">
        <v>702</v>
      </c>
      <c r="J454" s="43" t="s">
        <v>702</v>
      </c>
      <c r="K454" s="30">
        <v>125000</v>
      </c>
      <c r="L454" s="43" t="s">
        <v>702</v>
      </c>
      <c r="M454" s="3">
        <v>46177.400694444397</v>
      </c>
      <c r="N454" s="2" t="s">
        <v>869</v>
      </c>
      <c r="O454" s="3">
        <v>46197.400694444397</v>
      </c>
      <c r="P454" s="2" t="s">
        <v>869</v>
      </c>
      <c r="Q454" s="34"/>
      <c r="R454" s="1" t="s">
        <v>31</v>
      </c>
    </row>
    <row r="455" spans="2:18" ht="29" customHeight="1">
      <c r="B455" s="2" t="s">
        <v>2172</v>
      </c>
      <c r="C455" s="2" t="s">
        <v>1055</v>
      </c>
      <c r="D455" s="1">
        <v>4</v>
      </c>
      <c r="E455" s="2" t="s">
        <v>2173</v>
      </c>
      <c r="F455" s="2" t="s">
        <v>1277</v>
      </c>
      <c r="G455" s="45" t="s">
        <v>702</v>
      </c>
      <c r="H455" s="1">
        <v>2</v>
      </c>
      <c r="I455" s="43" t="s">
        <v>702</v>
      </c>
      <c r="J455" s="43" t="s">
        <v>702</v>
      </c>
      <c r="K455" s="30">
        <v>70000</v>
      </c>
      <c r="L455" s="43" t="s">
        <v>702</v>
      </c>
      <c r="M455" s="3">
        <v>46177.400694444397</v>
      </c>
      <c r="N455" s="2" t="s">
        <v>869</v>
      </c>
      <c r="O455" s="3">
        <v>46197.400694444397</v>
      </c>
      <c r="P455" s="2" t="s">
        <v>869</v>
      </c>
      <c r="Q455" s="34"/>
      <c r="R455" s="1" t="s">
        <v>31</v>
      </c>
    </row>
    <row r="456" spans="2:18">
      <c r="B456" s="2" t="s">
        <v>2174</v>
      </c>
      <c r="C456" s="2" t="s">
        <v>1057</v>
      </c>
      <c r="D456" s="1">
        <v>1</v>
      </c>
      <c r="E456" s="2" t="s">
        <v>2175</v>
      </c>
      <c r="F456" s="2" t="s">
        <v>1280</v>
      </c>
      <c r="G456" s="45" t="s">
        <v>702</v>
      </c>
      <c r="H456" s="45">
        <v>3</v>
      </c>
      <c r="I456" s="43" t="s">
        <v>702</v>
      </c>
      <c r="J456" s="43" t="s">
        <v>702</v>
      </c>
      <c r="K456" s="30">
        <v>127500</v>
      </c>
      <c r="L456" s="43" t="s">
        <v>702</v>
      </c>
      <c r="M456" s="3">
        <v>46177.537499999999</v>
      </c>
      <c r="N456" s="2" t="s">
        <v>873</v>
      </c>
      <c r="O456" s="3">
        <v>46197.537499999999</v>
      </c>
      <c r="P456" s="2" t="s">
        <v>873</v>
      </c>
      <c r="Q456" s="34"/>
      <c r="R456" s="1" t="s">
        <v>31</v>
      </c>
    </row>
    <row r="457" spans="2:18">
      <c r="B457" s="2" t="s">
        <v>2176</v>
      </c>
      <c r="C457" s="2" t="s">
        <v>1057</v>
      </c>
      <c r="D457" s="1">
        <v>2</v>
      </c>
      <c r="E457" s="2" t="s">
        <v>2177</v>
      </c>
      <c r="F457" s="2" t="s">
        <v>1283</v>
      </c>
      <c r="G457" s="45">
        <v>9</v>
      </c>
      <c r="H457" s="45" t="s">
        <v>702</v>
      </c>
      <c r="I457" s="43" t="s">
        <v>702</v>
      </c>
      <c r="J457" s="43" t="s">
        <v>702</v>
      </c>
      <c r="K457" s="30">
        <v>157500</v>
      </c>
      <c r="L457" s="43" t="s">
        <v>702</v>
      </c>
      <c r="M457" s="3">
        <v>46177.537499999999</v>
      </c>
      <c r="N457" s="2" t="s">
        <v>873</v>
      </c>
      <c r="O457" s="3">
        <v>46197.537499999999</v>
      </c>
      <c r="P457" s="2" t="s">
        <v>873</v>
      </c>
      <c r="Q457" s="34"/>
      <c r="R457" s="1" t="s">
        <v>31</v>
      </c>
    </row>
    <row r="458" spans="2:18" ht="29" customHeight="1">
      <c r="B458" s="2" t="s">
        <v>2178</v>
      </c>
      <c r="C458" s="2" t="s">
        <v>1057</v>
      </c>
      <c r="D458" s="1">
        <v>3</v>
      </c>
      <c r="E458" s="2" t="s">
        <v>2179</v>
      </c>
      <c r="F458" s="2" t="s">
        <v>1286</v>
      </c>
      <c r="G458" s="45" t="s">
        <v>702</v>
      </c>
      <c r="H458" s="45">
        <v>2</v>
      </c>
      <c r="I458" s="43" t="s">
        <v>702</v>
      </c>
      <c r="J458" s="43" t="s">
        <v>702</v>
      </c>
      <c r="K458" s="30">
        <v>60000</v>
      </c>
      <c r="L458" s="43" t="s">
        <v>702</v>
      </c>
      <c r="M458" s="3">
        <v>46177.537499999999</v>
      </c>
      <c r="N458" s="2" t="s">
        <v>873</v>
      </c>
      <c r="O458" s="3">
        <v>46197.537499999999</v>
      </c>
      <c r="P458" s="2" t="s">
        <v>873</v>
      </c>
      <c r="Q458" s="34"/>
      <c r="R458" s="1" t="s">
        <v>31</v>
      </c>
    </row>
    <row r="459" spans="2:18">
      <c r="B459" s="2" t="s">
        <v>2180</v>
      </c>
      <c r="C459" s="2" t="s">
        <v>1057</v>
      </c>
      <c r="D459" s="1">
        <v>4</v>
      </c>
      <c r="E459" s="2" t="s">
        <v>2181</v>
      </c>
      <c r="F459" s="2" t="s">
        <v>1289</v>
      </c>
      <c r="G459" s="45">
        <v>1</v>
      </c>
      <c r="H459" s="45" t="s">
        <v>702</v>
      </c>
      <c r="I459" s="43" t="s">
        <v>702</v>
      </c>
      <c r="J459" s="43" t="s">
        <v>702</v>
      </c>
      <c r="K459" s="30">
        <v>12500</v>
      </c>
      <c r="L459" s="43" t="s">
        <v>702</v>
      </c>
      <c r="M459" s="3">
        <v>46177.537499999999</v>
      </c>
      <c r="N459" s="2" t="s">
        <v>873</v>
      </c>
      <c r="O459" s="3">
        <v>46197.537499999999</v>
      </c>
      <c r="P459" s="2" t="s">
        <v>873</v>
      </c>
      <c r="Q459" s="34"/>
      <c r="R459" s="1" t="s">
        <v>31</v>
      </c>
    </row>
    <row r="460" spans="2:18">
      <c r="B460" s="2" t="s">
        <v>2182</v>
      </c>
      <c r="C460" s="2" t="s">
        <v>1059</v>
      </c>
      <c r="D460" s="1">
        <v>1</v>
      </c>
      <c r="E460" s="2" t="s">
        <v>2183</v>
      </c>
      <c r="F460" s="2" t="s">
        <v>1292</v>
      </c>
      <c r="G460" s="1">
        <v>8</v>
      </c>
      <c r="H460" s="45" t="s">
        <v>702</v>
      </c>
      <c r="I460" s="43" t="s">
        <v>702</v>
      </c>
      <c r="J460" s="43" t="s">
        <v>702</v>
      </c>
      <c r="K460" s="30">
        <v>120000</v>
      </c>
      <c r="L460" s="43" t="s">
        <v>702</v>
      </c>
      <c r="M460" s="3">
        <v>46178.632638888899</v>
      </c>
      <c r="N460" s="2" t="s">
        <v>877</v>
      </c>
      <c r="O460" s="3">
        <v>46198.632638888899</v>
      </c>
      <c r="P460" s="2" t="s">
        <v>877</v>
      </c>
      <c r="Q460" s="34"/>
      <c r="R460" s="1" t="s">
        <v>31</v>
      </c>
    </row>
    <row r="461" spans="2:18" ht="29" customHeight="1">
      <c r="B461" s="2" t="s">
        <v>2184</v>
      </c>
      <c r="C461" s="2" t="s">
        <v>1059</v>
      </c>
      <c r="D461" s="1">
        <v>2</v>
      </c>
      <c r="E461" s="2" t="s">
        <v>2185</v>
      </c>
      <c r="F461" s="2" t="s">
        <v>1295</v>
      </c>
      <c r="G461" s="45" t="s">
        <v>702</v>
      </c>
      <c r="H461" s="1">
        <v>2</v>
      </c>
      <c r="I461" s="43" t="s">
        <v>702</v>
      </c>
      <c r="J461" s="43" t="s">
        <v>702</v>
      </c>
      <c r="K461" s="30">
        <v>30000</v>
      </c>
      <c r="L461" s="43" t="s">
        <v>702</v>
      </c>
      <c r="M461" s="3">
        <v>46178.632638888899</v>
      </c>
      <c r="N461" s="2" t="s">
        <v>877</v>
      </c>
      <c r="O461" s="3">
        <v>46198.632638888899</v>
      </c>
      <c r="P461" s="2" t="s">
        <v>877</v>
      </c>
      <c r="Q461" s="34"/>
      <c r="R461" s="1" t="s">
        <v>31</v>
      </c>
    </row>
    <row r="462" spans="2:18">
      <c r="B462" s="2" t="s">
        <v>2186</v>
      </c>
      <c r="C462" s="2" t="s">
        <v>1059</v>
      </c>
      <c r="D462" s="1">
        <v>3</v>
      </c>
      <c r="E462" s="2" t="s">
        <v>2187</v>
      </c>
      <c r="F462" s="2" t="s">
        <v>1298</v>
      </c>
      <c r="G462" s="1">
        <v>12</v>
      </c>
      <c r="H462" s="45" t="s">
        <v>702</v>
      </c>
      <c r="I462" s="43" t="s">
        <v>702</v>
      </c>
      <c r="J462" s="43" t="s">
        <v>702</v>
      </c>
      <c r="K462" s="30">
        <v>60000</v>
      </c>
      <c r="L462" s="43" t="s">
        <v>702</v>
      </c>
      <c r="M462" s="3">
        <v>46178.632638888899</v>
      </c>
      <c r="N462" s="2" t="s">
        <v>877</v>
      </c>
      <c r="O462" s="3">
        <v>46198.632638888899</v>
      </c>
      <c r="P462" s="2" t="s">
        <v>877</v>
      </c>
      <c r="Q462" s="34"/>
      <c r="R462" s="1" t="s">
        <v>31</v>
      </c>
    </row>
    <row r="463" spans="2:18">
      <c r="B463" s="2" t="s">
        <v>2188</v>
      </c>
      <c r="C463" s="2" t="s">
        <v>1059</v>
      </c>
      <c r="D463" s="1">
        <v>4</v>
      </c>
      <c r="E463" s="2" t="s">
        <v>2189</v>
      </c>
      <c r="F463" s="2" t="s">
        <v>1301</v>
      </c>
      <c r="G463" s="45" t="s">
        <v>702</v>
      </c>
      <c r="H463" s="45">
        <v>1</v>
      </c>
      <c r="I463" s="43" t="s">
        <v>702</v>
      </c>
      <c r="J463" s="43" t="s">
        <v>702</v>
      </c>
      <c r="K463" s="30">
        <v>25000</v>
      </c>
      <c r="L463" s="43" t="s">
        <v>702</v>
      </c>
      <c r="M463" s="3">
        <v>46178.632638888899</v>
      </c>
      <c r="N463" s="2" t="s">
        <v>877</v>
      </c>
      <c r="O463" s="3">
        <v>46198.632638888899</v>
      </c>
      <c r="P463" s="2" t="s">
        <v>877</v>
      </c>
      <c r="Q463" s="34"/>
      <c r="R463" s="1" t="s">
        <v>31</v>
      </c>
    </row>
    <row r="464" spans="2:18" ht="29" customHeight="1">
      <c r="B464" s="2" t="s">
        <v>2190</v>
      </c>
      <c r="C464" s="2" t="s">
        <v>1061</v>
      </c>
      <c r="D464" s="1">
        <v>1</v>
      </c>
      <c r="E464" s="2" t="s">
        <v>2191</v>
      </c>
      <c r="F464" s="2" t="s">
        <v>1304</v>
      </c>
      <c r="G464" s="45" t="s">
        <v>702</v>
      </c>
      <c r="H464" s="1">
        <v>2</v>
      </c>
      <c r="I464" s="43" t="s">
        <v>702</v>
      </c>
      <c r="J464" s="43" t="s">
        <v>702</v>
      </c>
      <c r="K464" s="30">
        <v>40000</v>
      </c>
      <c r="L464" s="43" t="s">
        <v>702</v>
      </c>
      <c r="M464" s="3">
        <v>46178.394444444399</v>
      </c>
      <c r="N464" s="2" t="s">
        <v>881</v>
      </c>
      <c r="O464" s="3">
        <v>46198.394444444399</v>
      </c>
      <c r="P464" s="2" t="s">
        <v>881</v>
      </c>
      <c r="Q464" s="34"/>
      <c r="R464" s="1" t="s">
        <v>31</v>
      </c>
    </row>
    <row r="465" spans="2:18">
      <c r="B465" s="2" t="s">
        <v>2192</v>
      </c>
      <c r="C465" s="2" t="s">
        <v>1061</v>
      </c>
      <c r="D465" s="1">
        <v>2</v>
      </c>
      <c r="E465" s="2" t="s">
        <v>2193</v>
      </c>
      <c r="F465" s="2" t="s">
        <v>1307</v>
      </c>
      <c r="G465" s="45">
        <v>11</v>
      </c>
      <c r="H465" s="45" t="s">
        <v>702</v>
      </c>
      <c r="I465" s="43" t="s">
        <v>702</v>
      </c>
      <c r="J465" s="43" t="s">
        <v>702</v>
      </c>
      <c r="K465" s="30">
        <v>88000</v>
      </c>
      <c r="L465" s="43" t="s">
        <v>702</v>
      </c>
      <c r="M465" s="3">
        <v>46178.394444444399</v>
      </c>
      <c r="N465" s="2" t="s">
        <v>881</v>
      </c>
      <c r="O465" s="3">
        <v>46198.394444444399</v>
      </c>
      <c r="P465" s="2" t="s">
        <v>881</v>
      </c>
      <c r="Q465" s="34"/>
      <c r="R465" s="1" t="s">
        <v>31</v>
      </c>
    </row>
    <row r="466" spans="2:18">
      <c r="B466" s="2" t="s">
        <v>2194</v>
      </c>
      <c r="C466" s="2" t="s">
        <v>1061</v>
      </c>
      <c r="D466" s="1">
        <v>3</v>
      </c>
      <c r="E466" s="2" t="s">
        <v>2195</v>
      </c>
      <c r="F466" s="2" t="s">
        <v>1310</v>
      </c>
      <c r="G466" s="45" t="s">
        <v>702</v>
      </c>
      <c r="H466" s="45">
        <v>1</v>
      </c>
      <c r="I466" s="43" t="s">
        <v>702</v>
      </c>
      <c r="J466" s="43" t="s">
        <v>702</v>
      </c>
      <c r="K466" s="30">
        <v>40000</v>
      </c>
      <c r="L466" s="43" t="s">
        <v>702</v>
      </c>
      <c r="M466" s="3">
        <v>46178.394444444399</v>
      </c>
      <c r="N466" s="2" t="s">
        <v>881</v>
      </c>
      <c r="O466" s="3">
        <v>46198.394444444399</v>
      </c>
      <c r="P466" s="2" t="s">
        <v>881</v>
      </c>
      <c r="Q466" s="34"/>
      <c r="R466" s="1" t="s">
        <v>31</v>
      </c>
    </row>
    <row r="467" spans="2:18">
      <c r="B467" s="2" t="s">
        <v>2196</v>
      </c>
      <c r="C467" s="2" t="s">
        <v>1061</v>
      </c>
      <c r="D467" s="1">
        <v>4</v>
      </c>
      <c r="E467" s="2" t="s">
        <v>2197</v>
      </c>
      <c r="F467" s="2" t="s">
        <v>1313</v>
      </c>
      <c r="G467" s="45">
        <v>3</v>
      </c>
      <c r="H467" s="45" t="s">
        <v>702</v>
      </c>
      <c r="I467" s="43" t="s">
        <v>702</v>
      </c>
      <c r="J467" s="43" t="s">
        <v>702</v>
      </c>
      <c r="K467" s="30">
        <v>37500</v>
      </c>
      <c r="L467" s="43" t="s">
        <v>702</v>
      </c>
      <c r="M467" s="3">
        <v>46178.394444444399</v>
      </c>
      <c r="N467" s="2" t="s">
        <v>881</v>
      </c>
      <c r="O467" s="3">
        <v>46198.394444444399</v>
      </c>
      <c r="P467" s="2" t="s">
        <v>881</v>
      </c>
      <c r="Q467" s="34"/>
      <c r="R467" s="1" t="s">
        <v>31</v>
      </c>
    </row>
    <row r="468" spans="2:18">
      <c r="B468" s="2" t="s">
        <v>2198</v>
      </c>
      <c r="C468" s="2" t="s">
        <v>1063</v>
      </c>
      <c r="D468" s="1">
        <v>1</v>
      </c>
      <c r="E468" s="2" t="s">
        <v>2199</v>
      </c>
      <c r="F468" s="2" t="s">
        <v>1316</v>
      </c>
      <c r="G468" s="1">
        <v>10</v>
      </c>
      <c r="H468" s="45" t="s">
        <v>702</v>
      </c>
      <c r="I468" s="43" t="s">
        <v>702</v>
      </c>
      <c r="J468" s="43" t="s">
        <v>702</v>
      </c>
      <c r="K468" s="30">
        <v>150000</v>
      </c>
      <c r="L468" s="43" t="s">
        <v>702</v>
      </c>
      <c r="M468" s="3">
        <v>46179.53125</v>
      </c>
      <c r="N468" s="2" t="s">
        <v>885</v>
      </c>
      <c r="O468" s="3">
        <v>46199.53125</v>
      </c>
      <c r="P468" s="2" t="s">
        <v>885</v>
      </c>
      <c r="Q468" s="34"/>
      <c r="R468" s="1" t="s">
        <v>31</v>
      </c>
    </row>
    <row r="469" spans="2:18">
      <c r="B469" s="2" t="s">
        <v>2200</v>
      </c>
      <c r="C469" s="2" t="s">
        <v>1063</v>
      </c>
      <c r="D469" s="1">
        <v>2</v>
      </c>
      <c r="E469" s="2" t="s">
        <v>2201</v>
      </c>
      <c r="F469" s="2" t="s">
        <v>1319</v>
      </c>
      <c r="G469" s="45" t="s">
        <v>702</v>
      </c>
      <c r="H469" s="1">
        <v>1</v>
      </c>
      <c r="I469" s="43" t="s">
        <v>702</v>
      </c>
      <c r="J469" s="43" t="s">
        <v>702</v>
      </c>
      <c r="K469" s="30">
        <v>60000</v>
      </c>
      <c r="L469" s="43" t="s">
        <v>702</v>
      </c>
      <c r="M469" s="3">
        <v>46179.53125</v>
      </c>
      <c r="N469" s="2" t="s">
        <v>885</v>
      </c>
      <c r="O469" s="3">
        <v>46199.53125</v>
      </c>
      <c r="P469" s="2" t="s">
        <v>885</v>
      </c>
      <c r="Q469" s="34"/>
      <c r="R469" s="1" t="s">
        <v>31</v>
      </c>
    </row>
    <row r="470" spans="2:18">
      <c r="B470" s="2" t="s">
        <v>2202</v>
      </c>
      <c r="C470" s="2" t="s">
        <v>1063</v>
      </c>
      <c r="D470" s="1">
        <v>3</v>
      </c>
      <c r="E470" s="2" t="s">
        <v>2203</v>
      </c>
      <c r="F470" s="2" t="s">
        <v>1259</v>
      </c>
      <c r="G470" s="1">
        <v>2</v>
      </c>
      <c r="H470" s="45" t="s">
        <v>702</v>
      </c>
      <c r="I470" s="43" t="s">
        <v>702</v>
      </c>
      <c r="J470" s="43" t="s">
        <v>702</v>
      </c>
      <c r="K470" s="30">
        <v>25000</v>
      </c>
      <c r="L470" s="43" t="s">
        <v>702</v>
      </c>
      <c r="M470" s="3">
        <v>46179.53125</v>
      </c>
      <c r="N470" s="2" t="s">
        <v>885</v>
      </c>
      <c r="O470" s="3">
        <v>46199.53125</v>
      </c>
      <c r="P470" s="2" t="s">
        <v>885</v>
      </c>
      <c r="Q470" s="34"/>
      <c r="R470" s="1" t="s">
        <v>31</v>
      </c>
    </row>
    <row r="471" spans="2:18" ht="29" customHeight="1">
      <c r="B471" s="2" t="s">
        <v>2204</v>
      </c>
      <c r="C471" s="2" t="s">
        <v>1063</v>
      </c>
      <c r="D471" s="1">
        <v>4</v>
      </c>
      <c r="E471" s="2" t="s">
        <v>2205</v>
      </c>
      <c r="F471" s="2" t="s">
        <v>1262</v>
      </c>
      <c r="G471" s="45" t="s">
        <v>702</v>
      </c>
      <c r="H471" s="1">
        <v>3</v>
      </c>
      <c r="I471" s="43" t="s">
        <v>702</v>
      </c>
      <c r="J471" s="43" t="s">
        <v>702</v>
      </c>
      <c r="K471" s="30">
        <v>127500</v>
      </c>
      <c r="L471" s="43" t="s">
        <v>702</v>
      </c>
      <c r="M471" s="3">
        <v>46179.53125</v>
      </c>
      <c r="N471" s="2" t="s">
        <v>885</v>
      </c>
      <c r="O471" s="3">
        <v>46199.53125</v>
      </c>
      <c r="P471" s="2" t="s">
        <v>885</v>
      </c>
      <c r="Q471" s="34"/>
      <c r="R471" s="1" t="s">
        <v>31</v>
      </c>
    </row>
    <row r="472" spans="2:18">
      <c r="B472" s="2" t="s">
        <v>2206</v>
      </c>
      <c r="C472" s="2" t="s">
        <v>1065</v>
      </c>
      <c r="D472" s="1">
        <v>1</v>
      </c>
      <c r="E472" s="2" t="s">
        <v>2207</v>
      </c>
      <c r="F472" s="2" t="s">
        <v>1265</v>
      </c>
      <c r="G472" s="45" t="s">
        <v>702</v>
      </c>
      <c r="H472" s="1">
        <v>1</v>
      </c>
      <c r="I472" s="43" t="s">
        <v>702</v>
      </c>
      <c r="J472" s="43" t="s">
        <v>702</v>
      </c>
      <c r="K472" s="30">
        <v>50000</v>
      </c>
      <c r="L472" s="43" t="s">
        <v>702</v>
      </c>
      <c r="M472" s="3">
        <v>46179.668055555601</v>
      </c>
      <c r="N472" s="2" t="s">
        <v>889</v>
      </c>
      <c r="O472" s="3">
        <v>46199.668055555601</v>
      </c>
      <c r="P472" s="2" t="s">
        <v>889</v>
      </c>
      <c r="Q472" s="34"/>
      <c r="R472" s="1" t="s">
        <v>31</v>
      </c>
    </row>
    <row r="473" spans="2:18">
      <c r="B473" s="2" t="s">
        <v>2208</v>
      </c>
      <c r="C473" s="2" t="s">
        <v>1065</v>
      </c>
      <c r="D473" s="1">
        <v>2</v>
      </c>
      <c r="E473" s="2" t="s">
        <v>2209</v>
      </c>
      <c r="F473" s="2" t="s">
        <v>1268</v>
      </c>
      <c r="G473" s="1">
        <v>1</v>
      </c>
      <c r="H473" s="45" t="s">
        <v>702</v>
      </c>
      <c r="I473" s="43" t="s">
        <v>702</v>
      </c>
      <c r="J473" s="43" t="s">
        <v>702</v>
      </c>
      <c r="K473" s="30">
        <v>7500</v>
      </c>
      <c r="L473" s="43" t="s">
        <v>702</v>
      </c>
      <c r="M473" s="3">
        <v>46179.668055555601</v>
      </c>
      <c r="N473" s="2" t="s">
        <v>889</v>
      </c>
      <c r="O473" s="3">
        <v>46199.668055555601</v>
      </c>
      <c r="P473" s="2" t="s">
        <v>889</v>
      </c>
      <c r="Q473" s="34"/>
      <c r="R473" s="1" t="s">
        <v>31</v>
      </c>
    </row>
    <row r="474" spans="2:18" ht="29" customHeight="1">
      <c r="B474" s="2" t="s">
        <v>2210</v>
      </c>
      <c r="C474" s="2" t="s">
        <v>1065</v>
      </c>
      <c r="D474" s="1">
        <v>3</v>
      </c>
      <c r="E474" s="2" t="s">
        <v>2211</v>
      </c>
      <c r="F474" s="2" t="s">
        <v>1271</v>
      </c>
      <c r="G474" s="45" t="s">
        <v>702</v>
      </c>
      <c r="H474" s="1">
        <v>3</v>
      </c>
      <c r="I474" s="43" t="s">
        <v>702</v>
      </c>
      <c r="J474" s="43" t="s">
        <v>702</v>
      </c>
      <c r="K474" s="30">
        <v>96000</v>
      </c>
      <c r="L474" s="43" t="s">
        <v>702</v>
      </c>
      <c r="M474" s="3">
        <v>46179.668055555601</v>
      </c>
      <c r="N474" s="2" t="s">
        <v>889</v>
      </c>
      <c r="O474" s="3">
        <v>46199.668055555601</v>
      </c>
      <c r="P474" s="2" t="s">
        <v>889</v>
      </c>
      <c r="Q474" s="34"/>
      <c r="R474" s="1" t="s">
        <v>31</v>
      </c>
    </row>
    <row r="475" spans="2:18" ht="29" customHeight="1">
      <c r="B475" s="2" t="s">
        <v>2212</v>
      </c>
      <c r="C475" s="2" t="s">
        <v>1065</v>
      </c>
      <c r="D475" s="1">
        <v>4</v>
      </c>
      <c r="E475" s="2" t="s">
        <v>2213</v>
      </c>
      <c r="F475" s="2" t="s">
        <v>1274</v>
      </c>
      <c r="G475" s="1">
        <v>5</v>
      </c>
      <c r="H475" s="45" t="s">
        <v>702</v>
      </c>
      <c r="I475" s="43" t="s">
        <v>702</v>
      </c>
      <c r="J475" s="43" t="s">
        <v>702</v>
      </c>
      <c r="K475" s="30">
        <v>62500</v>
      </c>
      <c r="L475" s="43" t="s">
        <v>702</v>
      </c>
      <c r="M475" s="3">
        <v>46179.668055555601</v>
      </c>
      <c r="N475" s="2" t="s">
        <v>889</v>
      </c>
      <c r="O475" s="3">
        <v>46199.668055555601</v>
      </c>
      <c r="P475" s="2" t="s">
        <v>889</v>
      </c>
      <c r="Q475" s="34"/>
      <c r="R475" s="1" t="s">
        <v>31</v>
      </c>
    </row>
    <row r="476" spans="2:18">
      <c r="B476" s="2" t="s">
        <v>2214</v>
      </c>
      <c r="C476" s="2" t="s">
        <v>1067</v>
      </c>
      <c r="D476" s="1">
        <v>1</v>
      </c>
      <c r="E476" s="2" t="s">
        <v>2215</v>
      </c>
      <c r="F476" s="2" t="s">
        <v>1277</v>
      </c>
      <c r="G476" s="45">
        <v>12</v>
      </c>
      <c r="H476" s="45" t="s">
        <v>702</v>
      </c>
      <c r="I476" s="43" t="s">
        <v>702</v>
      </c>
      <c r="J476" s="43" t="s">
        <v>702</v>
      </c>
      <c r="K476" s="30">
        <v>150000</v>
      </c>
      <c r="L476" s="43" t="s">
        <v>702</v>
      </c>
      <c r="M476" s="3">
        <v>46180.3881944444</v>
      </c>
      <c r="N476" s="2" t="s">
        <v>893</v>
      </c>
      <c r="O476" s="3">
        <v>46200.3881944444</v>
      </c>
      <c r="P476" s="2" t="s">
        <v>893</v>
      </c>
      <c r="Q476" s="34"/>
      <c r="R476" s="1" t="s">
        <v>31</v>
      </c>
    </row>
    <row r="477" spans="2:18" ht="29" customHeight="1">
      <c r="B477" s="2" t="s">
        <v>2216</v>
      </c>
      <c r="C477" s="2" t="s">
        <v>1067</v>
      </c>
      <c r="D477" s="1">
        <v>2</v>
      </c>
      <c r="E477" s="2" t="s">
        <v>2217</v>
      </c>
      <c r="F477" s="2" t="s">
        <v>1280</v>
      </c>
      <c r="G477" s="45" t="s">
        <v>702</v>
      </c>
      <c r="H477" s="45">
        <v>3</v>
      </c>
      <c r="I477" s="43" t="s">
        <v>702</v>
      </c>
      <c r="J477" s="43" t="s">
        <v>702</v>
      </c>
      <c r="K477" s="30">
        <v>127500</v>
      </c>
      <c r="L477" s="43" t="s">
        <v>702</v>
      </c>
      <c r="M477" s="3">
        <v>46180.3881944444</v>
      </c>
      <c r="N477" s="2" t="s">
        <v>893</v>
      </c>
      <c r="O477" s="3">
        <v>46200.3881944444</v>
      </c>
      <c r="P477" s="2" t="s">
        <v>893</v>
      </c>
      <c r="Q477" s="34"/>
      <c r="R477" s="1" t="s">
        <v>31</v>
      </c>
    </row>
    <row r="478" spans="2:18" ht="29" customHeight="1">
      <c r="B478" s="2" t="s">
        <v>2218</v>
      </c>
      <c r="C478" s="2" t="s">
        <v>1067</v>
      </c>
      <c r="D478" s="1">
        <v>3</v>
      </c>
      <c r="E478" s="2" t="s">
        <v>2219</v>
      </c>
      <c r="F478" s="2" t="s">
        <v>1283</v>
      </c>
      <c r="G478" s="45">
        <v>4</v>
      </c>
      <c r="H478" s="45" t="s">
        <v>702</v>
      </c>
      <c r="I478" s="43" t="s">
        <v>702</v>
      </c>
      <c r="J478" s="43" t="s">
        <v>702</v>
      </c>
      <c r="K478" s="30">
        <v>70000</v>
      </c>
      <c r="L478" s="43" t="s">
        <v>702</v>
      </c>
      <c r="M478" s="3">
        <v>46180.3881944444</v>
      </c>
      <c r="N478" s="2" t="s">
        <v>893</v>
      </c>
      <c r="O478" s="3">
        <v>46200.3881944444</v>
      </c>
      <c r="P478" s="2" t="s">
        <v>893</v>
      </c>
      <c r="Q478" s="34"/>
      <c r="R478" s="1" t="s">
        <v>31</v>
      </c>
    </row>
    <row r="479" spans="2:18">
      <c r="B479" s="2" t="s">
        <v>2220</v>
      </c>
      <c r="C479" s="2" t="s">
        <v>1067</v>
      </c>
      <c r="D479" s="1">
        <v>4</v>
      </c>
      <c r="E479" s="2" t="s">
        <v>2221</v>
      </c>
      <c r="F479" s="2" t="s">
        <v>1286</v>
      </c>
      <c r="G479" s="45" t="s">
        <v>702</v>
      </c>
      <c r="H479" s="45">
        <v>2</v>
      </c>
      <c r="I479" s="43" t="s">
        <v>702</v>
      </c>
      <c r="J479" s="43" t="s">
        <v>702</v>
      </c>
      <c r="K479" s="30">
        <v>60000</v>
      </c>
      <c r="L479" s="43" t="s">
        <v>702</v>
      </c>
      <c r="M479" s="3">
        <v>46180.3881944444</v>
      </c>
      <c r="N479" s="2" t="s">
        <v>893</v>
      </c>
      <c r="O479" s="3">
        <v>46200.3881944444</v>
      </c>
      <c r="P479" s="2" t="s">
        <v>893</v>
      </c>
      <c r="Q479" s="34"/>
      <c r="R479" s="1" t="s">
        <v>31</v>
      </c>
    </row>
    <row r="480" spans="2:18" ht="29" customHeight="1">
      <c r="B480" s="2" t="s">
        <v>2222</v>
      </c>
      <c r="C480" s="2" t="s">
        <v>1069</v>
      </c>
      <c r="D480" s="1">
        <v>1</v>
      </c>
      <c r="E480" s="2" t="s">
        <v>2223</v>
      </c>
      <c r="F480" s="2" t="s">
        <v>1289</v>
      </c>
      <c r="G480" s="45" t="s">
        <v>702</v>
      </c>
      <c r="H480" s="1">
        <v>3</v>
      </c>
      <c r="I480" s="43" t="s">
        <v>702</v>
      </c>
      <c r="J480" s="43" t="s">
        <v>702</v>
      </c>
      <c r="K480" s="30">
        <v>120000</v>
      </c>
      <c r="L480" s="43" t="s">
        <v>702</v>
      </c>
      <c r="M480" s="3">
        <v>46180.525000000001</v>
      </c>
      <c r="N480" s="2" t="s">
        <v>897</v>
      </c>
      <c r="O480" s="3">
        <v>46200.525000000001</v>
      </c>
      <c r="P480" s="2" t="s">
        <v>897</v>
      </c>
      <c r="Q480" s="34"/>
      <c r="R480" s="1" t="s">
        <v>31</v>
      </c>
    </row>
    <row r="481" spans="2:18" ht="29" customHeight="1">
      <c r="B481" s="2" t="s">
        <v>2224</v>
      </c>
      <c r="C481" s="2" t="s">
        <v>1069</v>
      </c>
      <c r="D481" s="1">
        <v>2</v>
      </c>
      <c r="E481" s="2" t="s">
        <v>2225</v>
      </c>
      <c r="F481" s="2" t="s">
        <v>1292</v>
      </c>
      <c r="G481" s="1">
        <v>3</v>
      </c>
      <c r="H481" s="45" t="s">
        <v>702</v>
      </c>
      <c r="I481" s="43" t="s">
        <v>702</v>
      </c>
      <c r="J481" s="43" t="s">
        <v>702</v>
      </c>
      <c r="K481" s="30">
        <v>45000</v>
      </c>
      <c r="L481" s="43" t="s">
        <v>702</v>
      </c>
      <c r="M481" s="3">
        <v>46180.525000000001</v>
      </c>
      <c r="N481" s="2" t="s">
        <v>897</v>
      </c>
      <c r="O481" s="3">
        <v>46200.525000000001</v>
      </c>
      <c r="P481" s="2" t="s">
        <v>897</v>
      </c>
      <c r="Q481" s="34"/>
      <c r="R481" s="1" t="s">
        <v>31</v>
      </c>
    </row>
    <row r="482" spans="2:18">
      <c r="B482" s="2" t="s">
        <v>2226</v>
      </c>
      <c r="C482" s="2" t="s">
        <v>1069</v>
      </c>
      <c r="D482" s="1">
        <v>3</v>
      </c>
      <c r="E482" s="2" t="s">
        <v>2227</v>
      </c>
      <c r="F482" s="2" t="s">
        <v>1295</v>
      </c>
      <c r="G482" s="45" t="s">
        <v>702</v>
      </c>
      <c r="H482" s="1">
        <v>2</v>
      </c>
      <c r="I482" s="43" t="s">
        <v>702</v>
      </c>
      <c r="J482" s="43" t="s">
        <v>702</v>
      </c>
      <c r="K482" s="30">
        <v>30000</v>
      </c>
      <c r="L482" s="43" t="s">
        <v>702</v>
      </c>
      <c r="M482" s="3">
        <v>46180.525000000001</v>
      </c>
      <c r="N482" s="2" t="s">
        <v>897</v>
      </c>
      <c r="O482" s="3">
        <v>46200.525000000001</v>
      </c>
      <c r="P482" s="2" t="s">
        <v>897</v>
      </c>
      <c r="Q482" s="34"/>
      <c r="R482" s="1" t="s">
        <v>31</v>
      </c>
    </row>
    <row r="483" spans="2:18">
      <c r="B483" s="2" t="s">
        <v>2228</v>
      </c>
      <c r="C483" s="2" t="s">
        <v>1069</v>
      </c>
      <c r="D483" s="1">
        <v>4</v>
      </c>
      <c r="E483" s="2" t="s">
        <v>2229</v>
      </c>
      <c r="F483" s="2" t="s">
        <v>1298</v>
      </c>
      <c r="G483" s="45">
        <v>7</v>
      </c>
      <c r="H483" s="45" t="s">
        <v>702</v>
      </c>
      <c r="I483" s="43" t="s">
        <v>702</v>
      </c>
      <c r="J483" s="43" t="s">
        <v>702</v>
      </c>
      <c r="K483" s="30">
        <v>35000</v>
      </c>
      <c r="L483" s="43" t="s">
        <v>702</v>
      </c>
      <c r="M483" s="3">
        <v>46180.525000000001</v>
      </c>
      <c r="N483" s="2" t="s">
        <v>897</v>
      </c>
      <c r="O483" s="3">
        <v>46200.525000000001</v>
      </c>
      <c r="P483" s="2" t="s">
        <v>897</v>
      </c>
      <c r="Q483" s="34"/>
      <c r="R483" s="1" t="s">
        <v>31</v>
      </c>
    </row>
    <row r="484" spans="2:18" ht="29" customHeight="1">
      <c r="B484" s="2" t="s">
        <v>2230</v>
      </c>
      <c r="C484" s="2" t="s">
        <v>1071</v>
      </c>
      <c r="D484" s="1">
        <v>1</v>
      </c>
      <c r="E484" s="2" t="s">
        <v>2231</v>
      </c>
      <c r="F484" s="2" t="s">
        <v>1301</v>
      </c>
      <c r="G484" s="1">
        <v>2</v>
      </c>
      <c r="H484" s="45" t="s">
        <v>702</v>
      </c>
      <c r="I484" s="43" t="s">
        <v>702</v>
      </c>
      <c r="J484" s="43" t="s">
        <v>702</v>
      </c>
      <c r="K484" s="30">
        <v>14000</v>
      </c>
      <c r="L484" s="43" t="s">
        <v>702</v>
      </c>
      <c r="M484" s="3">
        <v>46180.661805555603</v>
      </c>
      <c r="N484" s="2" t="s">
        <v>901</v>
      </c>
      <c r="O484" s="3">
        <v>46200.661805555603</v>
      </c>
      <c r="P484" s="2" t="s">
        <v>901</v>
      </c>
      <c r="Q484" s="34"/>
      <c r="R484" s="1" t="s">
        <v>31</v>
      </c>
    </row>
    <row r="485" spans="2:18">
      <c r="B485" s="2" t="s">
        <v>2232</v>
      </c>
      <c r="C485" s="2" t="s">
        <v>1071</v>
      </c>
      <c r="D485" s="1">
        <v>2</v>
      </c>
      <c r="E485" s="2" t="s">
        <v>2233</v>
      </c>
      <c r="F485" s="2" t="s">
        <v>1304</v>
      </c>
      <c r="G485" s="45" t="s">
        <v>702</v>
      </c>
      <c r="H485" s="1">
        <v>2</v>
      </c>
      <c r="I485" s="43" t="s">
        <v>702</v>
      </c>
      <c r="J485" s="43" t="s">
        <v>702</v>
      </c>
      <c r="K485" s="30">
        <v>40000</v>
      </c>
      <c r="L485" s="43" t="s">
        <v>702</v>
      </c>
      <c r="M485" s="3">
        <v>46180.661805555603</v>
      </c>
      <c r="N485" s="2" t="s">
        <v>901</v>
      </c>
      <c r="O485" s="3">
        <v>46200.661805555603</v>
      </c>
      <c r="P485" s="2" t="s">
        <v>901</v>
      </c>
      <c r="Q485" s="34"/>
      <c r="R485" s="1" t="s">
        <v>31</v>
      </c>
    </row>
    <row r="486" spans="2:18">
      <c r="B486" s="2" t="s">
        <v>2234</v>
      </c>
      <c r="C486" s="2" t="s">
        <v>1071</v>
      </c>
      <c r="D486" s="1">
        <v>3</v>
      </c>
      <c r="E486" s="2" t="s">
        <v>2235</v>
      </c>
      <c r="F486" s="2" t="s">
        <v>1307</v>
      </c>
      <c r="G486" s="1">
        <v>6</v>
      </c>
      <c r="H486" s="45" t="s">
        <v>702</v>
      </c>
      <c r="I486" s="43" t="s">
        <v>702</v>
      </c>
      <c r="J486" s="43" t="s">
        <v>702</v>
      </c>
      <c r="K486" s="30">
        <v>48000</v>
      </c>
      <c r="L486" s="43" t="s">
        <v>702</v>
      </c>
      <c r="M486" s="3">
        <v>46180.661805555603</v>
      </c>
      <c r="N486" s="2" t="s">
        <v>901</v>
      </c>
      <c r="O486" s="3">
        <v>46200.661805555603</v>
      </c>
      <c r="P486" s="2" t="s">
        <v>901</v>
      </c>
      <c r="Q486" s="34"/>
      <c r="R486" s="1" t="s">
        <v>31</v>
      </c>
    </row>
    <row r="487" spans="2:18">
      <c r="B487" s="2" t="s">
        <v>2236</v>
      </c>
      <c r="C487" s="2" t="s">
        <v>1071</v>
      </c>
      <c r="D487" s="1">
        <v>4</v>
      </c>
      <c r="E487" s="2" t="s">
        <v>2237</v>
      </c>
      <c r="F487" s="2" t="s">
        <v>1310</v>
      </c>
      <c r="G487" s="45" t="s">
        <v>702</v>
      </c>
      <c r="H487" s="1">
        <v>1</v>
      </c>
      <c r="I487" s="43" t="s">
        <v>702</v>
      </c>
      <c r="J487" s="43" t="s">
        <v>702</v>
      </c>
      <c r="K487" s="30">
        <v>40000</v>
      </c>
      <c r="L487" s="43" t="s">
        <v>702</v>
      </c>
      <c r="M487" s="3">
        <v>46180.661805555603</v>
      </c>
      <c r="N487" s="2" t="s">
        <v>901</v>
      </c>
      <c r="O487" s="3">
        <v>46200.661805555603</v>
      </c>
      <c r="P487" s="2" t="s">
        <v>901</v>
      </c>
      <c r="Q487" s="34"/>
      <c r="R487" s="1" t="s">
        <v>31</v>
      </c>
    </row>
    <row r="488" spans="2:18">
      <c r="B488" s="2" t="s">
        <v>2238</v>
      </c>
      <c r="C488" s="2" t="s">
        <v>1073</v>
      </c>
      <c r="D488" s="1">
        <v>1</v>
      </c>
      <c r="E488" s="2" t="s">
        <v>2239</v>
      </c>
      <c r="F488" s="2" t="s">
        <v>1313</v>
      </c>
      <c r="G488" s="45" t="s">
        <v>702</v>
      </c>
      <c r="H488" s="45">
        <v>2</v>
      </c>
      <c r="I488" s="43" t="s">
        <v>702</v>
      </c>
      <c r="J488" s="43" t="s">
        <v>702</v>
      </c>
      <c r="K488" s="30">
        <v>80000</v>
      </c>
      <c r="L488" s="43" t="s">
        <v>702</v>
      </c>
      <c r="M488" s="3">
        <v>46181.381944444402</v>
      </c>
      <c r="N488" s="2" t="s">
        <v>905</v>
      </c>
      <c r="O488" s="3">
        <v>46201.381944444402</v>
      </c>
      <c r="P488" s="2" t="s">
        <v>905</v>
      </c>
      <c r="Q488" s="34"/>
      <c r="R488" s="1" t="s">
        <v>31</v>
      </c>
    </row>
    <row r="489" spans="2:18">
      <c r="B489" s="2" t="s">
        <v>2240</v>
      </c>
      <c r="C489" s="2" t="s">
        <v>1073</v>
      </c>
      <c r="D489" s="1">
        <v>2</v>
      </c>
      <c r="E489" s="2" t="s">
        <v>2241</v>
      </c>
      <c r="F489" s="2" t="s">
        <v>1316</v>
      </c>
      <c r="G489" s="45">
        <v>5</v>
      </c>
      <c r="H489" s="45" t="s">
        <v>702</v>
      </c>
      <c r="I489" s="43" t="s">
        <v>702</v>
      </c>
      <c r="J489" s="43" t="s">
        <v>702</v>
      </c>
      <c r="K489" s="30">
        <v>75000</v>
      </c>
      <c r="L489" s="43" t="s">
        <v>702</v>
      </c>
      <c r="M489" s="3">
        <v>46181.381944444402</v>
      </c>
      <c r="N489" s="2" t="s">
        <v>905</v>
      </c>
      <c r="O489" s="3">
        <v>46201.381944444402</v>
      </c>
      <c r="P489" s="2" t="s">
        <v>905</v>
      </c>
      <c r="Q489" s="34"/>
      <c r="R489" s="1" t="s">
        <v>31</v>
      </c>
    </row>
    <row r="490" spans="2:18">
      <c r="B490" s="2" t="s">
        <v>2242</v>
      </c>
      <c r="C490" s="2" t="s">
        <v>1073</v>
      </c>
      <c r="D490" s="1">
        <v>3</v>
      </c>
      <c r="E490" s="2" t="s">
        <v>2243</v>
      </c>
      <c r="F490" s="2" t="s">
        <v>1319</v>
      </c>
      <c r="G490" s="45" t="s">
        <v>702</v>
      </c>
      <c r="H490" s="45">
        <v>1</v>
      </c>
      <c r="I490" s="43" t="s">
        <v>702</v>
      </c>
      <c r="J490" s="43" t="s">
        <v>702</v>
      </c>
      <c r="K490" s="30">
        <v>60000</v>
      </c>
      <c r="L490" s="43" t="s">
        <v>702</v>
      </c>
      <c r="M490" s="3">
        <v>46181.381944444402</v>
      </c>
      <c r="N490" s="2" t="s">
        <v>905</v>
      </c>
      <c r="O490" s="3">
        <v>46201.381944444402</v>
      </c>
      <c r="P490" s="2" t="s">
        <v>905</v>
      </c>
      <c r="Q490" s="34"/>
      <c r="R490" s="1" t="s">
        <v>31</v>
      </c>
    </row>
    <row r="491" spans="2:18">
      <c r="B491" s="2" t="s">
        <v>2244</v>
      </c>
      <c r="C491" s="2" t="s">
        <v>1073</v>
      </c>
      <c r="D491" s="1">
        <v>4</v>
      </c>
      <c r="E491" s="2" t="s">
        <v>2245</v>
      </c>
      <c r="F491" s="2" t="s">
        <v>1259</v>
      </c>
      <c r="G491" s="45">
        <v>9</v>
      </c>
      <c r="H491" s="45" t="s">
        <v>702</v>
      </c>
      <c r="I491" s="43" t="s">
        <v>702</v>
      </c>
      <c r="J491" s="43" t="s">
        <v>702</v>
      </c>
      <c r="K491" s="30">
        <v>112500</v>
      </c>
      <c r="L491" s="43" t="s">
        <v>702</v>
      </c>
      <c r="M491" s="3">
        <v>46181.381944444402</v>
      </c>
      <c r="N491" s="2" t="s">
        <v>905</v>
      </c>
      <c r="O491" s="3">
        <v>46201.381944444402</v>
      </c>
      <c r="P491" s="2" t="s">
        <v>905</v>
      </c>
      <c r="Q491" s="34"/>
      <c r="R491" s="1" t="s">
        <v>31</v>
      </c>
    </row>
    <row r="492" spans="2:18">
      <c r="B492" s="2" t="s">
        <v>2246</v>
      </c>
      <c r="C492" s="2" t="s">
        <v>1075</v>
      </c>
      <c r="D492" s="1">
        <v>1</v>
      </c>
      <c r="E492" s="2" t="s">
        <v>2247</v>
      </c>
      <c r="F492" s="2" t="s">
        <v>1262</v>
      </c>
      <c r="G492" s="1">
        <v>4</v>
      </c>
      <c r="H492" s="45" t="s">
        <v>702</v>
      </c>
      <c r="I492" s="43" t="s">
        <v>702</v>
      </c>
      <c r="J492" s="43" t="s">
        <v>702</v>
      </c>
      <c r="K492" s="30">
        <v>60000</v>
      </c>
      <c r="L492" s="43" t="s">
        <v>702</v>
      </c>
      <c r="M492" s="3">
        <v>46181.518750000003</v>
      </c>
      <c r="N492" s="2" t="s">
        <v>909</v>
      </c>
      <c r="O492" s="3">
        <v>46201.518750000003</v>
      </c>
      <c r="P492" s="2" t="s">
        <v>909</v>
      </c>
      <c r="Q492" s="34"/>
      <c r="R492" s="1" t="s">
        <v>31</v>
      </c>
    </row>
    <row r="493" spans="2:18">
      <c r="B493" s="2" t="s">
        <v>2248</v>
      </c>
      <c r="C493" s="2" t="s">
        <v>1075</v>
      </c>
      <c r="D493" s="1">
        <v>2</v>
      </c>
      <c r="E493" s="2" t="s">
        <v>2249</v>
      </c>
      <c r="F493" s="2" t="s">
        <v>1265</v>
      </c>
      <c r="G493" s="45" t="s">
        <v>702</v>
      </c>
      <c r="H493" s="1">
        <v>1</v>
      </c>
      <c r="I493" s="43" t="s">
        <v>702</v>
      </c>
      <c r="J493" s="43" t="s">
        <v>702</v>
      </c>
      <c r="K493" s="30">
        <v>50000</v>
      </c>
      <c r="L493" s="43" t="s">
        <v>702</v>
      </c>
      <c r="M493" s="3">
        <v>46181.518750000003</v>
      </c>
      <c r="N493" s="2" t="s">
        <v>909</v>
      </c>
      <c r="O493" s="3">
        <v>46201.518750000003</v>
      </c>
      <c r="P493" s="2" t="s">
        <v>909</v>
      </c>
      <c r="Q493" s="34"/>
      <c r="R493" s="1" t="s">
        <v>31</v>
      </c>
    </row>
    <row r="494" spans="2:18">
      <c r="B494" s="2" t="s">
        <v>2250</v>
      </c>
      <c r="C494" s="2" t="s">
        <v>1075</v>
      </c>
      <c r="D494" s="1">
        <v>3</v>
      </c>
      <c r="E494" s="2" t="s">
        <v>2251</v>
      </c>
      <c r="F494" s="2" t="s">
        <v>1268</v>
      </c>
      <c r="G494" s="1">
        <v>8</v>
      </c>
      <c r="H494" s="45" t="s">
        <v>702</v>
      </c>
      <c r="I494" s="43" t="s">
        <v>702</v>
      </c>
      <c r="J494" s="43" t="s">
        <v>702</v>
      </c>
      <c r="K494" s="30">
        <v>60000</v>
      </c>
      <c r="L494" s="43" t="s">
        <v>702</v>
      </c>
      <c r="M494" s="3">
        <v>46181.518750000003</v>
      </c>
      <c r="N494" s="2" t="s">
        <v>909</v>
      </c>
      <c r="O494" s="3">
        <v>46201.518750000003</v>
      </c>
      <c r="P494" s="2" t="s">
        <v>909</v>
      </c>
      <c r="Q494" s="34"/>
      <c r="R494" s="1" t="s">
        <v>31</v>
      </c>
    </row>
    <row r="495" spans="2:18">
      <c r="B495" s="2" t="s">
        <v>2252</v>
      </c>
      <c r="C495" s="2" t="s">
        <v>1075</v>
      </c>
      <c r="D495" s="1">
        <v>4</v>
      </c>
      <c r="E495" s="2" t="s">
        <v>2253</v>
      </c>
      <c r="F495" s="2" t="s">
        <v>1271</v>
      </c>
      <c r="G495" s="45" t="s">
        <v>702</v>
      </c>
      <c r="H495" s="1">
        <v>3</v>
      </c>
      <c r="I495" s="43" t="s">
        <v>702</v>
      </c>
      <c r="J495" s="43" t="s">
        <v>702</v>
      </c>
      <c r="K495" s="30">
        <v>96000</v>
      </c>
      <c r="L495" s="43" t="s">
        <v>702</v>
      </c>
      <c r="M495" s="3">
        <v>46181.518750000003</v>
      </c>
      <c r="N495" s="2" t="s">
        <v>909</v>
      </c>
      <c r="O495" s="3">
        <v>46201.518750000003</v>
      </c>
      <c r="P495" s="2" t="s">
        <v>909</v>
      </c>
      <c r="Q495" s="34"/>
      <c r="R495" s="1" t="s">
        <v>31</v>
      </c>
    </row>
    <row r="496" spans="2:18">
      <c r="B496" s="2" t="s">
        <v>2254</v>
      </c>
      <c r="C496" s="2" t="s">
        <v>1077</v>
      </c>
      <c r="D496" s="1">
        <v>1</v>
      </c>
      <c r="E496" s="2" t="s">
        <v>2255</v>
      </c>
      <c r="F496" s="2" t="s">
        <v>1274</v>
      </c>
      <c r="G496" s="45" t="s">
        <v>702</v>
      </c>
      <c r="H496" s="45">
        <v>1</v>
      </c>
      <c r="I496" s="43" t="s">
        <v>702</v>
      </c>
      <c r="J496" s="43" t="s">
        <v>702</v>
      </c>
      <c r="K496" s="30">
        <v>40000</v>
      </c>
      <c r="L496" s="43" t="s">
        <v>702</v>
      </c>
      <c r="M496" s="3">
        <v>46182.655555555597</v>
      </c>
      <c r="N496" s="2" t="s">
        <v>913</v>
      </c>
      <c r="O496" s="3">
        <v>46202.655555555597</v>
      </c>
      <c r="P496" s="2" t="s">
        <v>913</v>
      </c>
      <c r="Q496" s="34"/>
      <c r="R496" s="1" t="s">
        <v>31</v>
      </c>
    </row>
    <row r="497" spans="2:18">
      <c r="B497" s="2" t="s">
        <v>2256</v>
      </c>
      <c r="C497" s="2" t="s">
        <v>1077</v>
      </c>
      <c r="D497" s="1">
        <v>2</v>
      </c>
      <c r="E497" s="2" t="s">
        <v>2257</v>
      </c>
      <c r="F497" s="2" t="s">
        <v>1277</v>
      </c>
      <c r="G497" s="45">
        <v>7</v>
      </c>
      <c r="H497" s="45" t="s">
        <v>702</v>
      </c>
      <c r="I497" s="43" t="s">
        <v>702</v>
      </c>
      <c r="J497" s="43" t="s">
        <v>702</v>
      </c>
      <c r="K497" s="30">
        <v>87500</v>
      </c>
      <c r="L497" s="43" t="s">
        <v>702</v>
      </c>
      <c r="M497" s="3">
        <v>46182.655555555597</v>
      </c>
      <c r="N497" s="2" t="s">
        <v>913</v>
      </c>
      <c r="O497" s="3">
        <v>46202.655555555597</v>
      </c>
      <c r="P497" s="2" t="s">
        <v>913</v>
      </c>
      <c r="Q497" s="34"/>
      <c r="R497" s="1" t="s">
        <v>31</v>
      </c>
    </row>
    <row r="498" spans="2:18">
      <c r="B498" s="2" t="s">
        <v>2258</v>
      </c>
      <c r="C498" s="2" t="s">
        <v>1077</v>
      </c>
      <c r="D498" s="1">
        <v>3</v>
      </c>
      <c r="E498" s="2" t="s">
        <v>2259</v>
      </c>
      <c r="F498" s="2" t="s">
        <v>1280</v>
      </c>
      <c r="G498" s="45" t="s">
        <v>702</v>
      </c>
      <c r="H498" s="1">
        <v>3</v>
      </c>
      <c r="I498" s="43" t="s">
        <v>702</v>
      </c>
      <c r="J498" s="43" t="s">
        <v>702</v>
      </c>
      <c r="K498" s="30">
        <v>127500</v>
      </c>
      <c r="L498" s="43" t="s">
        <v>702</v>
      </c>
      <c r="M498" s="3">
        <v>46182.655555555597</v>
      </c>
      <c r="N498" s="2" t="s">
        <v>913</v>
      </c>
      <c r="O498" s="3">
        <v>46202.655555555597</v>
      </c>
      <c r="P498" s="2" t="s">
        <v>913</v>
      </c>
      <c r="Q498" s="34"/>
      <c r="R498" s="1" t="s">
        <v>31</v>
      </c>
    </row>
    <row r="499" spans="2:18">
      <c r="B499" s="2" t="s">
        <v>2260</v>
      </c>
      <c r="C499" s="2" t="s">
        <v>1077</v>
      </c>
      <c r="D499" s="1">
        <v>4</v>
      </c>
      <c r="E499" s="2" t="s">
        <v>2261</v>
      </c>
      <c r="F499" s="2" t="s">
        <v>1283</v>
      </c>
      <c r="G499" s="1">
        <v>11</v>
      </c>
      <c r="H499" s="45" t="s">
        <v>702</v>
      </c>
      <c r="I499" s="43" t="s">
        <v>702</v>
      </c>
      <c r="J499" s="43" t="s">
        <v>702</v>
      </c>
      <c r="K499" s="30">
        <v>192500</v>
      </c>
      <c r="L499" s="43" t="s">
        <v>702</v>
      </c>
      <c r="M499" s="3">
        <v>46182.655555555597</v>
      </c>
      <c r="N499" s="2" t="s">
        <v>913</v>
      </c>
      <c r="O499" s="3">
        <v>46202.655555555597</v>
      </c>
      <c r="P499" s="2" t="s">
        <v>913</v>
      </c>
      <c r="Q499" s="34"/>
      <c r="R499" s="1" t="s">
        <v>31</v>
      </c>
    </row>
    <row r="500" spans="2:18">
      <c r="B500" s="2" t="s">
        <v>2262</v>
      </c>
      <c r="C500" s="2" t="s">
        <v>1079</v>
      </c>
      <c r="D500" s="1">
        <v>1</v>
      </c>
      <c r="E500" s="2" t="s">
        <v>2263</v>
      </c>
      <c r="F500" s="2" t="s">
        <v>1286</v>
      </c>
      <c r="G500" s="1">
        <v>6</v>
      </c>
      <c r="H500" s="45" t="s">
        <v>702</v>
      </c>
      <c r="I500" s="43" t="s">
        <v>702</v>
      </c>
      <c r="J500" s="43" t="s">
        <v>702</v>
      </c>
      <c r="K500" s="30">
        <v>60000</v>
      </c>
      <c r="L500" s="43" t="s">
        <v>702</v>
      </c>
      <c r="M500" s="3">
        <v>46182.417361111096</v>
      </c>
      <c r="N500" s="2" t="s">
        <v>917</v>
      </c>
      <c r="O500" s="3">
        <v>46202.417361111096</v>
      </c>
      <c r="P500" s="2" t="s">
        <v>917</v>
      </c>
      <c r="Q500" s="34"/>
      <c r="R500" s="1" t="s">
        <v>31</v>
      </c>
    </row>
    <row r="501" spans="2:18">
      <c r="B501" s="2" t="s">
        <v>2264</v>
      </c>
      <c r="C501" s="2" t="s">
        <v>1079</v>
      </c>
      <c r="D501" s="1">
        <v>2</v>
      </c>
      <c r="E501" s="2" t="s">
        <v>2265</v>
      </c>
      <c r="F501" s="2" t="s">
        <v>1289</v>
      </c>
      <c r="G501" s="45" t="s">
        <v>702</v>
      </c>
      <c r="H501" s="1">
        <v>3</v>
      </c>
      <c r="I501" s="43" t="s">
        <v>702</v>
      </c>
      <c r="J501" s="43" t="s">
        <v>702</v>
      </c>
      <c r="K501" s="30">
        <v>120000</v>
      </c>
      <c r="L501" s="43" t="s">
        <v>702</v>
      </c>
      <c r="M501" s="3">
        <v>46182.417361111096</v>
      </c>
      <c r="N501" s="2" t="s">
        <v>917</v>
      </c>
      <c r="O501" s="3">
        <v>46202.417361111096</v>
      </c>
      <c r="P501" s="2" t="s">
        <v>917</v>
      </c>
      <c r="Q501" s="34"/>
      <c r="R501" s="1" t="s">
        <v>31</v>
      </c>
    </row>
    <row r="502" spans="2:18">
      <c r="B502" s="2" t="s">
        <v>2266</v>
      </c>
      <c r="C502" s="2" t="s">
        <v>1079</v>
      </c>
      <c r="D502" s="1">
        <v>3</v>
      </c>
      <c r="E502" s="2" t="s">
        <v>2267</v>
      </c>
      <c r="F502" s="2" t="s">
        <v>1292</v>
      </c>
      <c r="G502" s="1">
        <v>10</v>
      </c>
      <c r="H502" s="45" t="s">
        <v>702</v>
      </c>
      <c r="I502" s="43" t="s">
        <v>702</v>
      </c>
      <c r="J502" s="43" t="s">
        <v>702</v>
      </c>
      <c r="K502" s="30">
        <v>150000</v>
      </c>
      <c r="L502" s="43" t="s">
        <v>702</v>
      </c>
      <c r="M502" s="3">
        <v>46182.417361111096</v>
      </c>
      <c r="N502" s="2" t="s">
        <v>917</v>
      </c>
      <c r="O502" s="3">
        <v>46202.417361111096</v>
      </c>
      <c r="P502" s="2" t="s">
        <v>917</v>
      </c>
      <c r="Q502" s="34"/>
      <c r="R502" s="1" t="s">
        <v>31</v>
      </c>
    </row>
    <row r="503" spans="2:18" ht="29" customHeight="1">
      <c r="B503" s="2" t="s">
        <v>2268</v>
      </c>
      <c r="C503" s="2" t="s">
        <v>1079</v>
      </c>
      <c r="D503" s="1">
        <v>4</v>
      </c>
      <c r="E503" s="2" t="s">
        <v>2269</v>
      </c>
      <c r="F503" s="2" t="s">
        <v>1295</v>
      </c>
      <c r="G503" s="45" t="s">
        <v>702</v>
      </c>
      <c r="H503" s="1">
        <v>2</v>
      </c>
      <c r="I503" s="43" t="s">
        <v>702</v>
      </c>
      <c r="J503" s="43" t="s">
        <v>702</v>
      </c>
      <c r="K503" s="30">
        <v>30000</v>
      </c>
      <c r="L503" s="43" t="s">
        <v>702</v>
      </c>
      <c r="M503" s="3">
        <v>46182.417361111096</v>
      </c>
      <c r="N503" s="2" t="s">
        <v>917</v>
      </c>
      <c r="O503" s="3">
        <v>46202.417361111096</v>
      </c>
      <c r="P503" s="2" t="s">
        <v>917</v>
      </c>
      <c r="Q503" s="34"/>
      <c r="R503" s="1" t="s">
        <v>31</v>
      </c>
    </row>
    <row r="504" spans="2:18">
      <c r="B504" s="2" t="s">
        <v>2270</v>
      </c>
      <c r="C504" s="2" t="s">
        <v>1081</v>
      </c>
      <c r="D504" s="1">
        <v>1</v>
      </c>
      <c r="E504" s="2" t="s">
        <v>2271</v>
      </c>
      <c r="F504" s="2" t="s">
        <v>1298</v>
      </c>
      <c r="G504" s="45" t="s">
        <v>702</v>
      </c>
      <c r="H504" s="45">
        <v>3</v>
      </c>
      <c r="I504" s="43" t="s">
        <v>702</v>
      </c>
      <c r="J504" s="43" t="s">
        <v>702</v>
      </c>
      <c r="K504" s="30">
        <v>60000</v>
      </c>
      <c r="L504" s="43" t="s">
        <v>702</v>
      </c>
      <c r="M504" s="3">
        <v>46183.512499999997</v>
      </c>
      <c r="N504" s="2" t="s">
        <v>703</v>
      </c>
      <c r="O504" s="3">
        <v>46203.512499999997</v>
      </c>
      <c r="P504" s="2" t="s">
        <v>703</v>
      </c>
      <c r="Q504" s="34"/>
      <c r="R504" s="1" t="s">
        <v>31</v>
      </c>
    </row>
    <row r="505" spans="2:18">
      <c r="B505" s="2" t="s">
        <v>2272</v>
      </c>
      <c r="C505" s="2" t="s">
        <v>1081</v>
      </c>
      <c r="D505" s="1">
        <v>2</v>
      </c>
      <c r="E505" s="2" t="s">
        <v>2273</v>
      </c>
      <c r="F505" s="2" t="s">
        <v>1301</v>
      </c>
      <c r="G505" s="45">
        <v>9</v>
      </c>
      <c r="H505" s="45" t="s">
        <v>702</v>
      </c>
      <c r="I505" s="43" t="s">
        <v>702</v>
      </c>
      <c r="J505" s="43" t="s">
        <v>702</v>
      </c>
      <c r="K505" s="30">
        <v>63000</v>
      </c>
      <c r="L505" s="43" t="s">
        <v>702</v>
      </c>
      <c r="M505" s="3">
        <v>46183.512499999997</v>
      </c>
      <c r="N505" s="2" t="s">
        <v>703</v>
      </c>
      <c r="O505" s="3">
        <v>46203.512499999997</v>
      </c>
      <c r="P505" s="2" t="s">
        <v>703</v>
      </c>
      <c r="Q505" s="34"/>
      <c r="R505" s="1" t="s">
        <v>31</v>
      </c>
    </row>
    <row r="506" spans="2:18" ht="29" customHeight="1">
      <c r="B506" s="2" t="s">
        <v>2274</v>
      </c>
      <c r="C506" s="2" t="s">
        <v>1081</v>
      </c>
      <c r="D506" s="1">
        <v>3</v>
      </c>
      <c r="E506" s="2" t="s">
        <v>2275</v>
      </c>
      <c r="F506" s="2" t="s">
        <v>1304</v>
      </c>
      <c r="G506" s="45" t="s">
        <v>702</v>
      </c>
      <c r="H506" s="45">
        <v>2</v>
      </c>
      <c r="I506" s="43" t="s">
        <v>702</v>
      </c>
      <c r="J506" s="43" t="s">
        <v>702</v>
      </c>
      <c r="K506" s="30">
        <v>40000</v>
      </c>
      <c r="L506" s="43" t="s">
        <v>702</v>
      </c>
      <c r="M506" s="3">
        <v>46183.512499999997</v>
      </c>
      <c r="N506" s="2" t="s">
        <v>703</v>
      </c>
      <c r="O506" s="3">
        <v>46203.512499999997</v>
      </c>
      <c r="P506" s="2" t="s">
        <v>703</v>
      </c>
      <c r="Q506" s="34"/>
      <c r="R506" s="1" t="s">
        <v>31</v>
      </c>
    </row>
    <row r="507" spans="2:18">
      <c r="B507" s="2" t="s">
        <v>2276</v>
      </c>
      <c r="C507" s="2" t="s">
        <v>1081</v>
      </c>
      <c r="D507" s="1">
        <v>4</v>
      </c>
      <c r="E507" s="2" t="s">
        <v>2277</v>
      </c>
      <c r="F507" s="2" t="s">
        <v>1307</v>
      </c>
      <c r="G507" s="1">
        <v>1</v>
      </c>
      <c r="H507" s="45" t="s">
        <v>702</v>
      </c>
      <c r="I507" s="43" t="s">
        <v>702</v>
      </c>
      <c r="J507" s="43" t="s">
        <v>702</v>
      </c>
      <c r="K507" s="30">
        <v>8000</v>
      </c>
      <c r="L507" s="43" t="s">
        <v>702</v>
      </c>
      <c r="M507" s="3">
        <v>46183.512499999997</v>
      </c>
      <c r="N507" s="2" t="s">
        <v>703</v>
      </c>
      <c r="O507" s="3">
        <v>46203.512499999997</v>
      </c>
      <c r="P507" s="2" t="s">
        <v>703</v>
      </c>
      <c r="Q507" s="34"/>
      <c r="R507" s="1" t="s">
        <v>31</v>
      </c>
    </row>
    <row r="508" spans="2:18">
      <c r="B508" s="2" t="s">
        <v>2278</v>
      </c>
      <c r="C508" s="2" t="s">
        <v>1083</v>
      </c>
      <c r="D508" s="1">
        <v>1</v>
      </c>
      <c r="E508" s="2" t="s">
        <v>2279</v>
      </c>
      <c r="F508" s="2" t="s">
        <v>1310</v>
      </c>
      <c r="G508" s="45">
        <v>8</v>
      </c>
      <c r="H508" s="45" t="s">
        <v>702</v>
      </c>
      <c r="I508" s="43" t="s">
        <v>702</v>
      </c>
      <c r="J508" s="43" t="s">
        <v>702</v>
      </c>
      <c r="K508" s="30">
        <v>96000</v>
      </c>
      <c r="L508" s="43" t="s">
        <v>702</v>
      </c>
      <c r="M508" s="3">
        <v>46183.649305555598</v>
      </c>
      <c r="N508" s="2" t="s">
        <v>707</v>
      </c>
      <c r="O508" s="3">
        <v>46203.649305555598</v>
      </c>
      <c r="P508" s="2" t="s">
        <v>707</v>
      </c>
      <c r="Q508" s="34"/>
      <c r="R508" s="1" t="s">
        <v>31</v>
      </c>
    </row>
    <row r="509" spans="2:18" ht="29" customHeight="1">
      <c r="B509" s="2" t="s">
        <v>2280</v>
      </c>
      <c r="C509" s="2" t="s">
        <v>1083</v>
      </c>
      <c r="D509" s="1">
        <v>2</v>
      </c>
      <c r="E509" s="2" t="s">
        <v>2281</v>
      </c>
      <c r="F509" s="2" t="s">
        <v>1313</v>
      </c>
      <c r="G509" s="45" t="s">
        <v>702</v>
      </c>
      <c r="H509" s="45">
        <v>2</v>
      </c>
      <c r="I509" s="43" t="s">
        <v>702</v>
      </c>
      <c r="J509" s="43" t="s">
        <v>702</v>
      </c>
      <c r="K509" s="30">
        <v>80000</v>
      </c>
      <c r="L509" s="43" t="s">
        <v>702</v>
      </c>
      <c r="M509" s="3">
        <v>46183.649305555598</v>
      </c>
      <c r="N509" s="2" t="s">
        <v>707</v>
      </c>
      <c r="O509" s="3">
        <v>46203.649305555598</v>
      </c>
      <c r="P509" s="2" t="s">
        <v>707</v>
      </c>
      <c r="Q509" s="34"/>
      <c r="R509" s="1" t="s">
        <v>31</v>
      </c>
    </row>
    <row r="510" spans="2:18">
      <c r="B510" s="2" t="s">
        <v>2282</v>
      </c>
      <c r="C510" s="2" t="s">
        <v>1083</v>
      </c>
      <c r="D510" s="1">
        <v>3</v>
      </c>
      <c r="E510" s="2" t="s">
        <v>2283</v>
      </c>
      <c r="F510" s="2" t="s">
        <v>1316</v>
      </c>
      <c r="G510" s="45">
        <v>12</v>
      </c>
      <c r="H510" s="45" t="s">
        <v>702</v>
      </c>
      <c r="I510" s="43" t="s">
        <v>702</v>
      </c>
      <c r="J510" s="43" t="s">
        <v>702</v>
      </c>
      <c r="K510" s="30">
        <v>180000</v>
      </c>
      <c r="L510" s="43" t="s">
        <v>702</v>
      </c>
      <c r="M510" s="3">
        <v>46183.649305555598</v>
      </c>
      <c r="N510" s="2" t="s">
        <v>707</v>
      </c>
      <c r="O510" s="3">
        <v>46203.649305555598</v>
      </c>
      <c r="P510" s="2" t="s">
        <v>707</v>
      </c>
      <c r="Q510" s="34"/>
      <c r="R510" s="1" t="s">
        <v>31</v>
      </c>
    </row>
    <row r="511" spans="2:18">
      <c r="B511" s="2" t="s">
        <v>2284</v>
      </c>
      <c r="C511" s="2" t="s">
        <v>1083</v>
      </c>
      <c r="D511" s="1">
        <v>4</v>
      </c>
      <c r="E511" s="2" t="s">
        <v>2285</v>
      </c>
      <c r="F511" s="2" t="s">
        <v>1319</v>
      </c>
      <c r="G511" s="45" t="s">
        <v>702</v>
      </c>
      <c r="H511" s="45">
        <v>1</v>
      </c>
      <c r="I511" s="43" t="s">
        <v>702</v>
      </c>
      <c r="J511" s="43" t="s">
        <v>702</v>
      </c>
      <c r="K511" s="30">
        <v>60000</v>
      </c>
      <c r="L511" s="43" t="s">
        <v>702</v>
      </c>
      <c r="M511" s="3">
        <v>46183.649305555598</v>
      </c>
      <c r="N511" s="2" t="s">
        <v>707</v>
      </c>
      <c r="O511" s="3">
        <v>46203.649305555598</v>
      </c>
      <c r="P511" s="2" t="s">
        <v>707</v>
      </c>
      <c r="Q511" s="34"/>
      <c r="R511" s="1" t="s">
        <v>31</v>
      </c>
    </row>
    <row r="512" spans="2:18" ht="29" customHeight="1">
      <c r="B512" s="2" t="s">
        <v>2286</v>
      </c>
      <c r="C512" s="2" t="s">
        <v>1085</v>
      </c>
      <c r="D512" s="1">
        <v>1</v>
      </c>
      <c r="E512" s="2" t="s">
        <v>2287</v>
      </c>
      <c r="F512" s="2" t="s">
        <v>1259</v>
      </c>
      <c r="G512" s="45" t="s">
        <v>702</v>
      </c>
      <c r="H512" s="1">
        <v>2</v>
      </c>
      <c r="I512" s="43" t="s">
        <v>702</v>
      </c>
      <c r="J512" s="43" t="s">
        <v>702</v>
      </c>
      <c r="K512" s="30">
        <v>70000</v>
      </c>
      <c r="L512" s="43" t="s">
        <v>702</v>
      </c>
      <c r="M512" s="3">
        <v>46184.411111111098</v>
      </c>
      <c r="N512" s="2" t="s">
        <v>711</v>
      </c>
      <c r="O512" s="3">
        <v>46204.411111111098</v>
      </c>
      <c r="P512" s="2" t="s">
        <v>711</v>
      </c>
      <c r="Q512" s="34"/>
      <c r="R512" s="1" t="s">
        <v>31</v>
      </c>
    </row>
    <row r="513" spans="2:18">
      <c r="B513" s="2" t="s">
        <v>2288</v>
      </c>
      <c r="C513" s="2" t="s">
        <v>1085</v>
      </c>
      <c r="D513" s="1">
        <v>2</v>
      </c>
      <c r="E513" s="2" t="s">
        <v>2289</v>
      </c>
      <c r="F513" s="2" t="s">
        <v>1262</v>
      </c>
      <c r="G513" s="1">
        <v>11</v>
      </c>
      <c r="H513" s="45" t="s">
        <v>702</v>
      </c>
      <c r="I513" s="43" t="s">
        <v>702</v>
      </c>
      <c r="J513" s="43" t="s">
        <v>702</v>
      </c>
      <c r="K513" s="30">
        <v>165000</v>
      </c>
      <c r="L513" s="43" t="s">
        <v>702</v>
      </c>
      <c r="M513" s="3">
        <v>46184.411111111098</v>
      </c>
      <c r="N513" s="2" t="s">
        <v>711</v>
      </c>
      <c r="O513" s="3">
        <v>46204.411111111098</v>
      </c>
      <c r="P513" s="2" t="s">
        <v>711</v>
      </c>
      <c r="Q513" s="34"/>
      <c r="R513" s="1" t="s">
        <v>31</v>
      </c>
    </row>
    <row r="514" spans="2:18">
      <c r="B514" s="2" t="s">
        <v>2290</v>
      </c>
      <c r="C514" s="2" t="s">
        <v>1085</v>
      </c>
      <c r="D514" s="1">
        <v>3</v>
      </c>
      <c r="E514" s="2" t="s">
        <v>2291</v>
      </c>
      <c r="F514" s="2" t="s">
        <v>1265</v>
      </c>
      <c r="G514" s="45" t="s">
        <v>702</v>
      </c>
      <c r="H514" s="1">
        <v>1</v>
      </c>
      <c r="I514" s="43" t="s">
        <v>702</v>
      </c>
      <c r="J514" s="43" t="s">
        <v>702</v>
      </c>
      <c r="K514" s="30">
        <v>50000</v>
      </c>
      <c r="L514" s="43" t="s">
        <v>702</v>
      </c>
      <c r="M514" s="3">
        <v>46184.411111111098</v>
      </c>
      <c r="N514" s="2" t="s">
        <v>711</v>
      </c>
      <c r="O514" s="3">
        <v>46204.411111111098</v>
      </c>
      <c r="P514" s="2" t="s">
        <v>711</v>
      </c>
      <c r="Q514" s="34"/>
      <c r="R514" s="1" t="s">
        <v>31</v>
      </c>
    </row>
    <row r="515" spans="2:18">
      <c r="B515" s="2" t="s">
        <v>2292</v>
      </c>
      <c r="C515" s="2" t="s">
        <v>1085</v>
      </c>
      <c r="D515" s="1">
        <v>4</v>
      </c>
      <c r="E515" s="2" t="s">
        <v>2293</v>
      </c>
      <c r="F515" s="2" t="s">
        <v>1268</v>
      </c>
      <c r="G515" s="1">
        <v>3</v>
      </c>
      <c r="H515" s="45" t="s">
        <v>702</v>
      </c>
      <c r="I515" s="43" t="s">
        <v>702</v>
      </c>
      <c r="J515" s="43" t="s">
        <v>702</v>
      </c>
      <c r="K515" s="30">
        <v>22500</v>
      </c>
      <c r="L515" s="43" t="s">
        <v>702</v>
      </c>
      <c r="M515" s="3">
        <v>46184.411111111098</v>
      </c>
      <c r="N515" s="2" t="s">
        <v>711</v>
      </c>
      <c r="O515" s="3">
        <v>46204.411111111098</v>
      </c>
      <c r="P515" s="2" t="s">
        <v>711</v>
      </c>
      <c r="Q515" s="34"/>
      <c r="R515" s="1" t="s">
        <v>31</v>
      </c>
    </row>
    <row r="516" spans="2:18">
      <c r="B516" s="2" t="s">
        <v>2294</v>
      </c>
      <c r="C516" s="2" t="s">
        <v>1087</v>
      </c>
      <c r="D516" s="1">
        <v>1</v>
      </c>
      <c r="E516" s="2" t="s">
        <v>2295</v>
      </c>
      <c r="F516" s="2" t="s">
        <v>1271</v>
      </c>
      <c r="G516" s="45">
        <v>10</v>
      </c>
      <c r="H516" s="45" t="s">
        <v>702</v>
      </c>
      <c r="I516" s="43" t="s">
        <v>702</v>
      </c>
      <c r="J516" s="43" t="s">
        <v>702</v>
      </c>
      <c r="K516" s="30">
        <v>100000</v>
      </c>
      <c r="L516" s="43" t="s">
        <v>702</v>
      </c>
      <c r="M516" s="3">
        <v>46184.547916666699</v>
      </c>
      <c r="N516" s="2" t="s">
        <v>715</v>
      </c>
      <c r="O516" s="3">
        <v>46204.547916666699</v>
      </c>
      <c r="P516" s="2" t="s">
        <v>715</v>
      </c>
      <c r="Q516" s="34"/>
      <c r="R516" s="1" t="s">
        <v>31</v>
      </c>
    </row>
    <row r="517" spans="2:18">
      <c r="B517" s="2" t="s">
        <v>2296</v>
      </c>
      <c r="C517" s="2" t="s">
        <v>1087</v>
      </c>
      <c r="D517" s="1">
        <v>2</v>
      </c>
      <c r="E517" s="2" t="s">
        <v>2297</v>
      </c>
      <c r="F517" s="2" t="s">
        <v>1274</v>
      </c>
      <c r="G517" s="45" t="s">
        <v>702</v>
      </c>
      <c r="H517" s="45">
        <v>1</v>
      </c>
      <c r="I517" s="43" t="s">
        <v>702</v>
      </c>
      <c r="J517" s="43" t="s">
        <v>702</v>
      </c>
      <c r="K517" s="30">
        <v>40000</v>
      </c>
      <c r="L517" s="43" t="s">
        <v>702</v>
      </c>
      <c r="M517" s="3">
        <v>46184.547916666699</v>
      </c>
      <c r="N517" s="2" t="s">
        <v>715</v>
      </c>
      <c r="O517" s="3">
        <v>46204.547916666699</v>
      </c>
      <c r="P517" s="2" t="s">
        <v>715</v>
      </c>
      <c r="Q517" s="34"/>
      <c r="R517" s="1" t="s">
        <v>31</v>
      </c>
    </row>
    <row r="518" spans="2:18">
      <c r="B518" s="2" t="s">
        <v>2298</v>
      </c>
      <c r="C518" s="2" t="s">
        <v>1087</v>
      </c>
      <c r="D518" s="1">
        <v>3</v>
      </c>
      <c r="E518" s="2" t="s">
        <v>2299</v>
      </c>
      <c r="F518" s="2" t="s">
        <v>1277</v>
      </c>
      <c r="G518" s="1">
        <v>2</v>
      </c>
      <c r="H518" s="45" t="s">
        <v>702</v>
      </c>
      <c r="I518" s="43" t="s">
        <v>702</v>
      </c>
      <c r="J518" s="43" t="s">
        <v>702</v>
      </c>
      <c r="K518" s="30">
        <v>25000</v>
      </c>
      <c r="L518" s="43" t="s">
        <v>702</v>
      </c>
      <c r="M518" s="3">
        <v>46184.547916666699</v>
      </c>
      <c r="N518" s="2" t="s">
        <v>715</v>
      </c>
      <c r="O518" s="3">
        <v>46204.547916666699</v>
      </c>
      <c r="P518" s="2" t="s">
        <v>715</v>
      </c>
      <c r="Q518" s="34"/>
      <c r="R518" s="1" t="s">
        <v>31</v>
      </c>
    </row>
    <row r="519" spans="2:18" ht="29" customHeight="1">
      <c r="B519" s="2" t="s">
        <v>2300</v>
      </c>
      <c r="C519" s="2" t="s">
        <v>1087</v>
      </c>
      <c r="D519" s="1">
        <v>4</v>
      </c>
      <c r="E519" s="2" t="s">
        <v>2301</v>
      </c>
      <c r="F519" s="2" t="s">
        <v>1280</v>
      </c>
      <c r="G519" s="45" t="s">
        <v>702</v>
      </c>
      <c r="H519" s="1">
        <v>3</v>
      </c>
      <c r="I519" s="43" t="s">
        <v>702</v>
      </c>
      <c r="J519" s="43" t="s">
        <v>702</v>
      </c>
      <c r="K519" s="30">
        <v>127500</v>
      </c>
      <c r="L519" s="43" t="s">
        <v>702</v>
      </c>
      <c r="M519" s="3">
        <v>46184.547916666699</v>
      </c>
      <c r="N519" s="2" t="s">
        <v>715</v>
      </c>
      <c r="O519" s="3">
        <v>46204.547916666699</v>
      </c>
      <c r="P519" s="2" t="s">
        <v>715</v>
      </c>
      <c r="Q519" s="34"/>
      <c r="R519" s="1" t="s">
        <v>31</v>
      </c>
    </row>
    <row r="520" spans="2:18">
      <c r="B520" s="2" t="s">
        <v>2302</v>
      </c>
      <c r="C520" s="2" t="s">
        <v>1089</v>
      </c>
      <c r="D520" s="1">
        <v>1</v>
      </c>
      <c r="E520" s="2" t="s">
        <v>2303</v>
      </c>
      <c r="F520" s="2" t="s">
        <v>1283</v>
      </c>
      <c r="G520" s="45" t="s">
        <v>702</v>
      </c>
      <c r="H520" s="45">
        <v>1</v>
      </c>
      <c r="I520" s="43" t="s">
        <v>702</v>
      </c>
      <c r="J520" s="43" t="s">
        <v>702</v>
      </c>
      <c r="K520" s="30">
        <v>50000</v>
      </c>
      <c r="L520" s="43" t="s">
        <v>702</v>
      </c>
      <c r="M520" s="3">
        <v>46185.6430555556</v>
      </c>
      <c r="N520" s="2" t="s">
        <v>719</v>
      </c>
      <c r="O520" s="3">
        <v>46205.6430555556</v>
      </c>
      <c r="P520" s="2" t="s">
        <v>719</v>
      </c>
      <c r="Q520" s="34"/>
      <c r="R520" s="1" t="s">
        <v>31</v>
      </c>
    </row>
    <row r="521" spans="2:18">
      <c r="B521" s="2" t="s">
        <v>2304</v>
      </c>
      <c r="C521" s="2" t="s">
        <v>1089</v>
      </c>
      <c r="D521" s="1">
        <v>2</v>
      </c>
      <c r="E521" s="2" t="s">
        <v>2305</v>
      </c>
      <c r="F521" s="2" t="s">
        <v>1286</v>
      </c>
      <c r="G521" s="45">
        <v>1</v>
      </c>
      <c r="H521" s="45" t="s">
        <v>702</v>
      </c>
      <c r="I521" s="43" t="s">
        <v>702</v>
      </c>
      <c r="J521" s="43" t="s">
        <v>702</v>
      </c>
      <c r="K521" s="30">
        <v>10000</v>
      </c>
      <c r="L521" s="43" t="s">
        <v>702</v>
      </c>
      <c r="M521" s="3">
        <v>46185.6430555556</v>
      </c>
      <c r="N521" s="2" t="s">
        <v>719</v>
      </c>
      <c r="O521" s="3">
        <v>46205.6430555556</v>
      </c>
      <c r="P521" s="2" t="s">
        <v>719</v>
      </c>
      <c r="Q521" s="34"/>
      <c r="R521" s="1" t="s">
        <v>31</v>
      </c>
    </row>
    <row r="522" spans="2:18" ht="29" customHeight="1">
      <c r="B522" s="2" t="s">
        <v>2306</v>
      </c>
      <c r="C522" s="2" t="s">
        <v>1089</v>
      </c>
      <c r="D522" s="1">
        <v>3</v>
      </c>
      <c r="E522" s="2" t="s">
        <v>2307</v>
      </c>
      <c r="F522" s="2" t="s">
        <v>1289</v>
      </c>
      <c r="G522" s="45" t="s">
        <v>702</v>
      </c>
      <c r="H522" s="45">
        <v>3</v>
      </c>
      <c r="I522" s="43" t="s">
        <v>702</v>
      </c>
      <c r="J522" s="43" t="s">
        <v>702</v>
      </c>
      <c r="K522" s="30">
        <v>120000</v>
      </c>
      <c r="L522" s="43" t="s">
        <v>702</v>
      </c>
      <c r="M522" s="3">
        <v>46185.6430555556</v>
      </c>
      <c r="N522" s="2" t="s">
        <v>719</v>
      </c>
      <c r="O522" s="3">
        <v>46205.6430555556</v>
      </c>
      <c r="P522" s="2" t="s">
        <v>719</v>
      </c>
      <c r="Q522" s="34"/>
      <c r="R522" s="1" t="s">
        <v>31</v>
      </c>
    </row>
    <row r="523" spans="2:18" ht="29" customHeight="1">
      <c r="B523" s="2" t="s">
        <v>2308</v>
      </c>
      <c r="C523" s="2" t="s">
        <v>1089</v>
      </c>
      <c r="D523" s="1">
        <v>4</v>
      </c>
      <c r="E523" s="2" t="s">
        <v>2309</v>
      </c>
      <c r="F523" s="2" t="s">
        <v>1292</v>
      </c>
      <c r="G523" s="45">
        <v>5</v>
      </c>
      <c r="H523" s="45" t="s">
        <v>702</v>
      </c>
      <c r="I523" s="43" t="s">
        <v>702</v>
      </c>
      <c r="J523" s="43" t="s">
        <v>702</v>
      </c>
      <c r="K523" s="30">
        <v>75000</v>
      </c>
      <c r="L523" s="43" t="s">
        <v>702</v>
      </c>
      <c r="M523" s="3">
        <v>46185.6430555556</v>
      </c>
      <c r="N523" s="2" t="s">
        <v>719</v>
      </c>
      <c r="O523" s="3">
        <v>46205.6430555556</v>
      </c>
      <c r="P523" s="2" t="s">
        <v>719</v>
      </c>
      <c r="Q523" s="34"/>
      <c r="R523" s="1" t="s">
        <v>31</v>
      </c>
    </row>
    <row r="524" spans="2:18">
      <c r="B524" s="2" t="s">
        <v>2310</v>
      </c>
      <c r="C524" s="2" t="s">
        <v>1091</v>
      </c>
      <c r="D524" s="1">
        <v>1</v>
      </c>
      <c r="E524" s="2" t="s">
        <v>2311</v>
      </c>
      <c r="F524" s="2" t="s">
        <v>1295</v>
      </c>
      <c r="G524" s="1">
        <v>12</v>
      </c>
      <c r="H524" s="45" t="s">
        <v>702</v>
      </c>
      <c r="I524" s="43" t="s">
        <v>702</v>
      </c>
      <c r="J524" s="43" t="s">
        <v>702</v>
      </c>
      <c r="K524" s="30">
        <v>36000</v>
      </c>
      <c r="L524" s="43" t="s">
        <v>702</v>
      </c>
      <c r="M524" s="3">
        <v>46185.404861111099</v>
      </c>
      <c r="N524" s="2" t="s">
        <v>722</v>
      </c>
      <c r="O524" s="3">
        <v>46205.404861111099</v>
      </c>
      <c r="P524" s="2" t="s">
        <v>722</v>
      </c>
      <c r="Q524" s="34"/>
      <c r="R524" s="1" t="s">
        <v>31</v>
      </c>
    </row>
    <row r="525" spans="2:18" ht="29" customHeight="1">
      <c r="B525" s="2" t="s">
        <v>2312</v>
      </c>
      <c r="C525" s="2" t="s">
        <v>1091</v>
      </c>
      <c r="D525" s="1">
        <v>2</v>
      </c>
      <c r="E525" s="2" t="s">
        <v>2313</v>
      </c>
      <c r="F525" s="2" t="s">
        <v>1298</v>
      </c>
      <c r="G525" s="45" t="s">
        <v>702</v>
      </c>
      <c r="H525" s="1">
        <v>3</v>
      </c>
      <c r="I525" s="43" t="s">
        <v>702</v>
      </c>
      <c r="J525" s="43" t="s">
        <v>702</v>
      </c>
      <c r="K525" s="30">
        <v>60000</v>
      </c>
      <c r="L525" s="43" t="s">
        <v>702</v>
      </c>
      <c r="M525" s="3">
        <v>46185.404861111099</v>
      </c>
      <c r="N525" s="2" t="s">
        <v>722</v>
      </c>
      <c r="O525" s="3">
        <v>46205.404861111099</v>
      </c>
      <c r="P525" s="2" t="s">
        <v>722</v>
      </c>
      <c r="Q525" s="34"/>
      <c r="R525" s="1" t="s">
        <v>31</v>
      </c>
    </row>
    <row r="526" spans="2:18" ht="29" customHeight="1">
      <c r="B526" s="2" t="s">
        <v>2314</v>
      </c>
      <c r="C526" s="2" t="s">
        <v>1091</v>
      </c>
      <c r="D526" s="1">
        <v>3</v>
      </c>
      <c r="E526" s="2" t="s">
        <v>2315</v>
      </c>
      <c r="F526" s="2" t="s">
        <v>1301</v>
      </c>
      <c r="G526" s="1">
        <v>4</v>
      </c>
      <c r="H526" s="45" t="s">
        <v>702</v>
      </c>
      <c r="I526" s="43" t="s">
        <v>702</v>
      </c>
      <c r="J526" s="43" t="s">
        <v>702</v>
      </c>
      <c r="K526" s="30">
        <v>28000</v>
      </c>
      <c r="L526" s="43" t="s">
        <v>702</v>
      </c>
      <c r="M526" s="3">
        <v>46185.404861111099</v>
      </c>
      <c r="N526" s="2" t="s">
        <v>722</v>
      </c>
      <c r="O526" s="3">
        <v>46205.404861111099</v>
      </c>
      <c r="P526" s="2" t="s">
        <v>722</v>
      </c>
      <c r="Q526" s="34"/>
      <c r="R526" s="1" t="s">
        <v>31</v>
      </c>
    </row>
    <row r="527" spans="2:18">
      <c r="B527" s="2" t="s">
        <v>2316</v>
      </c>
      <c r="C527" s="2" t="s">
        <v>1091</v>
      </c>
      <c r="D527" s="1">
        <v>4</v>
      </c>
      <c r="E527" s="2" t="s">
        <v>2317</v>
      </c>
      <c r="F527" s="2" t="s">
        <v>1304</v>
      </c>
      <c r="G527" s="45" t="s">
        <v>702</v>
      </c>
      <c r="H527" s="1">
        <v>2</v>
      </c>
      <c r="I527" s="43" t="s">
        <v>702</v>
      </c>
      <c r="J527" s="43" t="s">
        <v>702</v>
      </c>
      <c r="K527" s="30">
        <v>40000</v>
      </c>
      <c r="L527" s="43" t="s">
        <v>702</v>
      </c>
      <c r="M527" s="3">
        <v>46185.404861111099</v>
      </c>
      <c r="N527" s="2" t="s">
        <v>722</v>
      </c>
      <c r="O527" s="3">
        <v>46205.404861111099</v>
      </c>
      <c r="P527" s="2" t="s">
        <v>722</v>
      </c>
      <c r="Q527" s="34"/>
      <c r="R527" s="1" t="s">
        <v>31</v>
      </c>
    </row>
    <row r="528" spans="2:18" ht="29" customHeight="1">
      <c r="B528" s="2" t="s">
        <v>2318</v>
      </c>
      <c r="C528" s="2" t="s">
        <v>1093</v>
      </c>
      <c r="D528" s="1">
        <v>1</v>
      </c>
      <c r="E528" s="2" t="s">
        <v>2319</v>
      </c>
      <c r="F528" s="2" t="s">
        <v>1307</v>
      </c>
      <c r="G528" s="45" t="s">
        <v>702</v>
      </c>
      <c r="H528" s="45">
        <v>3</v>
      </c>
      <c r="I528" s="43" t="s">
        <v>702</v>
      </c>
      <c r="J528" s="43" t="s">
        <v>702</v>
      </c>
      <c r="K528" s="30">
        <v>90000</v>
      </c>
      <c r="L528" s="43" t="s">
        <v>702</v>
      </c>
      <c r="M528" s="3">
        <v>46185.541666666701</v>
      </c>
      <c r="N528" s="2" t="s">
        <v>725</v>
      </c>
      <c r="O528" s="3">
        <v>46205.541666666701</v>
      </c>
      <c r="P528" s="2" t="s">
        <v>725</v>
      </c>
      <c r="Q528" s="34"/>
      <c r="R528" s="1" t="s">
        <v>31</v>
      </c>
    </row>
    <row r="529" spans="2:18" ht="29" customHeight="1">
      <c r="B529" s="2" t="s">
        <v>2320</v>
      </c>
      <c r="C529" s="2" t="s">
        <v>1093</v>
      </c>
      <c r="D529" s="1">
        <v>2</v>
      </c>
      <c r="E529" s="2" t="s">
        <v>2321</v>
      </c>
      <c r="F529" s="2" t="s">
        <v>1310</v>
      </c>
      <c r="G529" s="45">
        <v>3</v>
      </c>
      <c r="H529" s="45" t="s">
        <v>702</v>
      </c>
      <c r="I529" s="43" t="s">
        <v>702</v>
      </c>
      <c r="J529" s="43" t="s">
        <v>702</v>
      </c>
      <c r="K529" s="30">
        <v>36000</v>
      </c>
      <c r="L529" s="43" t="s">
        <v>702</v>
      </c>
      <c r="M529" s="3">
        <v>46185.541666666701</v>
      </c>
      <c r="N529" s="2" t="s">
        <v>725</v>
      </c>
      <c r="O529" s="3">
        <v>46205.541666666701</v>
      </c>
      <c r="P529" s="2" t="s">
        <v>725</v>
      </c>
      <c r="Q529" s="34"/>
      <c r="R529" s="1" t="s">
        <v>31</v>
      </c>
    </row>
    <row r="530" spans="2:18">
      <c r="B530" s="2" t="s">
        <v>2322</v>
      </c>
      <c r="C530" s="2" t="s">
        <v>1093</v>
      </c>
      <c r="D530" s="1">
        <v>3</v>
      </c>
      <c r="E530" s="2" t="s">
        <v>2323</v>
      </c>
      <c r="F530" s="2" t="s">
        <v>1313</v>
      </c>
      <c r="G530" s="45" t="s">
        <v>702</v>
      </c>
      <c r="H530" s="45">
        <v>2</v>
      </c>
      <c r="I530" s="43" t="s">
        <v>702</v>
      </c>
      <c r="J530" s="43" t="s">
        <v>702</v>
      </c>
      <c r="K530" s="30">
        <v>80000</v>
      </c>
      <c r="L530" s="43" t="s">
        <v>702</v>
      </c>
      <c r="M530" s="3">
        <v>46185.541666666701</v>
      </c>
      <c r="N530" s="2" t="s">
        <v>725</v>
      </c>
      <c r="O530" s="3">
        <v>46205.541666666701</v>
      </c>
      <c r="P530" s="2" t="s">
        <v>725</v>
      </c>
      <c r="Q530" s="34"/>
      <c r="R530" s="1" t="s">
        <v>31</v>
      </c>
    </row>
    <row r="531" spans="2:18">
      <c r="B531" s="2" t="s">
        <v>2324</v>
      </c>
      <c r="C531" s="2" t="s">
        <v>1093</v>
      </c>
      <c r="D531" s="1">
        <v>4</v>
      </c>
      <c r="E531" s="2" t="s">
        <v>2325</v>
      </c>
      <c r="F531" s="2" t="s">
        <v>1316</v>
      </c>
      <c r="G531" s="45">
        <v>7</v>
      </c>
      <c r="H531" s="45" t="s">
        <v>702</v>
      </c>
      <c r="I531" s="43" t="s">
        <v>702</v>
      </c>
      <c r="J531" s="43" t="s">
        <v>702</v>
      </c>
      <c r="K531" s="30">
        <v>105000</v>
      </c>
      <c r="L531" s="43" t="s">
        <v>702</v>
      </c>
      <c r="M531" s="3">
        <v>46185.541666666701</v>
      </c>
      <c r="N531" s="2" t="s">
        <v>725</v>
      </c>
      <c r="O531" s="3">
        <v>46205.541666666701</v>
      </c>
      <c r="P531" s="2" t="s">
        <v>725</v>
      </c>
      <c r="Q531" s="34"/>
      <c r="R531" s="1" t="s">
        <v>31</v>
      </c>
    </row>
    <row r="532" spans="2:18" ht="29" customHeight="1">
      <c r="B532" s="2" t="s">
        <v>2326</v>
      </c>
      <c r="C532" s="2" t="s">
        <v>1095</v>
      </c>
      <c r="D532" s="1">
        <v>1</v>
      </c>
      <c r="E532" s="2" t="s">
        <v>2327</v>
      </c>
      <c r="F532" s="2" t="s">
        <v>1319</v>
      </c>
      <c r="G532" s="1">
        <v>2</v>
      </c>
      <c r="H532" s="45" t="s">
        <v>702</v>
      </c>
      <c r="I532" s="43" t="s">
        <v>702</v>
      </c>
      <c r="J532" s="43" t="s">
        <v>702</v>
      </c>
      <c r="K532" s="30">
        <v>35000</v>
      </c>
      <c r="L532" s="43" t="s">
        <v>702</v>
      </c>
      <c r="M532" s="3">
        <v>46186.636805555601</v>
      </c>
      <c r="N532" s="2" t="s">
        <v>728</v>
      </c>
      <c r="O532" s="3">
        <v>46206.636805555601</v>
      </c>
      <c r="P532" s="2" t="s">
        <v>728</v>
      </c>
      <c r="Q532" s="34"/>
      <c r="R532" s="1" t="s">
        <v>31</v>
      </c>
    </row>
    <row r="533" spans="2:18">
      <c r="B533" s="2" t="s">
        <v>2328</v>
      </c>
      <c r="C533" s="2" t="s">
        <v>1095</v>
      </c>
      <c r="D533" s="1">
        <v>2</v>
      </c>
      <c r="E533" s="2" t="s">
        <v>2329</v>
      </c>
      <c r="F533" s="2" t="s">
        <v>1259</v>
      </c>
      <c r="G533" s="45" t="s">
        <v>702</v>
      </c>
      <c r="H533" s="45">
        <v>2</v>
      </c>
      <c r="I533" s="43" t="s">
        <v>702</v>
      </c>
      <c r="J533" s="43" t="s">
        <v>702</v>
      </c>
      <c r="K533" s="30">
        <v>70000</v>
      </c>
      <c r="L533" s="43" t="s">
        <v>702</v>
      </c>
      <c r="M533" s="3">
        <v>46186.636805555601</v>
      </c>
      <c r="N533" s="2" t="s">
        <v>728</v>
      </c>
      <c r="O533" s="3">
        <v>46206.636805555601</v>
      </c>
      <c r="P533" s="2" t="s">
        <v>728</v>
      </c>
      <c r="Q533" s="34"/>
      <c r="R533" s="1" t="s">
        <v>31</v>
      </c>
    </row>
    <row r="534" spans="2:18">
      <c r="B534" s="2" t="s">
        <v>2330</v>
      </c>
      <c r="C534" s="2" t="s">
        <v>1095</v>
      </c>
      <c r="D534" s="1">
        <v>3</v>
      </c>
      <c r="E534" s="2" t="s">
        <v>2331</v>
      </c>
      <c r="F534" s="2" t="s">
        <v>1262</v>
      </c>
      <c r="G534" s="45">
        <v>6</v>
      </c>
      <c r="H534" s="45" t="s">
        <v>702</v>
      </c>
      <c r="I534" s="43" t="s">
        <v>702</v>
      </c>
      <c r="J534" s="43" t="s">
        <v>702</v>
      </c>
      <c r="K534" s="30">
        <v>90000</v>
      </c>
      <c r="L534" s="43" t="s">
        <v>702</v>
      </c>
      <c r="M534" s="3">
        <v>46186.636805555601</v>
      </c>
      <c r="N534" s="2" t="s">
        <v>728</v>
      </c>
      <c r="O534" s="3">
        <v>46206.636805555601</v>
      </c>
      <c r="P534" s="2" t="s">
        <v>728</v>
      </c>
      <c r="Q534" s="34"/>
      <c r="R534" s="1" t="s">
        <v>31</v>
      </c>
    </row>
    <row r="535" spans="2:18">
      <c r="B535" s="2" t="s">
        <v>2332</v>
      </c>
      <c r="C535" s="2" t="s">
        <v>1095</v>
      </c>
      <c r="D535" s="1">
        <v>4</v>
      </c>
      <c r="E535" s="2" t="s">
        <v>2333</v>
      </c>
      <c r="F535" s="2" t="s">
        <v>1265</v>
      </c>
      <c r="G535" s="45" t="s">
        <v>702</v>
      </c>
      <c r="H535" s="1">
        <v>1</v>
      </c>
      <c r="I535" s="43" t="s">
        <v>702</v>
      </c>
      <c r="J535" s="43" t="s">
        <v>702</v>
      </c>
      <c r="K535" s="30">
        <v>50000</v>
      </c>
      <c r="L535" s="43" t="s">
        <v>702</v>
      </c>
      <c r="M535" s="3">
        <v>46186.636805555601</v>
      </c>
      <c r="N535" s="2" t="s">
        <v>728</v>
      </c>
      <c r="O535" s="3">
        <v>46206.636805555601</v>
      </c>
      <c r="P535" s="2" t="s">
        <v>728</v>
      </c>
      <c r="Q535" s="34"/>
      <c r="R535" s="1" t="s">
        <v>31</v>
      </c>
    </row>
    <row r="536" spans="2:18">
      <c r="B536" s="2" t="s">
        <v>2334</v>
      </c>
      <c r="C536" s="2" t="s">
        <v>1097</v>
      </c>
      <c r="D536" s="1">
        <v>1</v>
      </c>
      <c r="E536" s="2" t="s">
        <v>2335</v>
      </c>
      <c r="F536" s="2" t="s">
        <v>1268</v>
      </c>
      <c r="G536" s="45" t="s">
        <v>702</v>
      </c>
      <c r="H536" s="45">
        <v>2</v>
      </c>
      <c r="I536" s="43" t="s">
        <v>702</v>
      </c>
      <c r="J536" s="43" t="s">
        <v>702</v>
      </c>
      <c r="K536" s="30">
        <v>50000</v>
      </c>
      <c r="L536" s="43" t="s">
        <v>702</v>
      </c>
      <c r="M536" s="3">
        <v>46186.398611111101</v>
      </c>
      <c r="N536" s="2" t="s">
        <v>731</v>
      </c>
      <c r="O536" s="3">
        <v>46206.398611111101</v>
      </c>
      <c r="P536" s="2" t="s">
        <v>731</v>
      </c>
      <c r="Q536" s="34"/>
      <c r="R536" s="1" t="s">
        <v>31</v>
      </c>
    </row>
    <row r="537" spans="2:18">
      <c r="B537" s="2" t="s">
        <v>2336</v>
      </c>
      <c r="C537" s="2" t="s">
        <v>1097</v>
      </c>
      <c r="D537" s="1">
        <v>2</v>
      </c>
      <c r="E537" s="2" t="s">
        <v>2337</v>
      </c>
      <c r="F537" s="2" t="s">
        <v>1271</v>
      </c>
      <c r="G537" s="45">
        <v>5</v>
      </c>
      <c r="H537" s="45" t="s">
        <v>702</v>
      </c>
      <c r="I537" s="43" t="s">
        <v>702</v>
      </c>
      <c r="J537" s="43" t="s">
        <v>702</v>
      </c>
      <c r="K537" s="30">
        <v>50000</v>
      </c>
      <c r="L537" s="43" t="s">
        <v>702</v>
      </c>
      <c r="M537" s="3">
        <v>46186.398611111101</v>
      </c>
      <c r="N537" s="2" t="s">
        <v>731</v>
      </c>
      <c r="O537" s="3">
        <v>46206.398611111101</v>
      </c>
      <c r="P537" s="2" t="s">
        <v>731</v>
      </c>
      <c r="Q537" s="34"/>
      <c r="R537" s="1" t="s">
        <v>31</v>
      </c>
    </row>
    <row r="538" spans="2:18">
      <c r="B538" s="2" t="s">
        <v>2338</v>
      </c>
      <c r="C538" s="2" t="s">
        <v>1097</v>
      </c>
      <c r="D538" s="1">
        <v>3</v>
      </c>
      <c r="E538" s="2" t="s">
        <v>2339</v>
      </c>
      <c r="F538" s="2" t="s">
        <v>1274</v>
      </c>
      <c r="G538" s="45" t="s">
        <v>702</v>
      </c>
      <c r="H538" s="45">
        <v>1</v>
      </c>
      <c r="I538" s="43" t="s">
        <v>702</v>
      </c>
      <c r="J538" s="43" t="s">
        <v>702</v>
      </c>
      <c r="K538" s="30">
        <v>40000</v>
      </c>
      <c r="L538" s="43" t="s">
        <v>702</v>
      </c>
      <c r="M538" s="3">
        <v>46186.398611111101</v>
      </c>
      <c r="N538" s="2" t="s">
        <v>731</v>
      </c>
      <c r="O538" s="3">
        <v>46206.398611111101</v>
      </c>
      <c r="P538" s="2" t="s">
        <v>731</v>
      </c>
      <c r="Q538" s="34"/>
      <c r="R538" s="1" t="s">
        <v>31</v>
      </c>
    </row>
    <row r="539" spans="2:18">
      <c r="B539" s="2" t="s">
        <v>2340</v>
      </c>
      <c r="C539" s="2" t="s">
        <v>1097</v>
      </c>
      <c r="D539" s="1">
        <v>4</v>
      </c>
      <c r="E539" s="2" t="s">
        <v>2341</v>
      </c>
      <c r="F539" s="2" t="s">
        <v>1277</v>
      </c>
      <c r="G539" s="45">
        <v>9</v>
      </c>
      <c r="H539" s="45" t="s">
        <v>702</v>
      </c>
      <c r="I539" s="43" t="s">
        <v>702</v>
      </c>
      <c r="J539" s="43" t="s">
        <v>702</v>
      </c>
      <c r="K539" s="30">
        <v>112500</v>
      </c>
      <c r="L539" s="43" t="s">
        <v>702</v>
      </c>
      <c r="M539" s="3">
        <v>46186.398611111101</v>
      </c>
      <c r="N539" s="2" t="s">
        <v>731</v>
      </c>
      <c r="O539" s="3">
        <v>46206.398611111101</v>
      </c>
      <c r="P539" s="2" t="s">
        <v>731</v>
      </c>
      <c r="Q539" s="34"/>
      <c r="R539" s="1" t="s">
        <v>31</v>
      </c>
    </row>
    <row r="540" spans="2:18">
      <c r="B540" s="2" t="s">
        <v>2342</v>
      </c>
      <c r="C540" s="2" t="s">
        <v>1099</v>
      </c>
      <c r="D540" s="1">
        <v>1</v>
      </c>
      <c r="E540" s="2" t="s">
        <v>2343</v>
      </c>
      <c r="F540" s="2" t="s">
        <v>1280</v>
      </c>
      <c r="G540" s="1">
        <v>4</v>
      </c>
      <c r="H540" s="45" t="s">
        <v>702</v>
      </c>
      <c r="I540" s="43" t="s">
        <v>702</v>
      </c>
      <c r="J540" s="43" t="s">
        <v>702</v>
      </c>
      <c r="K540" s="30">
        <v>60000</v>
      </c>
      <c r="L540" s="43" t="s">
        <v>702</v>
      </c>
      <c r="M540" s="3">
        <v>46187.535416666702</v>
      </c>
      <c r="N540" s="2" t="s">
        <v>734</v>
      </c>
      <c r="O540" s="3">
        <v>46207.535416666702</v>
      </c>
      <c r="P540" s="2" t="s">
        <v>734</v>
      </c>
      <c r="Q540" s="34"/>
      <c r="R540" s="1" t="s">
        <v>31</v>
      </c>
    </row>
    <row r="541" spans="2:18">
      <c r="B541" s="2" t="s">
        <v>2344</v>
      </c>
      <c r="C541" s="2" t="s">
        <v>1099</v>
      </c>
      <c r="D541" s="1">
        <v>2</v>
      </c>
      <c r="E541" s="2" t="s">
        <v>2345</v>
      </c>
      <c r="F541" s="2" t="s">
        <v>1283</v>
      </c>
      <c r="G541" s="45" t="s">
        <v>702</v>
      </c>
      <c r="H541" s="1">
        <v>1</v>
      </c>
      <c r="I541" s="43" t="s">
        <v>702</v>
      </c>
      <c r="J541" s="43" t="s">
        <v>702</v>
      </c>
      <c r="K541" s="30">
        <v>50000</v>
      </c>
      <c r="L541" s="43" t="s">
        <v>702</v>
      </c>
      <c r="M541" s="3">
        <v>46187.535416666702</v>
      </c>
      <c r="N541" s="2" t="s">
        <v>734</v>
      </c>
      <c r="O541" s="3">
        <v>46207.535416666702</v>
      </c>
      <c r="P541" s="2" t="s">
        <v>734</v>
      </c>
      <c r="Q541" s="34"/>
      <c r="R541" s="1" t="s">
        <v>31</v>
      </c>
    </row>
    <row r="542" spans="2:18">
      <c r="B542" s="2" t="s">
        <v>2346</v>
      </c>
      <c r="C542" s="2" t="s">
        <v>1099</v>
      </c>
      <c r="D542" s="1">
        <v>3</v>
      </c>
      <c r="E542" s="2" t="s">
        <v>2347</v>
      </c>
      <c r="F542" s="2" t="s">
        <v>1286</v>
      </c>
      <c r="G542" s="45">
        <v>8</v>
      </c>
      <c r="H542" s="45" t="s">
        <v>702</v>
      </c>
      <c r="I542" s="43" t="s">
        <v>702</v>
      </c>
      <c r="J542" s="43" t="s">
        <v>702</v>
      </c>
      <c r="K542" s="30">
        <v>80000</v>
      </c>
      <c r="L542" s="43" t="s">
        <v>702</v>
      </c>
      <c r="M542" s="3">
        <v>46187.535416666702</v>
      </c>
      <c r="N542" s="2" t="s">
        <v>734</v>
      </c>
      <c r="O542" s="3">
        <v>46207.535416666702</v>
      </c>
      <c r="P542" s="2" t="s">
        <v>734</v>
      </c>
      <c r="Q542" s="34"/>
      <c r="R542" s="1" t="s">
        <v>31</v>
      </c>
    </row>
    <row r="543" spans="2:18">
      <c r="B543" s="2" t="s">
        <v>2348</v>
      </c>
      <c r="C543" s="2" t="s">
        <v>1099</v>
      </c>
      <c r="D543" s="1">
        <v>4</v>
      </c>
      <c r="E543" s="2" t="s">
        <v>2349</v>
      </c>
      <c r="F543" s="2" t="s">
        <v>1289</v>
      </c>
      <c r="G543" s="45" t="s">
        <v>702</v>
      </c>
      <c r="H543" s="45">
        <v>3</v>
      </c>
      <c r="I543" s="43" t="s">
        <v>702</v>
      </c>
      <c r="J543" s="43" t="s">
        <v>702</v>
      </c>
      <c r="K543" s="30">
        <v>120000</v>
      </c>
      <c r="L543" s="43" t="s">
        <v>702</v>
      </c>
      <c r="M543" s="3">
        <v>46187.535416666702</v>
      </c>
      <c r="N543" s="2" t="s">
        <v>734</v>
      </c>
      <c r="O543" s="3">
        <v>46207.535416666702</v>
      </c>
      <c r="P543" s="2" t="s">
        <v>734</v>
      </c>
      <c r="Q543" s="34"/>
      <c r="R543" s="1" t="s">
        <v>31</v>
      </c>
    </row>
    <row r="544" spans="2:18">
      <c r="B544" s="2" t="s">
        <v>2350</v>
      </c>
      <c r="C544" s="2" t="s">
        <v>1101</v>
      </c>
      <c r="D544" s="1">
        <v>1</v>
      </c>
      <c r="E544" s="2" t="s">
        <v>2351</v>
      </c>
      <c r="F544" s="2" t="s">
        <v>1292</v>
      </c>
      <c r="G544" s="45" t="s">
        <v>702</v>
      </c>
      <c r="H544" s="1">
        <v>1</v>
      </c>
      <c r="I544" s="43" t="s">
        <v>702</v>
      </c>
      <c r="J544" s="43" t="s">
        <v>702</v>
      </c>
      <c r="K544" s="30">
        <v>50000</v>
      </c>
      <c r="L544" s="43" t="s">
        <v>702</v>
      </c>
      <c r="M544" s="3">
        <v>46187.672222222202</v>
      </c>
      <c r="N544" s="2" t="s">
        <v>737</v>
      </c>
      <c r="O544" s="3">
        <v>46207.672222222202</v>
      </c>
      <c r="P544" s="2" t="s">
        <v>737</v>
      </c>
      <c r="Q544" s="34"/>
      <c r="R544" s="1" t="s">
        <v>31</v>
      </c>
    </row>
    <row r="545" spans="2:18">
      <c r="B545" s="2" t="s">
        <v>2352</v>
      </c>
      <c r="C545" s="2" t="s">
        <v>1101</v>
      </c>
      <c r="D545" s="1">
        <v>2</v>
      </c>
      <c r="E545" s="2" t="s">
        <v>2353</v>
      </c>
      <c r="F545" s="2" t="s">
        <v>1295</v>
      </c>
      <c r="G545" s="1">
        <v>7</v>
      </c>
      <c r="H545" s="45" t="s">
        <v>702</v>
      </c>
      <c r="I545" s="43" t="s">
        <v>702</v>
      </c>
      <c r="J545" s="43" t="s">
        <v>702</v>
      </c>
      <c r="K545" s="30">
        <v>21000</v>
      </c>
      <c r="L545" s="43" t="s">
        <v>702</v>
      </c>
      <c r="M545" s="3">
        <v>46187.672222222202</v>
      </c>
      <c r="N545" s="2" t="s">
        <v>737</v>
      </c>
      <c r="O545" s="3">
        <v>46207.672222222202</v>
      </c>
      <c r="P545" s="2" t="s">
        <v>737</v>
      </c>
      <c r="Q545" s="34"/>
      <c r="R545" s="1" t="s">
        <v>31</v>
      </c>
    </row>
    <row r="546" spans="2:18">
      <c r="B546" s="2" t="s">
        <v>2354</v>
      </c>
      <c r="C546" s="2" t="s">
        <v>1101</v>
      </c>
      <c r="D546" s="1">
        <v>3</v>
      </c>
      <c r="E546" s="2" t="s">
        <v>2355</v>
      </c>
      <c r="F546" s="2" t="s">
        <v>1298</v>
      </c>
      <c r="G546" s="45" t="s">
        <v>702</v>
      </c>
      <c r="H546" s="1">
        <v>3</v>
      </c>
      <c r="I546" s="43" t="s">
        <v>702</v>
      </c>
      <c r="J546" s="43" t="s">
        <v>702</v>
      </c>
      <c r="K546" s="30">
        <v>60000</v>
      </c>
      <c r="L546" s="43" t="s">
        <v>702</v>
      </c>
      <c r="M546" s="3">
        <v>46187.672222222202</v>
      </c>
      <c r="N546" s="2" t="s">
        <v>737</v>
      </c>
      <c r="O546" s="3">
        <v>46207.672222222202</v>
      </c>
      <c r="P546" s="2" t="s">
        <v>737</v>
      </c>
      <c r="Q546" s="34"/>
      <c r="R546" s="1" t="s">
        <v>31</v>
      </c>
    </row>
    <row r="547" spans="2:18">
      <c r="B547" s="2" t="s">
        <v>2356</v>
      </c>
      <c r="C547" s="2" t="s">
        <v>1101</v>
      </c>
      <c r="D547" s="1">
        <v>4</v>
      </c>
      <c r="E547" s="2" t="s">
        <v>2357</v>
      </c>
      <c r="F547" s="2" t="s">
        <v>1301</v>
      </c>
      <c r="G547" s="1">
        <v>11</v>
      </c>
      <c r="H547" s="45" t="s">
        <v>702</v>
      </c>
      <c r="I547" s="43" t="s">
        <v>702</v>
      </c>
      <c r="J547" s="43" t="s">
        <v>702</v>
      </c>
      <c r="K547" s="30">
        <v>77000</v>
      </c>
      <c r="L547" s="43" t="s">
        <v>702</v>
      </c>
      <c r="M547" s="3">
        <v>46187.672222222202</v>
      </c>
      <c r="N547" s="2" t="s">
        <v>737</v>
      </c>
      <c r="O547" s="3">
        <v>46207.672222222202</v>
      </c>
      <c r="P547" s="2" t="s">
        <v>737</v>
      </c>
      <c r="Q547" s="34"/>
      <c r="R547" s="1" t="s">
        <v>31</v>
      </c>
    </row>
    <row r="548" spans="2:18">
      <c r="B548" s="2" t="s">
        <v>2358</v>
      </c>
      <c r="C548" s="2" t="s">
        <v>1103</v>
      </c>
      <c r="D548" s="1">
        <v>1</v>
      </c>
      <c r="E548" s="2" t="s">
        <v>2359</v>
      </c>
      <c r="F548" s="2" t="s">
        <v>1304</v>
      </c>
      <c r="G548" s="45">
        <v>6</v>
      </c>
      <c r="H548" s="45" t="s">
        <v>702</v>
      </c>
      <c r="I548" s="43" t="s">
        <v>702</v>
      </c>
      <c r="J548" s="43" t="s">
        <v>702</v>
      </c>
      <c r="K548" s="30">
        <v>36000</v>
      </c>
      <c r="L548" s="43" t="s">
        <v>702</v>
      </c>
      <c r="M548" s="3">
        <v>46188.392361111102</v>
      </c>
      <c r="N548" s="2" t="s">
        <v>92</v>
      </c>
      <c r="O548" s="3">
        <v>46208.392361111102</v>
      </c>
      <c r="P548" s="2" t="s">
        <v>92</v>
      </c>
      <c r="Q548" s="34"/>
      <c r="R548" s="1" t="s">
        <v>31</v>
      </c>
    </row>
    <row r="549" spans="2:18">
      <c r="B549" s="2" t="s">
        <v>2360</v>
      </c>
      <c r="C549" s="2" t="s">
        <v>1103</v>
      </c>
      <c r="D549" s="1">
        <v>2</v>
      </c>
      <c r="E549" s="2" t="s">
        <v>2361</v>
      </c>
      <c r="F549" s="2" t="s">
        <v>1307</v>
      </c>
      <c r="G549" s="45" t="s">
        <v>702</v>
      </c>
      <c r="H549" s="45">
        <v>3</v>
      </c>
      <c r="I549" s="43" t="s">
        <v>702</v>
      </c>
      <c r="J549" s="43" t="s">
        <v>702</v>
      </c>
      <c r="K549" s="30">
        <v>90000</v>
      </c>
      <c r="L549" s="43" t="s">
        <v>702</v>
      </c>
      <c r="M549" s="3">
        <v>46188.392361111102</v>
      </c>
      <c r="N549" s="2" t="s">
        <v>92</v>
      </c>
      <c r="O549" s="3">
        <v>46208.392361111102</v>
      </c>
      <c r="P549" s="2" t="s">
        <v>92</v>
      </c>
      <c r="Q549" s="34"/>
      <c r="R549" s="1" t="s">
        <v>31</v>
      </c>
    </row>
    <row r="550" spans="2:18">
      <c r="B550" s="2" t="s">
        <v>2362</v>
      </c>
      <c r="C550" s="2" t="s">
        <v>1103</v>
      </c>
      <c r="D550" s="1">
        <v>3</v>
      </c>
      <c r="E550" s="2" t="s">
        <v>2363</v>
      </c>
      <c r="F550" s="2" t="s">
        <v>1310</v>
      </c>
      <c r="G550" s="45">
        <v>10</v>
      </c>
      <c r="H550" s="45" t="s">
        <v>702</v>
      </c>
      <c r="I550" s="43" t="s">
        <v>702</v>
      </c>
      <c r="J550" s="43" t="s">
        <v>702</v>
      </c>
      <c r="K550" s="30">
        <v>120000</v>
      </c>
      <c r="L550" s="43" t="s">
        <v>702</v>
      </c>
      <c r="M550" s="3">
        <v>46188.392361111102</v>
      </c>
      <c r="N550" s="2" t="s">
        <v>92</v>
      </c>
      <c r="O550" s="3">
        <v>46208.392361111102</v>
      </c>
      <c r="P550" s="2" t="s">
        <v>92</v>
      </c>
      <c r="Q550" s="34"/>
      <c r="R550" s="1" t="s">
        <v>31</v>
      </c>
    </row>
    <row r="551" spans="2:18" ht="29" customHeight="1">
      <c r="B551" s="2" t="s">
        <v>2364</v>
      </c>
      <c r="C551" s="2" t="s">
        <v>1103</v>
      </c>
      <c r="D551" s="1">
        <v>4</v>
      </c>
      <c r="E551" s="2" t="s">
        <v>2365</v>
      </c>
      <c r="F551" s="2" t="s">
        <v>1313</v>
      </c>
      <c r="G551" s="45" t="s">
        <v>702</v>
      </c>
      <c r="H551" s="45">
        <v>2</v>
      </c>
      <c r="I551" s="43" t="s">
        <v>702</v>
      </c>
      <c r="J551" s="43" t="s">
        <v>702</v>
      </c>
      <c r="K551" s="30">
        <v>80000</v>
      </c>
      <c r="L551" s="43" t="s">
        <v>702</v>
      </c>
      <c r="M551" s="3">
        <v>46188.392361111102</v>
      </c>
      <c r="N551" s="2" t="s">
        <v>92</v>
      </c>
      <c r="O551" s="3">
        <v>46208.392361111102</v>
      </c>
      <c r="P551" s="2" t="s">
        <v>92</v>
      </c>
      <c r="Q551" s="34"/>
      <c r="R551" s="1" t="s">
        <v>31</v>
      </c>
    </row>
    <row r="552" spans="2:18">
      <c r="B552" s="2" t="s">
        <v>2366</v>
      </c>
      <c r="C552" s="2" t="s">
        <v>1105</v>
      </c>
      <c r="D552" s="1">
        <v>1</v>
      </c>
      <c r="E552" s="2" t="s">
        <v>2367</v>
      </c>
      <c r="F552" s="2" t="s">
        <v>1316</v>
      </c>
      <c r="G552" s="45" t="s">
        <v>702</v>
      </c>
      <c r="H552" s="1">
        <v>3</v>
      </c>
      <c r="I552" s="43" t="s">
        <v>702</v>
      </c>
      <c r="J552" s="43" t="s">
        <v>702</v>
      </c>
      <c r="K552" s="30">
        <v>150000</v>
      </c>
      <c r="L552" s="43" t="s">
        <v>702</v>
      </c>
      <c r="M552" s="3">
        <v>46188.529166666704</v>
      </c>
      <c r="N552" s="2" t="s">
        <v>742</v>
      </c>
      <c r="O552" s="3">
        <v>46208.529166666704</v>
      </c>
      <c r="P552" s="2" t="s">
        <v>742</v>
      </c>
      <c r="Q552" s="34"/>
      <c r="R552" s="1" t="s">
        <v>31</v>
      </c>
    </row>
    <row r="553" spans="2:18">
      <c r="B553" s="2" t="s">
        <v>2368</v>
      </c>
      <c r="C553" s="2" t="s">
        <v>1105</v>
      </c>
      <c r="D553" s="1">
        <v>2</v>
      </c>
      <c r="E553" s="2" t="s">
        <v>2369</v>
      </c>
      <c r="F553" s="2" t="s">
        <v>1319</v>
      </c>
      <c r="G553" s="45">
        <v>9</v>
      </c>
      <c r="H553" s="45" t="s">
        <v>702</v>
      </c>
      <c r="I553" s="43" t="s">
        <v>702</v>
      </c>
      <c r="J553" s="43" t="s">
        <v>702</v>
      </c>
      <c r="K553" s="30">
        <v>157500</v>
      </c>
      <c r="L553" s="43" t="s">
        <v>702</v>
      </c>
      <c r="M553" s="3">
        <v>46188.529166666704</v>
      </c>
      <c r="N553" s="2" t="s">
        <v>742</v>
      </c>
      <c r="O553" s="3">
        <v>46208.529166666704</v>
      </c>
      <c r="P553" s="2" t="s">
        <v>742</v>
      </c>
      <c r="Q553" s="34"/>
      <c r="R553" s="1" t="s">
        <v>31</v>
      </c>
    </row>
    <row r="554" spans="2:18" ht="29" customHeight="1">
      <c r="B554" s="2" t="s">
        <v>2370</v>
      </c>
      <c r="C554" s="2" t="s">
        <v>1105</v>
      </c>
      <c r="D554" s="1">
        <v>3</v>
      </c>
      <c r="E554" s="2" t="s">
        <v>2371</v>
      </c>
      <c r="F554" s="2" t="s">
        <v>1259</v>
      </c>
      <c r="G554" s="45" t="s">
        <v>702</v>
      </c>
      <c r="H554" s="45">
        <v>2</v>
      </c>
      <c r="I554" s="43" t="s">
        <v>702</v>
      </c>
      <c r="J554" s="43" t="s">
        <v>702</v>
      </c>
      <c r="K554" s="30">
        <v>70000</v>
      </c>
      <c r="L554" s="43" t="s">
        <v>702</v>
      </c>
      <c r="M554" s="3">
        <v>46188.529166666704</v>
      </c>
      <c r="N554" s="2" t="s">
        <v>742</v>
      </c>
      <c r="O554" s="3">
        <v>46208.529166666704</v>
      </c>
      <c r="P554" s="2" t="s">
        <v>742</v>
      </c>
      <c r="Q554" s="34"/>
      <c r="R554" s="1" t="s">
        <v>31</v>
      </c>
    </row>
    <row r="555" spans="2:18">
      <c r="B555" s="2" t="s">
        <v>2372</v>
      </c>
      <c r="C555" s="2" t="s">
        <v>1105</v>
      </c>
      <c r="D555" s="1">
        <v>4</v>
      </c>
      <c r="E555" s="2" t="s">
        <v>2373</v>
      </c>
      <c r="F555" s="2" t="s">
        <v>1262</v>
      </c>
      <c r="G555" s="45">
        <v>1</v>
      </c>
      <c r="H555" s="45" t="s">
        <v>702</v>
      </c>
      <c r="I555" s="43" t="s">
        <v>702</v>
      </c>
      <c r="J555" s="43" t="s">
        <v>702</v>
      </c>
      <c r="K555" s="30">
        <v>15000</v>
      </c>
      <c r="L555" s="43" t="s">
        <v>702</v>
      </c>
      <c r="M555" s="3">
        <v>46188.529166666704</v>
      </c>
      <c r="N555" s="2" t="s">
        <v>742</v>
      </c>
      <c r="O555" s="3">
        <v>46208.529166666704</v>
      </c>
      <c r="P555" s="2" t="s">
        <v>742</v>
      </c>
      <c r="Q555" s="34"/>
      <c r="R555" s="1" t="s">
        <v>31</v>
      </c>
    </row>
    <row r="556" spans="2:18">
      <c r="B556" s="2" t="s">
        <v>2374</v>
      </c>
      <c r="C556" s="2" t="s">
        <v>1107</v>
      </c>
      <c r="D556" s="1">
        <v>1</v>
      </c>
      <c r="E556" s="2" t="s">
        <v>2375</v>
      </c>
      <c r="F556" s="2" t="s">
        <v>1265</v>
      </c>
      <c r="G556" s="1">
        <v>8</v>
      </c>
      <c r="H556" s="45" t="s">
        <v>702</v>
      </c>
      <c r="I556" s="43" t="s">
        <v>702</v>
      </c>
      <c r="J556" s="43" t="s">
        <v>702</v>
      </c>
      <c r="K556" s="30">
        <v>140000</v>
      </c>
      <c r="L556" s="43" t="s">
        <v>702</v>
      </c>
      <c r="M556" s="3">
        <v>46189.665972222203</v>
      </c>
      <c r="N556" s="2" t="s">
        <v>745</v>
      </c>
      <c r="O556" s="3">
        <v>46209.665972222203</v>
      </c>
      <c r="P556" s="2" t="s">
        <v>745</v>
      </c>
      <c r="Q556" s="34"/>
      <c r="R556" s="1" t="s">
        <v>31</v>
      </c>
    </row>
    <row r="557" spans="2:18" ht="29" customHeight="1">
      <c r="B557" s="2" t="s">
        <v>2376</v>
      </c>
      <c r="C557" s="2" t="s">
        <v>1107</v>
      </c>
      <c r="D557" s="1">
        <v>2</v>
      </c>
      <c r="E557" s="2" t="s">
        <v>2377</v>
      </c>
      <c r="F557" s="2" t="s">
        <v>1268</v>
      </c>
      <c r="G557" s="45" t="s">
        <v>702</v>
      </c>
      <c r="H557" s="1">
        <v>2</v>
      </c>
      <c r="I557" s="43" t="s">
        <v>702</v>
      </c>
      <c r="J557" s="43" t="s">
        <v>702</v>
      </c>
      <c r="K557" s="30">
        <v>50000</v>
      </c>
      <c r="L557" s="43" t="s">
        <v>702</v>
      </c>
      <c r="M557" s="3">
        <v>46189.665972222203</v>
      </c>
      <c r="N557" s="2" t="s">
        <v>745</v>
      </c>
      <c r="O557" s="3">
        <v>46209.665972222203</v>
      </c>
      <c r="P557" s="2" t="s">
        <v>745</v>
      </c>
      <c r="Q557" s="34"/>
      <c r="R557" s="1" t="s">
        <v>31</v>
      </c>
    </row>
    <row r="558" spans="2:18">
      <c r="B558" s="2" t="s">
        <v>2378</v>
      </c>
      <c r="C558" s="2" t="s">
        <v>1107</v>
      </c>
      <c r="D558" s="1">
        <v>3</v>
      </c>
      <c r="E558" s="2" t="s">
        <v>2379</v>
      </c>
      <c r="F558" s="2" t="s">
        <v>1271</v>
      </c>
      <c r="G558" s="1">
        <v>12</v>
      </c>
      <c r="H558" s="45" t="s">
        <v>702</v>
      </c>
      <c r="I558" s="43" t="s">
        <v>702</v>
      </c>
      <c r="J558" s="43" t="s">
        <v>702</v>
      </c>
      <c r="K558" s="30">
        <v>120000</v>
      </c>
      <c r="L558" s="43" t="s">
        <v>702</v>
      </c>
      <c r="M558" s="3">
        <v>46189.665972222203</v>
      </c>
      <c r="N558" s="2" t="s">
        <v>745</v>
      </c>
      <c r="O558" s="3">
        <v>46209.665972222203</v>
      </c>
      <c r="P558" s="2" t="s">
        <v>745</v>
      </c>
      <c r="Q558" s="34"/>
      <c r="R558" s="1" t="s">
        <v>31</v>
      </c>
    </row>
    <row r="559" spans="2:18">
      <c r="B559" s="2" t="s">
        <v>2380</v>
      </c>
      <c r="C559" s="2" t="s">
        <v>1107</v>
      </c>
      <c r="D559" s="1">
        <v>4</v>
      </c>
      <c r="E559" s="2" t="s">
        <v>2381</v>
      </c>
      <c r="F559" s="2" t="s">
        <v>1274</v>
      </c>
      <c r="G559" s="45" t="s">
        <v>702</v>
      </c>
      <c r="H559" s="1">
        <v>1</v>
      </c>
      <c r="I559" s="43" t="s">
        <v>702</v>
      </c>
      <c r="J559" s="43" t="s">
        <v>702</v>
      </c>
      <c r="K559" s="30">
        <v>40000</v>
      </c>
      <c r="L559" s="43" t="s">
        <v>702</v>
      </c>
      <c r="M559" s="3">
        <v>46189.665972222203</v>
      </c>
      <c r="N559" s="2" t="s">
        <v>745</v>
      </c>
      <c r="O559" s="3">
        <v>46209.665972222203</v>
      </c>
      <c r="P559" s="2" t="s">
        <v>745</v>
      </c>
      <c r="Q559" s="34"/>
      <c r="R559" s="1" t="s">
        <v>31</v>
      </c>
    </row>
    <row r="560" spans="2:18" ht="29" customHeight="1">
      <c r="B560" s="2" t="s">
        <v>2382</v>
      </c>
      <c r="C560" s="2" t="s">
        <v>1109</v>
      </c>
      <c r="D560" s="1">
        <v>1</v>
      </c>
      <c r="E560" s="2" t="s">
        <v>2383</v>
      </c>
      <c r="F560" s="2" t="s">
        <v>1277</v>
      </c>
      <c r="G560" s="45" t="s">
        <v>702</v>
      </c>
      <c r="H560" s="45">
        <v>2</v>
      </c>
      <c r="I560" s="43" t="s">
        <v>702</v>
      </c>
      <c r="J560" s="43" t="s">
        <v>702</v>
      </c>
      <c r="K560" s="30">
        <v>70000</v>
      </c>
      <c r="L560" s="43" t="s">
        <v>702</v>
      </c>
      <c r="M560" s="3">
        <v>46189.386111111096</v>
      </c>
      <c r="N560" s="2" t="s">
        <v>748</v>
      </c>
      <c r="O560" s="3">
        <v>46209.386111111096</v>
      </c>
      <c r="P560" s="2" t="s">
        <v>748</v>
      </c>
      <c r="Q560" s="34"/>
      <c r="R560" s="1" t="s">
        <v>31</v>
      </c>
    </row>
    <row r="561" spans="2:18">
      <c r="B561" s="2" t="s">
        <v>2384</v>
      </c>
      <c r="C561" s="2" t="s">
        <v>1109</v>
      </c>
      <c r="D561" s="1">
        <v>2</v>
      </c>
      <c r="E561" s="2" t="s">
        <v>2385</v>
      </c>
      <c r="F561" s="2" t="s">
        <v>1280</v>
      </c>
      <c r="G561" s="45">
        <v>11</v>
      </c>
      <c r="H561" s="45" t="s">
        <v>702</v>
      </c>
      <c r="I561" s="43" t="s">
        <v>702</v>
      </c>
      <c r="J561" s="43" t="s">
        <v>702</v>
      </c>
      <c r="K561" s="30">
        <v>165000</v>
      </c>
      <c r="L561" s="43" t="s">
        <v>702</v>
      </c>
      <c r="M561" s="3">
        <v>46189.386111111096</v>
      </c>
      <c r="N561" s="2" t="s">
        <v>748</v>
      </c>
      <c r="O561" s="3">
        <v>46209.386111111096</v>
      </c>
      <c r="P561" s="2" t="s">
        <v>748</v>
      </c>
      <c r="Q561" s="34"/>
      <c r="R561" s="1" t="s">
        <v>31</v>
      </c>
    </row>
    <row r="562" spans="2:18">
      <c r="B562" s="2" t="s">
        <v>2386</v>
      </c>
      <c r="C562" s="2" t="s">
        <v>1109</v>
      </c>
      <c r="D562" s="1">
        <v>3</v>
      </c>
      <c r="E562" s="2" t="s">
        <v>2387</v>
      </c>
      <c r="F562" s="2" t="s">
        <v>1283</v>
      </c>
      <c r="G562" s="45" t="s">
        <v>702</v>
      </c>
      <c r="H562" s="45">
        <v>1</v>
      </c>
      <c r="I562" s="43" t="s">
        <v>702</v>
      </c>
      <c r="J562" s="43" t="s">
        <v>702</v>
      </c>
      <c r="K562" s="30">
        <v>50000</v>
      </c>
      <c r="L562" s="43" t="s">
        <v>702</v>
      </c>
      <c r="M562" s="3">
        <v>46189.386111111096</v>
      </c>
      <c r="N562" s="2" t="s">
        <v>748</v>
      </c>
      <c r="O562" s="3">
        <v>46209.386111111096</v>
      </c>
      <c r="P562" s="2" t="s">
        <v>748</v>
      </c>
      <c r="Q562" s="34"/>
      <c r="R562" s="1" t="s">
        <v>31</v>
      </c>
    </row>
    <row r="563" spans="2:18">
      <c r="B563" s="2" t="s">
        <v>2388</v>
      </c>
      <c r="C563" s="2" t="s">
        <v>1109</v>
      </c>
      <c r="D563" s="1">
        <v>4</v>
      </c>
      <c r="E563" s="2" t="s">
        <v>2389</v>
      </c>
      <c r="F563" s="2" t="s">
        <v>1286</v>
      </c>
      <c r="G563" s="45">
        <v>3</v>
      </c>
      <c r="H563" s="45" t="s">
        <v>702</v>
      </c>
      <c r="I563" s="43" t="s">
        <v>702</v>
      </c>
      <c r="J563" s="43" t="s">
        <v>702</v>
      </c>
      <c r="K563" s="30">
        <v>30000</v>
      </c>
      <c r="L563" s="43" t="s">
        <v>702</v>
      </c>
      <c r="M563" s="3">
        <v>46189.386111111096</v>
      </c>
      <c r="N563" s="2" t="s">
        <v>748</v>
      </c>
      <c r="O563" s="3">
        <v>46209.386111111096</v>
      </c>
      <c r="P563" s="2" t="s">
        <v>748</v>
      </c>
      <c r="Q563" s="34"/>
      <c r="R563" s="1" t="s">
        <v>31</v>
      </c>
    </row>
    <row r="564" spans="2:18">
      <c r="B564" s="2" t="s">
        <v>2390</v>
      </c>
      <c r="C564" s="2" t="s">
        <v>1111</v>
      </c>
      <c r="D564" s="1">
        <v>1</v>
      </c>
      <c r="E564" s="2" t="s">
        <v>2391</v>
      </c>
      <c r="F564" s="2" t="s">
        <v>1289</v>
      </c>
      <c r="G564" s="1">
        <v>10</v>
      </c>
      <c r="H564" s="45" t="s">
        <v>702</v>
      </c>
      <c r="I564" s="43" t="s">
        <v>702</v>
      </c>
      <c r="J564" s="43" t="s">
        <v>702</v>
      </c>
      <c r="K564" s="30">
        <v>125000</v>
      </c>
      <c r="L564" s="43" t="s">
        <v>702</v>
      </c>
      <c r="M564" s="3">
        <v>46190.522916666698</v>
      </c>
      <c r="N564" s="2" t="s">
        <v>751</v>
      </c>
      <c r="O564" s="3">
        <v>46210.522916666698</v>
      </c>
      <c r="P564" s="2" t="s">
        <v>751</v>
      </c>
      <c r="Q564" s="34"/>
      <c r="R564" s="1" t="s">
        <v>31</v>
      </c>
    </row>
    <row r="565" spans="2:18">
      <c r="B565" s="2" t="s">
        <v>2392</v>
      </c>
      <c r="C565" s="2" t="s">
        <v>1111</v>
      </c>
      <c r="D565" s="1">
        <v>2</v>
      </c>
      <c r="E565" s="2" t="s">
        <v>2393</v>
      </c>
      <c r="F565" s="2" t="s">
        <v>1292</v>
      </c>
      <c r="G565" s="45" t="s">
        <v>702</v>
      </c>
      <c r="H565" s="1">
        <v>1</v>
      </c>
      <c r="I565" s="43" t="s">
        <v>702</v>
      </c>
      <c r="J565" s="43" t="s">
        <v>702</v>
      </c>
      <c r="K565" s="30">
        <v>50000</v>
      </c>
      <c r="L565" s="43" t="s">
        <v>702</v>
      </c>
      <c r="M565" s="3">
        <v>46190.522916666698</v>
      </c>
      <c r="N565" s="2" t="s">
        <v>751</v>
      </c>
      <c r="O565" s="3">
        <v>46210.522916666698</v>
      </c>
      <c r="P565" s="2" t="s">
        <v>751</v>
      </c>
      <c r="Q565" s="34"/>
      <c r="R565" s="1" t="s">
        <v>31</v>
      </c>
    </row>
    <row r="566" spans="2:18">
      <c r="B566" s="2" t="s">
        <v>2394</v>
      </c>
      <c r="C566" s="2" t="s">
        <v>1111</v>
      </c>
      <c r="D566" s="1">
        <v>3</v>
      </c>
      <c r="E566" s="2" t="s">
        <v>2395</v>
      </c>
      <c r="F566" s="2" t="s">
        <v>1295</v>
      </c>
      <c r="G566" s="1">
        <v>2</v>
      </c>
      <c r="H566" s="45" t="s">
        <v>702</v>
      </c>
      <c r="I566" s="43" t="s">
        <v>702</v>
      </c>
      <c r="J566" s="43" t="s">
        <v>702</v>
      </c>
      <c r="K566" s="30">
        <v>6000</v>
      </c>
      <c r="L566" s="43" t="s">
        <v>702</v>
      </c>
      <c r="M566" s="3">
        <v>46190.522916666698</v>
      </c>
      <c r="N566" s="2" t="s">
        <v>751</v>
      </c>
      <c r="O566" s="3">
        <v>46210.522916666698</v>
      </c>
      <c r="P566" s="2" t="s">
        <v>751</v>
      </c>
      <c r="Q566" s="34"/>
      <c r="R566" s="1" t="s">
        <v>31</v>
      </c>
    </row>
    <row r="567" spans="2:18" ht="29" customHeight="1">
      <c r="B567" s="2" t="s">
        <v>2396</v>
      </c>
      <c r="C567" s="2" t="s">
        <v>1111</v>
      </c>
      <c r="D567" s="1">
        <v>4</v>
      </c>
      <c r="E567" s="2" t="s">
        <v>2397</v>
      </c>
      <c r="F567" s="2" t="s">
        <v>1298</v>
      </c>
      <c r="G567" s="45" t="s">
        <v>702</v>
      </c>
      <c r="H567" s="1">
        <v>3</v>
      </c>
      <c r="I567" s="43" t="s">
        <v>702</v>
      </c>
      <c r="J567" s="43" t="s">
        <v>702</v>
      </c>
      <c r="K567" s="30">
        <v>60000</v>
      </c>
      <c r="L567" s="43" t="s">
        <v>702</v>
      </c>
      <c r="M567" s="3">
        <v>46190.522916666698</v>
      </c>
      <c r="N567" s="2" t="s">
        <v>751</v>
      </c>
      <c r="O567" s="3">
        <v>46210.522916666698</v>
      </c>
      <c r="P567" s="2" t="s">
        <v>751</v>
      </c>
      <c r="Q567" s="34"/>
      <c r="R567" s="1" t="s">
        <v>31</v>
      </c>
    </row>
    <row r="568" spans="2:18">
      <c r="B568" s="2" t="s">
        <v>2398</v>
      </c>
      <c r="C568" s="2" t="s">
        <v>1113</v>
      </c>
      <c r="D568" s="1">
        <v>1</v>
      </c>
      <c r="E568" s="2" t="s">
        <v>2399</v>
      </c>
      <c r="F568" s="2" t="s">
        <v>1301</v>
      </c>
      <c r="G568" s="45" t="s">
        <v>702</v>
      </c>
      <c r="H568" s="1">
        <v>1</v>
      </c>
      <c r="I568" s="43" t="s">
        <v>702</v>
      </c>
      <c r="J568" s="43" t="s">
        <v>702</v>
      </c>
      <c r="K568" s="30">
        <v>25000</v>
      </c>
      <c r="L568" s="43" t="s">
        <v>702</v>
      </c>
      <c r="M568" s="3">
        <v>46190.659722222197</v>
      </c>
      <c r="N568" s="2" t="s">
        <v>754</v>
      </c>
      <c r="O568" s="3">
        <v>46210.659722222197</v>
      </c>
      <c r="P568" s="2" t="s">
        <v>754</v>
      </c>
      <c r="Q568" s="34"/>
      <c r="R568" s="1" t="s">
        <v>31</v>
      </c>
    </row>
    <row r="569" spans="2:18">
      <c r="B569" s="2" t="s">
        <v>2400</v>
      </c>
      <c r="C569" s="2" t="s">
        <v>1113</v>
      </c>
      <c r="D569" s="1">
        <v>2</v>
      </c>
      <c r="E569" s="2" t="s">
        <v>2401</v>
      </c>
      <c r="F569" s="2" t="s">
        <v>1304</v>
      </c>
      <c r="G569" s="1">
        <v>1</v>
      </c>
      <c r="H569" s="45" t="s">
        <v>702</v>
      </c>
      <c r="I569" s="43" t="s">
        <v>702</v>
      </c>
      <c r="J569" s="43" t="s">
        <v>702</v>
      </c>
      <c r="K569" s="30">
        <v>6000</v>
      </c>
      <c r="L569" s="43" t="s">
        <v>702</v>
      </c>
      <c r="M569" s="3">
        <v>46190.659722222197</v>
      </c>
      <c r="N569" s="2" t="s">
        <v>754</v>
      </c>
      <c r="O569" s="3">
        <v>46210.659722222197</v>
      </c>
      <c r="P569" s="2" t="s">
        <v>754</v>
      </c>
      <c r="Q569" s="34"/>
      <c r="R569" s="1" t="s">
        <v>31</v>
      </c>
    </row>
    <row r="570" spans="2:18" ht="29" customHeight="1">
      <c r="B570" s="2" t="s">
        <v>2402</v>
      </c>
      <c r="C570" s="2" t="s">
        <v>1113</v>
      </c>
      <c r="D570" s="1">
        <v>3</v>
      </c>
      <c r="E570" s="2" t="s">
        <v>2403</v>
      </c>
      <c r="F570" s="2" t="s">
        <v>1307</v>
      </c>
      <c r="G570" s="45" t="s">
        <v>702</v>
      </c>
      <c r="H570" s="45">
        <v>3</v>
      </c>
      <c r="I570" s="43" t="s">
        <v>702</v>
      </c>
      <c r="J570" s="43" t="s">
        <v>702</v>
      </c>
      <c r="K570" s="30">
        <v>90000</v>
      </c>
      <c r="L570" s="43" t="s">
        <v>702</v>
      </c>
      <c r="M570" s="3">
        <v>46190.659722222197</v>
      </c>
      <c r="N570" s="2" t="s">
        <v>754</v>
      </c>
      <c r="O570" s="3">
        <v>46210.659722222197</v>
      </c>
      <c r="P570" s="2" t="s">
        <v>754</v>
      </c>
      <c r="Q570" s="34"/>
      <c r="R570" s="1" t="s">
        <v>31</v>
      </c>
    </row>
    <row r="571" spans="2:18" ht="29" customHeight="1">
      <c r="B571" s="2" t="s">
        <v>2404</v>
      </c>
      <c r="C571" s="2" t="s">
        <v>1113</v>
      </c>
      <c r="D571" s="1">
        <v>4</v>
      </c>
      <c r="E571" s="2" t="s">
        <v>2405</v>
      </c>
      <c r="F571" s="2" t="s">
        <v>1310</v>
      </c>
      <c r="G571" s="45">
        <v>5</v>
      </c>
      <c r="H571" s="45" t="s">
        <v>702</v>
      </c>
      <c r="I571" s="43" t="s">
        <v>702</v>
      </c>
      <c r="J571" s="43" t="s">
        <v>702</v>
      </c>
      <c r="K571" s="30">
        <v>60000</v>
      </c>
      <c r="L571" s="43" t="s">
        <v>702</v>
      </c>
      <c r="M571" s="3">
        <v>46190.659722222197</v>
      </c>
      <c r="N571" s="2" t="s">
        <v>754</v>
      </c>
      <c r="O571" s="3">
        <v>46210.659722222197</v>
      </c>
      <c r="P571" s="2" t="s">
        <v>754</v>
      </c>
      <c r="Q571" s="34"/>
      <c r="R571" s="1" t="s">
        <v>31</v>
      </c>
    </row>
    <row r="572" spans="2:18">
      <c r="B572" s="2" t="s">
        <v>2406</v>
      </c>
      <c r="C572" s="2" t="s">
        <v>1115</v>
      </c>
      <c r="D572" s="1">
        <v>1</v>
      </c>
      <c r="E572" s="2" t="s">
        <v>2407</v>
      </c>
      <c r="F572" s="2" t="s">
        <v>1313</v>
      </c>
      <c r="G572" s="1">
        <v>12</v>
      </c>
      <c r="H572" s="45" t="s">
        <v>702</v>
      </c>
      <c r="I572" s="43" t="s">
        <v>702</v>
      </c>
      <c r="J572" s="43" t="s">
        <v>702</v>
      </c>
      <c r="K572" s="30">
        <v>150000</v>
      </c>
      <c r="L572" s="43" t="s">
        <v>702</v>
      </c>
      <c r="M572" s="3">
        <v>46191.421527777798</v>
      </c>
      <c r="N572" s="2" t="s">
        <v>757</v>
      </c>
      <c r="O572" s="3">
        <v>46211.421527777798</v>
      </c>
      <c r="P572" s="2" t="s">
        <v>757</v>
      </c>
      <c r="Q572" s="34"/>
      <c r="R572" s="1" t="s">
        <v>31</v>
      </c>
    </row>
    <row r="573" spans="2:18" ht="29" customHeight="1">
      <c r="B573" s="2" t="s">
        <v>2408</v>
      </c>
      <c r="C573" s="2" t="s">
        <v>1115</v>
      </c>
      <c r="D573" s="1">
        <v>2</v>
      </c>
      <c r="E573" s="2" t="s">
        <v>2409</v>
      </c>
      <c r="F573" s="2" t="s">
        <v>1316</v>
      </c>
      <c r="G573" s="45" t="s">
        <v>702</v>
      </c>
      <c r="H573" s="1">
        <v>3</v>
      </c>
      <c r="I573" s="43" t="s">
        <v>702</v>
      </c>
      <c r="J573" s="43" t="s">
        <v>702</v>
      </c>
      <c r="K573" s="30">
        <v>150000</v>
      </c>
      <c r="L573" s="43" t="s">
        <v>702</v>
      </c>
      <c r="M573" s="3">
        <v>46191.421527777798</v>
      </c>
      <c r="N573" s="2" t="s">
        <v>757</v>
      </c>
      <c r="O573" s="3">
        <v>46211.421527777798</v>
      </c>
      <c r="P573" s="2" t="s">
        <v>757</v>
      </c>
      <c r="Q573" s="34"/>
      <c r="R573" s="1" t="s">
        <v>31</v>
      </c>
    </row>
    <row r="574" spans="2:18" ht="29" customHeight="1">
      <c r="B574" s="2" t="s">
        <v>2410</v>
      </c>
      <c r="C574" s="2" t="s">
        <v>1115</v>
      </c>
      <c r="D574" s="1">
        <v>3</v>
      </c>
      <c r="E574" s="2" t="s">
        <v>2411</v>
      </c>
      <c r="F574" s="2" t="s">
        <v>1319</v>
      </c>
      <c r="G574" s="1">
        <v>4</v>
      </c>
      <c r="H574" s="45" t="s">
        <v>702</v>
      </c>
      <c r="I574" s="43" t="s">
        <v>702</v>
      </c>
      <c r="J574" s="43" t="s">
        <v>702</v>
      </c>
      <c r="K574" s="30">
        <v>70000</v>
      </c>
      <c r="L574" s="43" t="s">
        <v>702</v>
      </c>
      <c r="M574" s="3">
        <v>46191.421527777798</v>
      </c>
      <c r="N574" s="2" t="s">
        <v>757</v>
      </c>
      <c r="O574" s="3">
        <v>46211.421527777798</v>
      </c>
      <c r="P574" s="2" t="s">
        <v>757</v>
      </c>
      <c r="Q574" s="34"/>
      <c r="R574" s="1" t="s">
        <v>31</v>
      </c>
    </row>
    <row r="575" spans="2:18">
      <c r="B575" s="2" t="s">
        <v>2412</v>
      </c>
      <c r="C575" s="2" t="s">
        <v>1115</v>
      </c>
      <c r="D575" s="1">
        <v>4</v>
      </c>
      <c r="E575" s="2" t="s">
        <v>2413</v>
      </c>
      <c r="F575" s="2" t="s">
        <v>1259</v>
      </c>
      <c r="G575" s="45" t="s">
        <v>702</v>
      </c>
      <c r="H575" s="1">
        <v>2</v>
      </c>
      <c r="I575" s="43" t="s">
        <v>702</v>
      </c>
      <c r="J575" s="43" t="s">
        <v>702</v>
      </c>
      <c r="K575" s="30">
        <v>70000</v>
      </c>
      <c r="L575" s="43" t="s">
        <v>702</v>
      </c>
      <c r="M575" s="3">
        <v>46191.421527777798</v>
      </c>
      <c r="N575" s="2" t="s">
        <v>757</v>
      </c>
      <c r="O575" s="3">
        <v>46211.421527777798</v>
      </c>
      <c r="P575" s="2" t="s">
        <v>757</v>
      </c>
      <c r="Q575" s="34"/>
      <c r="R575" s="1" t="s">
        <v>31</v>
      </c>
    </row>
    <row r="576" spans="2:18" ht="29" customHeight="1">
      <c r="B576" s="2" t="s">
        <v>2414</v>
      </c>
      <c r="C576" s="2" t="s">
        <v>1117</v>
      </c>
      <c r="D576" s="1">
        <v>1</v>
      </c>
      <c r="E576" s="2" t="s">
        <v>2415</v>
      </c>
      <c r="F576" s="2" t="s">
        <v>1262</v>
      </c>
      <c r="G576" s="45" t="s">
        <v>702</v>
      </c>
      <c r="H576" s="45">
        <v>3</v>
      </c>
      <c r="I576" s="43" t="s">
        <v>702</v>
      </c>
      <c r="J576" s="43" t="s">
        <v>702</v>
      </c>
      <c r="K576" s="30">
        <v>127500</v>
      </c>
      <c r="L576" s="43" t="s">
        <v>702</v>
      </c>
      <c r="M576" s="3">
        <v>46191.516666666699</v>
      </c>
      <c r="N576" s="2" t="s">
        <v>760</v>
      </c>
      <c r="O576" s="3">
        <v>46211.516666666699</v>
      </c>
      <c r="P576" s="2" t="s">
        <v>760</v>
      </c>
      <c r="Q576" s="34"/>
      <c r="R576" s="1" t="s">
        <v>31</v>
      </c>
    </row>
    <row r="577" spans="2:18" ht="29" customHeight="1">
      <c r="B577" s="2" t="s">
        <v>2416</v>
      </c>
      <c r="C577" s="2" t="s">
        <v>1117</v>
      </c>
      <c r="D577" s="1">
        <v>2</v>
      </c>
      <c r="E577" s="2" t="s">
        <v>2417</v>
      </c>
      <c r="F577" s="2" t="s">
        <v>1265</v>
      </c>
      <c r="G577" s="1">
        <v>3</v>
      </c>
      <c r="H577" s="45" t="s">
        <v>702</v>
      </c>
      <c r="I577" s="43" t="s">
        <v>702</v>
      </c>
      <c r="J577" s="43" t="s">
        <v>702</v>
      </c>
      <c r="K577" s="30">
        <v>52500</v>
      </c>
      <c r="L577" s="43" t="s">
        <v>702</v>
      </c>
      <c r="M577" s="3">
        <v>46191.516666666699</v>
      </c>
      <c r="N577" s="2" t="s">
        <v>760</v>
      </c>
      <c r="O577" s="3">
        <v>46211.516666666699</v>
      </c>
      <c r="P577" s="2" t="s">
        <v>760</v>
      </c>
      <c r="Q577" s="34"/>
      <c r="R577" s="1" t="s">
        <v>31</v>
      </c>
    </row>
    <row r="578" spans="2:18">
      <c r="B578" s="2" t="s">
        <v>2418</v>
      </c>
      <c r="C578" s="2" t="s">
        <v>1117</v>
      </c>
      <c r="D578" s="1">
        <v>3</v>
      </c>
      <c r="E578" s="2" t="s">
        <v>2419</v>
      </c>
      <c r="F578" s="2" t="s">
        <v>1268</v>
      </c>
      <c r="G578" s="45" t="s">
        <v>702</v>
      </c>
      <c r="H578" s="1">
        <v>2</v>
      </c>
      <c r="I578" s="43" t="s">
        <v>702</v>
      </c>
      <c r="J578" s="43" t="s">
        <v>702</v>
      </c>
      <c r="K578" s="30">
        <v>50000</v>
      </c>
      <c r="L578" s="43" t="s">
        <v>702</v>
      </c>
      <c r="M578" s="3">
        <v>46191.516666666699</v>
      </c>
      <c r="N578" s="2" t="s">
        <v>760</v>
      </c>
      <c r="O578" s="3">
        <v>46211.516666666699</v>
      </c>
      <c r="P578" s="2" t="s">
        <v>760</v>
      </c>
      <c r="Q578" s="34"/>
      <c r="R578" s="1" t="s">
        <v>31</v>
      </c>
    </row>
    <row r="579" spans="2:18">
      <c r="B579" s="2" t="s">
        <v>2420</v>
      </c>
      <c r="C579" s="2" t="s">
        <v>1117</v>
      </c>
      <c r="D579" s="1">
        <v>4</v>
      </c>
      <c r="E579" s="2" t="s">
        <v>2421</v>
      </c>
      <c r="F579" s="2" t="s">
        <v>1271</v>
      </c>
      <c r="G579" s="1">
        <v>7</v>
      </c>
      <c r="H579" s="45" t="s">
        <v>702</v>
      </c>
      <c r="I579" s="43" t="s">
        <v>702</v>
      </c>
      <c r="J579" s="43" t="s">
        <v>702</v>
      </c>
      <c r="K579" s="30">
        <v>70000</v>
      </c>
      <c r="L579" s="43" t="s">
        <v>702</v>
      </c>
      <c r="M579" s="3">
        <v>46191.516666666699</v>
      </c>
      <c r="N579" s="2" t="s">
        <v>760</v>
      </c>
      <c r="O579" s="3">
        <v>46211.516666666699</v>
      </c>
      <c r="P579" s="2" t="s">
        <v>760</v>
      </c>
      <c r="Q579" s="34"/>
      <c r="R579" s="1" t="s">
        <v>31</v>
      </c>
    </row>
    <row r="580" spans="2:18" ht="29" customHeight="1">
      <c r="B580" s="2" t="s">
        <v>2422</v>
      </c>
      <c r="C580" s="2" t="s">
        <v>1119</v>
      </c>
      <c r="D580" s="1">
        <v>1</v>
      </c>
      <c r="E580" s="2" t="s">
        <v>2423</v>
      </c>
      <c r="F580" s="2" t="s">
        <v>1274</v>
      </c>
      <c r="G580" s="45">
        <v>2</v>
      </c>
      <c r="H580" s="45" t="s">
        <v>702</v>
      </c>
      <c r="I580" s="43" t="s">
        <v>702</v>
      </c>
      <c r="J580" s="43" t="s">
        <v>702</v>
      </c>
      <c r="K580" s="30">
        <v>25000</v>
      </c>
      <c r="L580" s="43" t="s">
        <v>702</v>
      </c>
      <c r="M580" s="3">
        <v>46191.653472222199</v>
      </c>
      <c r="N580" s="2" t="s">
        <v>763</v>
      </c>
      <c r="O580" s="3">
        <v>46211.653472222199</v>
      </c>
      <c r="P580" s="2" t="s">
        <v>763</v>
      </c>
      <c r="Q580" s="34"/>
      <c r="R580" s="1" t="s">
        <v>31</v>
      </c>
    </row>
    <row r="581" spans="2:18">
      <c r="B581" s="2" t="s">
        <v>2424</v>
      </c>
      <c r="C581" s="2" t="s">
        <v>1119</v>
      </c>
      <c r="D581" s="1">
        <v>2</v>
      </c>
      <c r="E581" s="2" t="s">
        <v>2425</v>
      </c>
      <c r="F581" s="2" t="s">
        <v>1277</v>
      </c>
      <c r="G581" s="45" t="s">
        <v>702</v>
      </c>
      <c r="H581" s="45">
        <v>2</v>
      </c>
      <c r="I581" s="43" t="s">
        <v>702</v>
      </c>
      <c r="J581" s="43" t="s">
        <v>702</v>
      </c>
      <c r="K581" s="30">
        <v>70000</v>
      </c>
      <c r="L581" s="43" t="s">
        <v>702</v>
      </c>
      <c r="M581" s="3">
        <v>46191.653472222199</v>
      </c>
      <c r="N581" s="2" t="s">
        <v>763</v>
      </c>
      <c r="O581" s="3">
        <v>46211.653472222199</v>
      </c>
      <c r="P581" s="2" t="s">
        <v>763</v>
      </c>
      <c r="Q581" s="34"/>
      <c r="R581" s="1" t="s">
        <v>31</v>
      </c>
    </row>
    <row r="582" spans="2:18">
      <c r="B582" s="2" t="s">
        <v>2426</v>
      </c>
      <c r="C582" s="2" t="s">
        <v>1119</v>
      </c>
      <c r="D582" s="1">
        <v>3</v>
      </c>
      <c r="E582" s="2" t="s">
        <v>2427</v>
      </c>
      <c r="F582" s="2" t="s">
        <v>1280</v>
      </c>
      <c r="G582" s="45">
        <v>6</v>
      </c>
      <c r="H582" s="45" t="s">
        <v>702</v>
      </c>
      <c r="I582" s="43" t="s">
        <v>702</v>
      </c>
      <c r="J582" s="43" t="s">
        <v>702</v>
      </c>
      <c r="K582" s="30">
        <v>90000</v>
      </c>
      <c r="L582" s="43" t="s">
        <v>702</v>
      </c>
      <c r="M582" s="3">
        <v>46191.653472222199</v>
      </c>
      <c r="N582" s="2" t="s">
        <v>763</v>
      </c>
      <c r="O582" s="3">
        <v>46211.653472222199</v>
      </c>
      <c r="P582" s="2" t="s">
        <v>763</v>
      </c>
      <c r="Q582" s="34"/>
      <c r="R582" s="1" t="s">
        <v>31</v>
      </c>
    </row>
    <row r="583" spans="2:18">
      <c r="B583" s="2" t="s">
        <v>2428</v>
      </c>
      <c r="C583" s="2" t="s">
        <v>1119</v>
      </c>
      <c r="D583" s="1">
        <v>4</v>
      </c>
      <c r="E583" s="2" t="s">
        <v>2429</v>
      </c>
      <c r="F583" s="2" t="s">
        <v>1283</v>
      </c>
      <c r="G583" s="45" t="s">
        <v>702</v>
      </c>
      <c r="H583" s="45">
        <v>1</v>
      </c>
      <c r="I583" s="43" t="s">
        <v>702</v>
      </c>
      <c r="J583" s="43" t="s">
        <v>702</v>
      </c>
      <c r="K583" s="30">
        <v>50000</v>
      </c>
      <c r="L583" s="43" t="s">
        <v>702</v>
      </c>
      <c r="M583" s="3">
        <v>46191.653472222199</v>
      </c>
      <c r="N583" s="2" t="s">
        <v>763</v>
      </c>
      <c r="O583" s="3">
        <v>46211.653472222199</v>
      </c>
      <c r="P583" s="2" t="s">
        <v>763</v>
      </c>
      <c r="Q583" s="34"/>
      <c r="R583" s="1" t="s">
        <v>31</v>
      </c>
    </row>
    <row r="584" spans="2:18">
      <c r="B584" s="2" t="s">
        <v>2430</v>
      </c>
      <c r="C584" s="2" t="s">
        <v>1121</v>
      </c>
      <c r="D584" s="1">
        <v>1</v>
      </c>
      <c r="E584" s="2" t="s">
        <v>2431</v>
      </c>
      <c r="F584" s="2" t="s">
        <v>1286</v>
      </c>
      <c r="G584" s="45" t="s">
        <v>702</v>
      </c>
      <c r="H584" s="1">
        <v>2</v>
      </c>
      <c r="I584" s="43" t="s">
        <v>702</v>
      </c>
      <c r="J584" s="43" t="s">
        <v>702</v>
      </c>
      <c r="K584" s="30">
        <v>60000</v>
      </c>
      <c r="L584" s="43" t="s">
        <v>702</v>
      </c>
      <c r="M584" s="3">
        <v>46192.4152777778</v>
      </c>
      <c r="N584" s="2" t="s">
        <v>766</v>
      </c>
      <c r="O584" s="3">
        <v>46212.4152777778</v>
      </c>
      <c r="P584" s="2" t="s">
        <v>766</v>
      </c>
      <c r="Q584" s="34"/>
      <c r="R584" s="1" t="s">
        <v>31</v>
      </c>
    </row>
    <row r="585" spans="2:18">
      <c r="B585" s="2" t="s">
        <v>2432</v>
      </c>
      <c r="C585" s="2" t="s">
        <v>1121</v>
      </c>
      <c r="D585" s="1">
        <v>2</v>
      </c>
      <c r="E585" s="2" t="s">
        <v>2433</v>
      </c>
      <c r="F585" s="2" t="s">
        <v>1289</v>
      </c>
      <c r="G585" s="1">
        <v>5</v>
      </c>
      <c r="H585" s="45" t="s">
        <v>702</v>
      </c>
      <c r="I585" s="43" t="s">
        <v>702</v>
      </c>
      <c r="J585" s="43" t="s">
        <v>702</v>
      </c>
      <c r="K585" s="30">
        <v>62500</v>
      </c>
      <c r="L585" s="43" t="s">
        <v>702</v>
      </c>
      <c r="M585" s="3">
        <v>46192.4152777778</v>
      </c>
      <c r="N585" s="2" t="s">
        <v>766</v>
      </c>
      <c r="O585" s="3">
        <v>46212.4152777778</v>
      </c>
      <c r="P585" s="2" t="s">
        <v>766</v>
      </c>
      <c r="Q585" s="34"/>
      <c r="R585" s="1" t="s">
        <v>31</v>
      </c>
    </row>
    <row r="586" spans="2:18">
      <c r="B586" s="2" t="s">
        <v>2434</v>
      </c>
      <c r="C586" s="2" t="s">
        <v>1121</v>
      </c>
      <c r="D586" s="1">
        <v>3</v>
      </c>
      <c r="E586" s="2" t="s">
        <v>2435</v>
      </c>
      <c r="F586" s="2" t="s">
        <v>1292</v>
      </c>
      <c r="G586" s="45" t="s">
        <v>702</v>
      </c>
      <c r="H586" s="1">
        <v>1</v>
      </c>
      <c r="I586" s="43" t="s">
        <v>702</v>
      </c>
      <c r="J586" s="43" t="s">
        <v>702</v>
      </c>
      <c r="K586" s="30">
        <v>50000</v>
      </c>
      <c r="L586" s="43" t="s">
        <v>702</v>
      </c>
      <c r="M586" s="3">
        <v>46192.4152777778</v>
      </c>
      <c r="N586" s="2" t="s">
        <v>766</v>
      </c>
      <c r="O586" s="3">
        <v>46212.4152777778</v>
      </c>
      <c r="P586" s="2" t="s">
        <v>766</v>
      </c>
      <c r="Q586" s="34"/>
      <c r="R586" s="1" t="s">
        <v>31</v>
      </c>
    </row>
    <row r="587" spans="2:18">
      <c r="B587" s="2" t="s">
        <v>2436</v>
      </c>
      <c r="C587" s="2" t="s">
        <v>1121</v>
      </c>
      <c r="D587" s="1">
        <v>4</v>
      </c>
      <c r="E587" s="2" t="s">
        <v>2437</v>
      </c>
      <c r="F587" s="2" t="s">
        <v>1295</v>
      </c>
      <c r="G587" s="1">
        <v>9</v>
      </c>
      <c r="H587" s="45" t="s">
        <v>702</v>
      </c>
      <c r="I587" s="43" t="s">
        <v>702</v>
      </c>
      <c r="J587" s="43" t="s">
        <v>702</v>
      </c>
      <c r="K587" s="30">
        <v>27000</v>
      </c>
      <c r="L587" s="43" t="s">
        <v>702</v>
      </c>
      <c r="M587" s="3">
        <v>46192.4152777778</v>
      </c>
      <c r="N587" s="2" t="s">
        <v>766</v>
      </c>
      <c r="O587" s="3">
        <v>46212.4152777778</v>
      </c>
      <c r="P587" s="2" t="s">
        <v>766</v>
      </c>
      <c r="Q587" s="34"/>
      <c r="R587" s="1" t="s">
        <v>31</v>
      </c>
    </row>
    <row r="588" spans="2:18">
      <c r="B588" s="2" t="s">
        <v>2438</v>
      </c>
      <c r="C588" s="2" t="s">
        <v>1123</v>
      </c>
      <c r="D588" s="1">
        <v>1</v>
      </c>
      <c r="E588" s="2" t="s">
        <v>2439</v>
      </c>
      <c r="F588" s="2" t="s">
        <v>1298</v>
      </c>
      <c r="G588" s="1">
        <v>4</v>
      </c>
      <c r="H588" s="45" t="s">
        <v>702</v>
      </c>
      <c r="I588" s="43" t="s">
        <v>702</v>
      </c>
      <c r="J588" s="43" t="s">
        <v>702</v>
      </c>
      <c r="K588" s="30">
        <v>20000</v>
      </c>
      <c r="L588" s="43" t="s">
        <v>702</v>
      </c>
      <c r="M588" s="3">
        <v>46192.510416666701</v>
      </c>
      <c r="N588" s="2" t="s">
        <v>769</v>
      </c>
      <c r="O588" s="3">
        <v>46212.510416666701</v>
      </c>
      <c r="P588" s="2" t="s">
        <v>769</v>
      </c>
      <c r="Q588" s="34"/>
      <c r="R588" s="1" t="s">
        <v>31</v>
      </c>
    </row>
    <row r="589" spans="2:18">
      <c r="B589" s="2" t="s">
        <v>2440</v>
      </c>
      <c r="C589" s="2" t="s">
        <v>1123</v>
      </c>
      <c r="D589" s="1">
        <v>2</v>
      </c>
      <c r="E589" s="2" t="s">
        <v>2441</v>
      </c>
      <c r="F589" s="2" t="s">
        <v>1301</v>
      </c>
      <c r="G589" s="45" t="s">
        <v>702</v>
      </c>
      <c r="H589" s="1">
        <v>1</v>
      </c>
      <c r="I589" s="43" t="s">
        <v>702</v>
      </c>
      <c r="J589" s="43" t="s">
        <v>702</v>
      </c>
      <c r="K589" s="30">
        <v>25000</v>
      </c>
      <c r="L589" s="43" t="s">
        <v>702</v>
      </c>
      <c r="M589" s="3">
        <v>46192.510416666701</v>
      </c>
      <c r="N589" s="2" t="s">
        <v>769</v>
      </c>
      <c r="O589" s="3">
        <v>46212.510416666701</v>
      </c>
      <c r="P589" s="2" t="s">
        <v>769</v>
      </c>
      <c r="Q589" s="34"/>
      <c r="R589" s="1" t="s">
        <v>31</v>
      </c>
    </row>
    <row r="590" spans="2:18">
      <c r="B590" s="2" t="s">
        <v>2442</v>
      </c>
      <c r="C590" s="2" t="s">
        <v>1123</v>
      </c>
      <c r="D590" s="1">
        <v>3</v>
      </c>
      <c r="E590" s="2" t="s">
        <v>2443</v>
      </c>
      <c r="F590" s="2" t="s">
        <v>1304</v>
      </c>
      <c r="G590" s="1">
        <v>8</v>
      </c>
      <c r="H590" s="45" t="s">
        <v>702</v>
      </c>
      <c r="I590" s="43" t="s">
        <v>702</v>
      </c>
      <c r="J590" s="43" t="s">
        <v>702</v>
      </c>
      <c r="K590" s="30">
        <v>48000</v>
      </c>
      <c r="L590" s="43" t="s">
        <v>702</v>
      </c>
      <c r="M590" s="3">
        <v>46192.510416666701</v>
      </c>
      <c r="N590" s="2" t="s">
        <v>769</v>
      </c>
      <c r="O590" s="3">
        <v>46212.510416666701</v>
      </c>
      <c r="P590" s="2" t="s">
        <v>769</v>
      </c>
      <c r="Q590" s="34"/>
      <c r="R590" s="1" t="s">
        <v>31</v>
      </c>
    </row>
    <row r="591" spans="2:18">
      <c r="B591" s="2" t="s">
        <v>2444</v>
      </c>
      <c r="C591" s="2" t="s">
        <v>1123</v>
      </c>
      <c r="D591" s="1">
        <v>4</v>
      </c>
      <c r="E591" s="2" t="s">
        <v>2445</v>
      </c>
      <c r="F591" s="2" t="s">
        <v>1307</v>
      </c>
      <c r="G591" s="45" t="s">
        <v>702</v>
      </c>
      <c r="H591" s="1">
        <v>3</v>
      </c>
      <c r="I591" s="43" t="s">
        <v>702</v>
      </c>
      <c r="J591" s="43" t="s">
        <v>702</v>
      </c>
      <c r="K591" s="30">
        <v>90000</v>
      </c>
      <c r="L591" s="43" t="s">
        <v>702</v>
      </c>
      <c r="M591" s="3">
        <v>46192.510416666701</v>
      </c>
      <c r="N591" s="2" t="s">
        <v>769</v>
      </c>
      <c r="O591" s="3">
        <v>46212.510416666701</v>
      </c>
      <c r="P591" s="2" t="s">
        <v>769</v>
      </c>
      <c r="Q591" s="34"/>
      <c r="R591" s="1" t="s">
        <v>31</v>
      </c>
    </row>
    <row r="592" spans="2:18">
      <c r="B592" s="2" t="s">
        <v>2446</v>
      </c>
      <c r="C592" s="2" t="s">
        <v>1125</v>
      </c>
      <c r="D592" s="1">
        <v>1</v>
      </c>
      <c r="E592" s="2" t="s">
        <v>2447</v>
      </c>
      <c r="F592" s="2" t="s">
        <v>1310</v>
      </c>
      <c r="G592" s="45" t="s">
        <v>702</v>
      </c>
      <c r="H592" s="45">
        <v>1</v>
      </c>
      <c r="I592" s="43" t="s">
        <v>702</v>
      </c>
      <c r="J592" s="43" t="s">
        <v>702</v>
      </c>
      <c r="K592" s="30">
        <v>40000</v>
      </c>
      <c r="L592" s="43" t="s">
        <v>702</v>
      </c>
      <c r="M592" s="3">
        <v>46193.6472222222</v>
      </c>
      <c r="N592" s="2" t="s">
        <v>772</v>
      </c>
      <c r="O592" s="3">
        <v>46213.6472222222</v>
      </c>
      <c r="P592" s="2" t="s">
        <v>772</v>
      </c>
      <c r="Q592" s="34"/>
      <c r="R592" s="1" t="s">
        <v>31</v>
      </c>
    </row>
    <row r="593" spans="2:18">
      <c r="B593" s="2" t="s">
        <v>2448</v>
      </c>
      <c r="C593" s="2" t="s">
        <v>1125</v>
      </c>
      <c r="D593" s="1">
        <v>2</v>
      </c>
      <c r="E593" s="2" t="s">
        <v>2449</v>
      </c>
      <c r="F593" s="2" t="s">
        <v>1313</v>
      </c>
      <c r="G593" s="45">
        <v>7</v>
      </c>
      <c r="H593" s="45" t="s">
        <v>702</v>
      </c>
      <c r="I593" s="43" t="s">
        <v>702</v>
      </c>
      <c r="J593" s="43" t="s">
        <v>702</v>
      </c>
      <c r="K593" s="30">
        <v>87500</v>
      </c>
      <c r="L593" s="43" t="s">
        <v>702</v>
      </c>
      <c r="M593" s="3">
        <v>46193.6472222222</v>
      </c>
      <c r="N593" s="2" t="s">
        <v>772</v>
      </c>
      <c r="O593" s="3">
        <v>46213.6472222222</v>
      </c>
      <c r="P593" s="2" t="s">
        <v>772</v>
      </c>
      <c r="Q593" s="34"/>
      <c r="R593" s="1" t="s">
        <v>31</v>
      </c>
    </row>
    <row r="594" spans="2:18">
      <c r="B594" s="2" t="s">
        <v>2450</v>
      </c>
      <c r="C594" s="2" t="s">
        <v>1125</v>
      </c>
      <c r="D594" s="1">
        <v>3</v>
      </c>
      <c r="E594" s="2" t="s">
        <v>2451</v>
      </c>
      <c r="F594" s="2" t="s">
        <v>1316</v>
      </c>
      <c r="G594" s="45" t="s">
        <v>702</v>
      </c>
      <c r="H594" s="45">
        <v>3</v>
      </c>
      <c r="I594" s="43" t="s">
        <v>702</v>
      </c>
      <c r="J594" s="43" t="s">
        <v>702</v>
      </c>
      <c r="K594" s="30">
        <v>150000</v>
      </c>
      <c r="L594" s="43" t="s">
        <v>702</v>
      </c>
      <c r="M594" s="3">
        <v>46193.6472222222</v>
      </c>
      <c r="N594" s="2" t="s">
        <v>772</v>
      </c>
      <c r="O594" s="3">
        <v>46213.6472222222</v>
      </c>
      <c r="P594" s="2" t="s">
        <v>772</v>
      </c>
      <c r="Q594" s="34"/>
      <c r="R594" s="1" t="s">
        <v>31</v>
      </c>
    </row>
    <row r="595" spans="2:18">
      <c r="B595" s="2" t="s">
        <v>2452</v>
      </c>
      <c r="C595" s="2" t="s">
        <v>1125</v>
      </c>
      <c r="D595" s="1">
        <v>4</v>
      </c>
      <c r="E595" s="2" t="s">
        <v>2453</v>
      </c>
      <c r="F595" s="2" t="s">
        <v>1319</v>
      </c>
      <c r="G595" s="45">
        <v>11</v>
      </c>
      <c r="H595" s="45" t="s">
        <v>702</v>
      </c>
      <c r="I595" s="43" t="s">
        <v>702</v>
      </c>
      <c r="J595" s="43" t="s">
        <v>702</v>
      </c>
      <c r="K595" s="30">
        <v>192500</v>
      </c>
      <c r="L595" s="43" t="s">
        <v>702</v>
      </c>
      <c r="M595" s="3">
        <v>46193.6472222222</v>
      </c>
      <c r="N595" s="2" t="s">
        <v>772</v>
      </c>
      <c r="O595" s="3">
        <v>46213.6472222222</v>
      </c>
      <c r="P595" s="2" t="s">
        <v>772</v>
      </c>
      <c r="Q595" s="34"/>
      <c r="R595" s="1" t="s">
        <v>31</v>
      </c>
    </row>
    <row r="596" spans="2:18">
      <c r="B596" s="2" t="s">
        <v>2454</v>
      </c>
      <c r="C596" s="2" t="s">
        <v>1127</v>
      </c>
      <c r="D596" s="1">
        <v>1</v>
      </c>
      <c r="E596" s="2" t="s">
        <v>2455</v>
      </c>
      <c r="F596" s="2" t="s">
        <v>1259</v>
      </c>
      <c r="G596" s="1">
        <v>6</v>
      </c>
      <c r="H596" s="45" t="s">
        <v>702</v>
      </c>
      <c r="I596" s="43" t="s">
        <v>702</v>
      </c>
      <c r="J596" s="43" t="s">
        <v>702</v>
      </c>
      <c r="K596" s="30">
        <v>75000</v>
      </c>
      <c r="L596" s="43" t="s">
        <v>702</v>
      </c>
      <c r="M596" s="3">
        <v>46193.409027777801</v>
      </c>
      <c r="N596" s="2" t="s">
        <v>775</v>
      </c>
      <c r="O596" s="3">
        <v>46213.409027777801</v>
      </c>
      <c r="P596" s="2" t="s">
        <v>775</v>
      </c>
      <c r="Q596" s="34"/>
      <c r="R596" s="1" t="s">
        <v>31</v>
      </c>
    </row>
    <row r="597" spans="2:18">
      <c r="B597" s="2" t="s">
        <v>2456</v>
      </c>
      <c r="C597" s="2" t="s">
        <v>1127</v>
      </c>
      <c r="D597" s="1">
        <v>2</v>
      </c>
      <c r="E597" s="2" t="s">
        <v>2457</v>
      </c>
      <c r="F597" s="2" t="s">
        <v>1262</v>
      </c>
      <c r="G597" s="45" t="s">
        <v>702</v>
      </c>
      <c r="H597" s="1">
        <v>3</v>
      </c>
      <c r="I597" s="43" t="s">
        <v>702</v>
      </c>
      <c r="J597" s="43" t="s">
        <v>702</v>
      </c>
      <c r="K597" s="30">
        <v>127500</v>
      </c>
      <c r="L597" s="43" t="s">
        <v>702</v>
      </c>
      <c r="M597" s="3">
        <v>46193.409027777801</v>
      </c>
      <c r="N597" s="2" t="s">
        <v>775</v>
      </c>
      <c r="O597" s="3">
        <v>46213.409027777801</v>
      </c>
      <c r="P597" s="2" t="s">
        <v>775</v>
      </c>
      <c r="Q597" s="34"/>
      <c r="R597" s="1" t="s">
        <v>31</v>
      </c>
    </row>
    <row r="598" spans="2:18">
      <c r="B598" s="2" t="s">
        <v>2458</v>
      </c>
      <c r="C598" s="2" t="s">
        <v>1127</v>
      </c>
      <c r="D598" s="1">
        <v>3</v>
      </c>
      <c r="E598" s="2" t="s">
        <v>2459</v>
      </c>
      <c r="F598" s="2" t="s">
        <v>1265</v>
      </c>
      <c r="G598" s="1">
        <v>10</v>
      </c>
      <c r="H598" s="45" t="s">
        <v>702</v>
      </c>
      <c r="I598" s="43" t="s">
        <v>702</v>
      </c>
      <c r="J598" s="43" t="s">
        <v>702</v>
      </c>
      <c r="K598" s="30">
        <v>175000</v>
      </c>
      <c r="L598" s="43" t="s">
        <v>702</v>
      </c>
      <c r="M598" s="3">
        <v>46193.409027777801</v>
      </c>
      <c r="N598" s="2" t="s">
        <v>775</v>
      </c>
      <c r="O598" s="3">
        <v>46213.409027777801</v>
      </c>
      <c r="P598" s="2" t="s">
        <v>775</v>
      </c>
      <c r="Q598" s="34"/>
      <c r="R598" s="1" t="s">
        <v>31</v>
      </c>
    </row>
    <row r="599" spans="2:18" ht="29" customHeight="1">
      <c r="B599" s="2" t="s">
        <v>2460</v>
      </c>
      <c r="C599" s="2" t="s">
        <v>1127</v>
      </c>
      <c r="D599" s="1">
        <v>4</v>
      </c>
      <c r="E599" s="2" t="s">
        <v>2461</v>
      </c>
      <c r="F599" s="2" t="s">
        <v>1268</v>
      </c>
      <c r="G599" s="45" t="s">
        <v>702</v>
      </c>
      <c r="H599" s="1">
        <v>2</v>
      </c>
      <c r="I599" s="43" t="s">
        <v>702</v>
      </c>
      <c r="J599" s="43" t="s">
        <v>702</v>
      </c>
      <c r="K599" s="30">
        <v>50000</v>
      </c>
      <c r="L599" s="43" t="s">
        <v>702</v>
      </c>
      <c r="M599" s="3">
        <v>46193.409027777801</v>
      </c>
      <c r="N599" s="2" t="s">
        <v>775</v>
      </c>
      <c r="O599" s="3">
        <v>46213.409027777801</v>
      </c>
      <c r="P599" s="2" t="s">
        <v>775</v>
      </c>
      <c r="Q599" s="34"/>
      <c r="R599" s="1" t="s">
        <v>31</v>
      </c>
    </row>
    <row r="600" spans="2:18">
      <c r="B600" s="2" t="s">
        <v>2462</v>
      </c>
      <c r="C600" s="2" t="s">
        <v>1129</v>
      </c>
      <c r="D600" s="1">
        <v>1</v>
      </c>
      <c r="E600" s="2" t="s">
        <v>2463</v>
      </c>
      <c r="F600" s="2" t="s">
        <v>1271</v>
      </c>
      <c r="G600" s="45" t="s">
        <v>702</v>
      </c>
      <c r="H600" s="45">
        <v>3</v>
      </c>
      <c r="I600" s="43" t="s">
        <v>702</v>
      </c>
      <c r="J600" s="43" t="s">
        <v>702</v>
      </c>
      <c r="K600" s="30">
        <v>96000</v>
      </c>
      <c r="L600" s="43" t="s">
        <v>702</v>
      </c>
      <c r="M600" s="3">
        <v>46194.545833333301</v>
      </c>
      <c r="N600" s="2" t="s">
        <v>150</v>
      </c>
      <c r="O600" s="3">
        <v>46214.545833333301</v>
      </c>
      <c r="P600" s="2" t="s">
        <v>150</v>
      </c>
      <c r="Q600" s="34"/>
      <c r="R600" s="1" t="s">
        <v>31</v>
      </c>
    </row>
    <row r="601" spans="2:18">
      <c r="B601" s="2" t="s">
        <v>2464</v>
      </c>
      <c r="C601" s="2" t="s">
        <v>1129</v>
      </c>
      <c r="D601" s="1">
        <v>2</v>
      </c>
      <c r="E601" s="2" t="s">
        <v>2465</v>
      </c>
      <c r="F601" s="2" t="s">
        <v>1274</v>
      </c>
      <c r="G601" s="45">
        <v>9</v>
      </c>
      <c r="H601" s="45" t="s">
        <v>702</v>
      </c>
      <c r="I601" s="43" t="s">
        <v>702</v>
      </c>
      <c r="J601" s="43" t="s">
        <v>702</v>
      </c>
      <c r="K601" s="30">
        <v>112500</v>
      </c>
      <c r="L601" s="43" t="s">
        <v>702</v>
      </c>
      <c r="M601" s="3">
        <v>46194.545833333301</v>
      </c>
      <c r="N601" s="2" t="s">
        <v>150</v>
      </c>
      <c r="O601" s="3">
        <v>46214.545833333301</v>
      </c>
      <c r="P601" s="2" t="s">
        <v>150</v>
      </c>
      <c r="Q601" s="34"/>
      <c r="R601" s="1" t="s">
        <v>31</v>
      </c>
    </row>
    <row r="602" spans="2:18" ht="29" customHeight="1">
      <c r="B602" s="2" t="s">
        <v>2466</v>
      </c>
      <c r="C602" s="2" t="s">
        <v>1129</v>
      </c>
      <c r="D602" s="1">
        <v>3</v>
      </c>
      <c r="E602" s="2" t="s">
        <v>2467</v>
      </c>
      <c r="F602" s="2" t="s">
        <v>1277</v>
      </c>
      <c r="G602" s="45" t="s">
        <v>702</v>
      </c>
      <c r="H602" s="45">
        <v>2</v>
      </c>
      <c r="I602" s="43" t="s">
        <v>702</v>
      </c>
      <c r="J602" s="43" t="s">
        <v>702</v>
      </c>
      <c r="K602" s="30">
        <v>70000</v>
      </c>
      <c r="L602" s="43" t="s">
        <v>702</v>
      </c>
      <c r="M602" s="3">
        <v>46194.545833333301</v>
      </c>
      <c r="N602" s="2" t="s">
        <v>150</v>
      </c>
      <c r="O602" s="3">
        <v>46214.545833333301</v>
      </c>
      <c r="P602" s="2" t="s">
        <v>150</v>
      </c>
      <c r="Q602" s="34"/>
      <c r="R602" s="1" t="s">
        <v>31</v>
      </c>
    </row>
    <row r="603" spans="2:18">
      <c r="B603" s="2" t="s">
        <v>2468</v>
      </c>
      <c r="C603" s="2" t="s">
        <v>1129</v>
      </c>
      <c r="D603" s="1">
        <v>4</v>
      </c>
      <c r="E603" s="2" t="s">
        <v>2469</v>
      </c>
      <c r="F603" s="2" t="s">
        <v>1280</v>
      </c>
      <c r="G603" s="1">
        <v>1</v>
      </c>
      <c r="H603" s="45" t="s">
        <v>702</v>
      </c>
      <c r="I603" s="43" t="s">
        <v>702</v>
      </c>
      <c r="J603" s="43" t="s">
        <v>702</v>
      </c>
      <c r="K603" s="30">
        <v>15000</v>
      </c>
      <c r="L603" s="43" t="s">
        <v>702</v>
      </c>
      <c r="M603" s="3">
        <v>46194.545833333301</v>
      </c>
      <c r="N603" s="2" t="s">
        <v>150</v>
      </c>
      <c r="O603" s="3">
        <v>46214.545833333301</v>
      </c>
      <c r="P603" s="2" t="s">
        <v>150</v>
      </c>
      <c r="Q603" s="34"/>
      <c r="R603" s="1" t="s">
        <v>31</v>
      </c>
    </row>
    <row r="604" spans="2:18">
      <c r="B604" s="2" t="s">
        <v>2470</v>
      </c>
      <c r="C604" s="2" t="s">
        <v>1131</v>
      </c>
      <c r="D604" s="1">
        <v>1</v>
      </c>
      <c r="E604" s="2" t="s">
        <v>2471</v>
      </c>
      <c r="F604" s="2" t="s">
        <v>1283</v>
      </c>
      <c r="G604" s="45">
        <v>8</v>
      </c>
      <c r="H604" s="45" t="s">
        <v>702</v>
      </c>
      <c r="I604" s="43" t="s">
        <v>702</v>
      </c>
      <c r="J604" s="43" t="s">
        <v>702</v>
      </c>
      <c r="K604" s="30">
        <v>140000</v>
      </c>
      <c r="L604" s="43" t="s">
        <v>702</v>
      </c>
      <c r="M604" s="3">
        <v>46194.640972222202</v>
      </c>
      <c r="N604" s="2" t="s">
        <v>154</v>
      </c>
      <c r="O604" s="3">
        <v>46214.640972222202</v>
      </c>
      <c r="P604" s="2" t="s">
        <v>154</v>
      </c>
      <c r="Q604" s="34"/>
      <c r="R604" s="1" t="s">
        <v>31</v>
      </c>
    </row>
    <row r="605" spans="2:18" ht="29" customHeight="1">
      <c r="B605" s="2" t="s">
        <v>2472</v>
      </c>
      <c r="C605" s="2" t="s">
        <v>1131</v>
      </c>
      <c r="D605" s="1">
        <v>2</v>
      </c>
      <c r="E605" s="2" t="s">
        <v>2473</v>
      </c>
      <c r="F605" s="2" t="s">
        <v>1286</v>
      </c>
      <c r="G605" s="45" t="s">
        <v>702</v>
      </c>
      <c r="H605" s="1">
        <v>2</v>
      </c>
      <c r="I605" s="43" t="s">
        <v>702</v>
      </c>
      <c r="J605" s="43" t="s">
        <v>702</v>
      </c>
      <c r="K605" s="30">
        <v>60000</v>
      </c>
      <c r="L605" s="43" t="s">
        <v>702</v>
      </c>
      <c r="M605" s="3">
        <v>46194.640972222202</v>
      </c>
      <c r="N605" s="2" t="s">
        <v>154</v>
      </c>
      <c r="O605" s="3">
        <v>46214.640972222202</v>
      </c>
      <c r="P605" s="2" t="s">
        <v>154</v>
      </c>
      <c r="Q605" s="34"/>
      <c r="R605" s="1" t="s">
        <v>31</v>
      </c>
    </row>
    <row r="606" spans="2:18">
      <c r="B606" s="2" t="s">
        <v>2474</v>
      </c>
      <c r="C606" s="2" t="s">
        <v>1131</v>
      </c>
      <c r="D606" s="1">
        <v>3</v>
      </c>
      <c r="E606" s="2" t="s">
        <v>2475</v>
      </c>
      <c r="F606" s="2" t="s">
        <v>1289</v>
      </c>
      <c r="G606" s="1">
        <v>12</v>
      </c>
      <c r="H606" s="45" t="s">
        <v>702</v>
      </c>
      <c r="I606" s="43" t="s">
        <v>702</v>
      </c>
      <c r="J606" s="43" t="s">
        <v>702</v>
      </c>
      <c r="K606" s="30">
        <v>150000</v>
      </c>
      <c r="L606" s="43" t="s">
        <v>702</v>
      </c>
      <c r="M606" s="3">
        <v>46194.640972222202</v>
      </c>
      <c r="N606" s="2" t="s">
        <v>154</v>
      </c>
      <c r="O606" s="3">
        <v>46214.640972222202</v>
      </c>
      <c r="P606" s="2" t="s">
        <v>154</v>
      </c>
      <c r="Q606" s="34"/>
      <c r="R606" s="1" t="s">
        <v>31</v>
      </c>
    </row>
    <row r="607" spans="2:18">
      <c r="B607" s="2" t="s">
        <v>2476</v>
      </c>
      <c r="C607" s="2" t="s">
        <v>1131</v>
      </c>
      <c r="D607" s="1">
        <v>4</v>
      </c>
      <c r="E607" s="2" t="s">
        <v>2477</v>
      </c>
      <c r="F607" s="2" t="s">
        <v>1292</v>
      </c>
      <c r="G607" s="45" t="s">
        <v>702</v>
      </c>
      <c r="H607" s="1">
        <v>1</v>
      </c>
      <c r="I607" s="43" t="s">
        <v>702</v>
      </c>
      <c r="J607" s="43" t="s">
        <v>702</v>
      </c>
      <c r="K607" s="30">
        <v>50000</v>
      </c>
      <c r="L607" s="43" t="s">
        <v>702</v>
      </c>
      <c r="M607" s="3">
        <v>46194.640972222202</v>
      </c>
      <c r="N607" s="2" t="s">
        <v>154</v>
      </c>
      <c r="O607" s="3">
        <v>46214.640972222202</v>
      </c>
      <c r="P607" s="2" t="s">
        <v>154</v>
      </c>
      <c r="Q607" s="34"/>
      <c r="R607" s="1" t="s">
        <v>31</v>
      </c>
    </row>
    <row r="608" spans="2:18" ht="29" customHeight="1">
      <c r="B608" s="2" t="s">
        <v>2478</v>
      </c>
      <c r="C608" s="2" t="s">
        <v>1133</v>
      </c>
      <c r="D608" s="1">
        <v>1</v>
      </c>
      <c r="E608" s="2" t="s">
        <v>2479</v>
      </c>
      <c r="F608" s="2" t="s">
        <v>1295</v>
      </c>
      <c r="G608" s="45" t="s">
        <v>702</v>
      </c>
      <c r="H608" s="45">
        <v>2</v>
      </c>
      <c r="I608" s="43" t="s">
        <v>702</v>
      </c>
      <c r="J608" s="43" t="s">
        <v>702</v>
      </c>
      <c r="K608" s="30">
        <v>30000</v>
      </c>
      <c r="L608" s="43" t="s">
        <v>702</v>
      </c>
      <c r="M608" s="3">
        <v>46195.402777777803</v>
      </c>
      <c r="N608" s="2" t="s">
        <v>782</v>
      </c>
      <c r="O608" s="3">
        <v>46215.402777777803</v>
      </c>
      <c r="P608" s="2" t="s">
        <v>782</v>
      </c>
      <c r="Q608" s="34"/>
      <c r="R608" s="1" t="s">
        <v>31</v>
      </c>
    </row>
    <row r="609" spans="2:18">
      <c r="B609" s="2" t="s">
        <v>2480</v>
      </c>
      <c r="C609" s="2" t="s">
        <v>1133</v>
      </c>
      <c r="D609" s="1">
        <v>2</v>
      </c>
      <c r="E609" s="2" t="s">
        <v>2481</v>
      </c>
      <c r="F609" s="2" t="s">
        <v>1298</v>
      </c>
      <c r="G609" s="45">
        <v>11</v>
      </c>
      <c r="H609" s="45" t="s">
        <v>702</v>
      </c>
      <c r="I609" s="43" t="s">
        <v>702</v>
      </c>
      <c r="J609" s="43" t="s">
        <v>702</v>
      </c>
      <c r="K609" s="30">
        <v>55000</v>
      </c>
      <c r="L609" s="43" t="s">
        <v>702</v>
      </c>
      <c r="M609" s="3">
        <v>46195.402777777803</v>
      </c>
      <c r="N609" s="2" t="s">
        <v>782</v>
      </c>
      <c r="O609" s="3">
        <v>46215.402777777803</v>
      </c>
      <c r="P609" s="2" t="s">
        <v>782</v>
      </c>
      <c r="Q609" s="34"/>
      <c r="R609" s="1" t="s">
        <v>31</v>
      </c>
    </row>
    <row r="610" spans="2:18">
      <c r="B610" s="2" t="s">
        <v>2482</v>
      </c>
      <c r="C610" s="2" t="s">
        <v>1133</v>
      </c>
      <c r="D610" s="1">
        <v>3</v>
      </c>
      <c r="E610" s="2" t="s">
        <v>2483</v>
      </c>
      <c r="F610" s="2" t="s">
        <v>1301</v>
      </c>
      <c r="G610" s="45" t="s">
        <v>702</v>
      </c>
      <c r="H610" s="45">
        <v>1</v>
      </c>
      <c r="I610" s="43" t="s">
        <v>702</v>
      </c>
      <c r="J610" s="43" t="s">
        <v>702</v>
      </c>
      <c r="K610" s="30">
        <v>25000</v>
      </c>
      <c r="L610" s="43" t="s">
        <v>702</v>
      </c>
      <c r="M610" s="3">
        <v>46195.402777777803</v>
      </c>
      <c r="N610" s="2" t="s">
        <v>782</v>
      </c>
      <c r="O610" s="3">
        <v>46215.402777777803</v>
      </c>
      <c r="P610" s="2" t="s">
        <v>782</v>
      </c>
      <c r="Q610" s="34"/>
      <c r="R610" s="1" t="s">
        <v>31</v>
      </c>
    </row>
    <row r="611" spans="2:18">
      <c r="B611" s="2" t="s">
        <v>2484</v>
      </c>
      <c r="C611" s="2" t="s">
        <v>1133</v>
      </c>
      <c r="D611" s="1">
        <v>4</v>
      </c>
      <c r="E611" s="2" t="s">
        <v>2485</v>
      </c>
      <c r="F611" s="2" t="s">
        <v>1304</v>
      </c>
      <c r="G611" s="45">
        <v>3</v>
      </c>
      <c r="H611" s="45" t="s">
        <v>702</v>
      </c>
      <c r="I611" s="43" t="s">
        <v>702</v>
      </c>
      <c r="J611" s="43" t="s">
        <v>702</v>
      </c>
      <c r="K611" s="30">
        <v>18000</v>
      </c>
      <c r="L611" s="43" t="s">
        <v>702</v>
      </c>
      <c r="M611" s="3">
        <v>46195.402777777803</v>
      </c>
      <c r="N611" s="2" t="s">
        <v>782</v>
      </c>
      <c r="O611" s="3">
        <v>46215.402777777803</v>
      </c>
      <c r="P611" s="2" t="s">
        <v>782</v>
      </c>
      <c r="Q611" s="34"/>
      <c r="R611" s="1" t="s">
        <v>31</v>
      </c>
    </row>
    <row r="612" spans="2:18">
      <c r="B612" s="2" t="s">
        <v>2486</v>
      </c>
      <c r="C612" s="2" t="s">
        <v>1135</v>
      </c>
      <c r="D612" s="1">
        <v>1</v>
      </c>
      <c r="E612" s="2" t="s">
        <v>2487</v>
      </c>
      <c r="F612" s="2" t="s">
        <v>1307</v>
      </c>
      <c r="G612" s="45">
        <v>10</v>
      </c>
      <c r="H612" s="45" t="s">
        <v>702</v>
      </c>
      <c r="I612" s="43" t="s">
        <v>702</v>
      </c>
      <c r="J612" s="43" t="s">
        <v>702</v>
      </c>
      <c r="K612" s="30">
        <v>80000</v>
      </c>
      <c r="L612" s="43" t="s">
        <v>702</v>
      </c>
      <c r="M612" s="3">
        <v>46195.539583333302</v>
      </c>
      <c r="N612" s="2" t="s">
        <v>785</v>
      </c>
      <c r="O612" s="3">
        <v>46215.539583333302</v>
      </c>
      <c r="P612" s="2" t="s">
        <v>785</v>
      </c>
      <c r="Q612" s="34"/>
      <c r="R612" s="1" t="s">
        <v>31</v>
      </c>
    </row>
    <row r="613" spans="2:18">
      <c r="B613" s="2" t="s">
        <v>2488</v>
      </c>
      <c r="C613" s="2" t="s">
        <v>1135</v>
      </c>
      <c r="D613" s="1">
        <v>2</v>
      </c>
      <c r="E613" s="2" t="s">
        <v>2489</v>
      </c>
      <c r="F613" s="2" t="s">
        <v>1310</v>
      </c>
      <c r="G613" s="45" t="s">
        <v>702</v>
      </c>
      <c r="H613" s="45">
        <v>1</v>
      </c>
      <c r="I613" s="43" t="s">
        <v>702</v>
      </c>
      <c r="J613" s="43" t="s">
        <v>702</v>
      </c>
      <c r="K613" s="30">
        <v>40000</v>
      </c>
      <c r="L613" s="43" t="s">
        <v>702</v>
      </c>
      <c r="M613" s="3">
        <v>46195.539583333302</v>
      </c>
      <c r="N613" s="2" t="s">
        <v>785</v>
      </c>
      <c r="O613" s="3">
        <v>46215.539583333302</v>
      </c>
      <c r="P613" s="2" t="s">
        <v>785</v>
      </c>
      <c r="Q613" s="34"/>
      <c r="R613" s="1" t="s">
        <v>31</v>
      </c>
    </row>
    <row r="614" spans="2:18">
      <c r="B614" s="2" t="s">
        <v>2490</v>
      </c>
      <c r="C614" s="2" t="s">
        <v>1135</v>
      </c>
      <c r="D614" s="1">
        <v>3</v>
      </c>
      <c r="E614" s="2" t="s">
        <v>2491</v>
      </c>
      <c r="F614" s="2" t="s">
        <v>1313</v>
      </c>
      <c r="G614" s="45">
        <v>2</v>
      </c>
      <c r="H614" s="45" t="s">
        <v>702</v>
      </c>
      <c r="I614" s="43" t="s">
        <v>702</v>
      </c>
      <c r="J614" s="43" t="s">
        <v>702</v>
      </c>
      <c r="K614" s="30">
        <v>25000</v>
      </c>
      <c r="L614" s="43" t="s">
        <v>702</v>
      </c>
      <c r="M614" s="3">
        <v>46195.539583333302</v>
      </c>
      <c r="N614" s="2" t="s">
        <v>785</v>
      </c>
      <c r="O614" s="3">
        <v>46215.539583333302</v>
      </c>
      <c r="P614" s="2" t="s">
        <v>785</v>
      </c>
      <c r="Q614" s="34"/>
      <c r="R614" s="1" t="s">
        <v>31</v>
      </c>
    </row>
    <row r="615" spans="2:18" ht="29" customHeight="1">
      <c r="B615" s="2" t="s">
        <v>2492</v>
      </c>
      <c r="C615" s="2" t="s">
        <v>1135</v>
      </c>
      <c r="D615" s="1">
        <v>4</v>
      </c>
      <c r="E615" s="2" t="s">
        <v>2493</v>
      </c>
      <c r="F615" s="2" t="s">
        <v>1316</v>
      </c>
      <c r="G615" s="45" t="s">
        <v>702</v>
      </c>
      <c r="H615" s="45">
        <v>3</v>
      </c>
      <c r="I615" s="43" t="s">
        <v>702</v>
      </c>
      <c r="J615" s="43" t="s">
        <v>702</v>
      </c>
      <c r="K615" s="30">
        <v>150000</v>
      </c>
      <c r="L615" s="43" t="s">
        <v>702</v>
      </c>
      <c r="M615" s="3">
        <v>46195.539583333302</v>
      </c>
      <c r="N615" s="2" t="s">
        <v>785</v>
      </c>
      <c r="O615" s="3">
        <v>46215.539583333302</v>
      </c>
      <c r="P615" s="2" t="s">
        <v>785</v>
      </c>
      <c r="Q615" s="34"/>
      <c r="R615" s="1" t="s">
        <v>31</v>
      </c>
    </row>
    <row r="616" spans="2:18">
      <c r="B616" s="2" t="s">
        <v>2494</v>
      </c>
      <c r="C616" s="2" t="s">
        <v>1137</v>
      </c>
      <c r="D616" s="1">
        <v>1</v>
      </c>
      <c r="E616" s="2" t="s">
        <v>2495</v>
      </c>
      <c r="F616" s="2" t="s">
        <v>1319</v>
      </c>
      <c r="G616" s="45" t="s">
        <v>702</v>
      </c>
      <c r="H616" s="1">
        <v>1</v>
      </c>
      <c r="I616" s="43" t="s">
        <v>702</v>
      </c>
      <c r="J616" s="43" t="s">
        <v>702</v>
      </c>
      <c r="K616" s="30">
        <v>60000</v>
      </c>
      <c r="L616" s="43" t="s">
        <v>702</v>
      </c>
      <c r="M616" s="3">
        <v>46196.634722222203</v>
      </c>
      <c r="N616" s="2" t="s">
        <v>788</v>
      </c>
      <c r="O616" s="3">
        <v>46216.634722222203</v>
      </c>
      <c r="P616" s="2" t="s">
        <v>788</v>
      </c>
      <c r="Q616" s="34"/>
      <c r="R616" s="1" t="s">
        <v>31</v>
      </c>
    </row>
    <row r="617" spans="2:18">
      <c r="B617" s="2" t="s">
        <v>2496</v>
      </c>
      <c r="C617" s="2" t="s">
        <v>1137</v>
      </c>
      <c r="D617" s="1">
        <v>2</v>
      </c>
      <c r="E617" s="2" t="s">
        <v>2497</v>
      </c>
      <c r="F617" s="2" t="s">
        <v>1259</v>
      </c>
      <c r="G617" s="1">
        <v>1</v>
      </c>
      <c r="H617" s="45" t="s">
        <v>702</v>
      </c>
      <c r="I617" s="43" t="s">
        <v>702</v>
      </c>
      <c r="J617" s="43" t="s">
        <v>702</v>
      </c>
      <c r="K617" s="30">
        <v>12500</v>
      </c>
      <c r="L617" s="43" t="s">
        <v>702</v>
      </c>
      <c r="M617" s="3">
        <v>46196.634722222203</v>
      </c>
      <c r="N617" s="2" t="s">
        <v>788</v>
      </c>
      <c r="O617" s="3">
        <v>46216.634722222203</v>
      </c>
      <c r="P617" s="2" t="s">
        <v>788</v>
      </c>
      <c r="Q617" s="34"/>
      <c r="R617" s="1" t="s">
        <v>31</v>
      </c>
    </row>
    <row r="618" spans="2:18" ht="29" customHeight="1">
      <c r="B618" s="2" t="s">
        <v>2498</v>
      </c>
      <c r="C618" s="2" t="s">
        <v>1137</v>
      </c>
      <c r="D618" s="1">
        <v>3</v>
      </c>
      <c r="E618" s="2" t="s">
        <v>2499</v>
      </c>
      <c r="F618" s="2" t="s">
        <v>1262</v>
      </c>
      <c r="G618" s="45" t="s">
        <v>702</v>
      </c>
      <c r="H618" s="1">
        <v>3</v>
      </c>
      <c r="I618" s="43" t="s">
        <v>702</v>
      </c>
      <c r="J618" s="43" t="s">
        <v>702</v>
      </c>
      <c r="K618" s="30">
        <v>127500</v>
      </c>
      <c r="L618" s="43" t="s">
        <v>702</v>
      </c>
      <c r="M618" s="3">
        <v>46196.634722222203</v>
      </c>
      <c r="N618" s="2" t="s">
        <v>788</v>
      </c>
      <c r="O618" s="3">
        <v>46216.634722222203</v>
      </c>
      <c r="P618" s="2" t="s">
        <v>788</v>
      </c>
      <c r="Q618" s="34"/>
      <c r="R618" s="1" t="s">
        <v>31</v>
      </c>
    </row>
    <row r="619" spans="2:18" ht="29" customHeight="1">
      <c r="B619" s="2" t="s">
        <v>2500</v>
      </c>
      <c r="C619" s="2" t="s">
        <v>1137</v>
      </c>
      <c r="D619" s="1">
        <v>4</v>
      </c>
      <c r="E619" s="2" t="s">
        <v>2501</v>
      </c>
      <c r="F619" s="2" t="s">
        <v>1265</v>
      </c>
      <c r="G619" s="1">
        <v>5</v>
      </c>
      <c r="H619" s="45" t="s">
        <v>702</v>
      </c>
      <c r="I619" s="43" t="s">
        <v>702</v>
      </c>
      <c r="J619" s="43" t="s">
        <v>702</v>
      </c>
      <c r="K619" s="30">
        <v>87500</v>
      </c>
      <c r="L619" s="43" t="s">
        <v>702</v>
      </c>
      <c r="M619" s="3">
        <v>46196.634722222203</v>
      </c>
      <c r="N619" s="2" t="s">
        <v>788</v>
      </c>
      <c r="O619" s="3">
        <v>46216.634722222203</v>
      </c>
      <c r="P619" s="2" t="s">
        <v>788</v>
      </c>
      <c r="Q619" s="34"/>
      <c r="R619" s="1" t="s">
        <v>31</v>
      </c>
    </row>
    <row r="620" spans="2:18">
      <c r="B620" s="2" t="s">
        <v>2502</v>
      </c>
      <c r="C620" s="2" t="s">
        <v>1139</v>
      </c>
      <c r="D620" s="1">
        <v>1</v>
      </c>
      <c r="E620" s="2" t="s">
        <v>2503</v>
      </c>
      <c r="F620" s="2" t="s">
        <v>1268</v>
      </c>
      <c r="G620" s="45">
        <v>12</v>
      </c>
      <c r="H620" s="45" t="s">
        <v>702</v>
      </c>
      <c r="I620" s="43" t="s">
        <v>702</v>
      </c>
      <c r="J620" s="43" t="s">
        <v>702</v>
      </c>
      <c r="K620" s="30">
        <v>90000</v>
      </c>
      <c r="L620" s="43" t="s">
        <v>702</v>
      </c>
      <c r="M620" s="3">
        <v>46196.396527777797</v>
      </c>
      <c r="N620" s="2" t="s">
        <v>791</v>
      </c>
      <c r="O620" s="3">
        <v>46216.396527777797</v>
      </c>
      <c r="P620" s="2" t="s">
        <v>791</v>
      </c>
      <c r="Q620" s="34"/>
      <c r="R620" s="1" t="s">
        <v>31</v>
      </c>
    </row>
    <row r="621" spans="2:18" ht="29" customHeight="1">
      <c r="B621" s="2" t="s">
        <v>2504</v>
      </c>
      <c r="C621" s="2" t="s">
        <v>1139</v>
      </c>
      <c r="D621" s="1">
        <v>2</v>
      </c>
      <c r="E621" s="2" t="s">
        <v>2505</v>
      </c>
      <c r="F621" s="2" t="s">
        <v>1271</v>
      </c>
      <c r="G621" s="45" t="s">
        <v>702</v>
      </c>
      <c r="H621" s="45">
        <v>3</v>
      </c>
      <c r="I621" s="43" t="s">
        <v>702</v>
      </c>
      <c r="J621" s="43" t="s">
        <v>702</v>
      </c>
      <c r="K621" s="30">
        <v>96000</v>
      </c>
      <c r="L621" s="43" t="s">
        <v>702</v>
      </c>
      <c r="M621" s="3">
        <v>46196.396527777797</v>
      </c>
      <c r="N621" s="2" t="s">
        <v>791</v>
      </c>
      <c r="O621" s="3">
        <v>46216.396527777797</v>
      </c>
      <c r="P621" s="2" t="s">
        <v>791</v>
      </c>
      <c r="Q621" s="34"/>
      <c r="R621" s="1" t="s">
        <v>31</v>
      </c>
    </row>
    <row r="622" spans="2:18" ht="29" customHeight="1">
      <c r="B622" s="2" t="s">
        <v>2506</v>
      </c>
      <c r="C622" s="2" t="s">
        <v>1139</v>
      </c>
      <c r="D622" s="1">
        <v>3</v>
      </c>
      <c r="E622" s="2" t="s">
        <v>2507</v>
      </c>
      <c r="F622" s="2" t="s">
        <v>1274</v>
      </c>
      <c r="G622" s="45">
        <v>4</v>
      </c>
      <c r="H622" s="45" t="s">
        <v>702</v>
      </c>
      <c r="I622" s="43" t="s">
        <v>702</v>
      </c>
      <c r="J622" s="43" t="s">
        <v>702</v>
      </c>
      <c r="K622" s="30">
        <v>50000</v>
      </c>
      <c r="L622" s="43" t="s">
        <v>702</v>
      </c>
      <c r="M622" s="3">
        <v>46196.396527777797</v>
      </c>
      <c r="N622" s="2" t="s">
        <v>791</v>
      </c>
      <c r="O622" s="3">
        <v>46216.396527777797</v>
      </c>
      <c r="P622" s="2" t="s">
        <v>791</v>
      </c>
      <c r="Q622" s="34"/>
      <c r="R622" s="1" t="s">
        <v>31</v>
      </c>
    </row>
    <row r="623" spans="2:18">
      <c r="B623" s="2" t="s">
        <v>2508</v>
      </c>
      <c r="C623" s="2" t="s">
        <v>1139</v>
      </c>
      <c r="D623" s="1">
        <v>4</v>
      </c>
      <c r="E623" s="2" t="s">
        <v>2509</v>
      </c>
      <c r="F623" s="2" t="s">
        <v>1277</v>
      </c>
      <c r="G623" s="45" t="s">
        <v>702</v>
      </c>
      <c r="H623" s="1">
        <v>2</v>
      </c>
      <c r="I623" s="43" t="s">
        <v>702</v>
      </c>
      <c r="J623" s="43" t="s">
        <v>702</v>
      </c>
      <c r="K623" s="30">
        <v>70000</v>
      </c>
      <c r="L623" s="43" t="s">
        <v>702</v>
      </c>
      <c r="M623" s="3">
        <v>46196.396527777797</v>
      </c>
      <c r="N623" s="2" t="s">
        <v>791</v>
      </c>
      <c r="O623" s="3">
        <v>46216.396527777797</v>
      </c>
      <c r="P623" s="2" t="s">
        <v>791</v>
      </c>
      <c r="Q623" s="34"/>
      <c r="R623" s="1" t="s">
        <v>31</v>
      </c>
    </row>
    <row r="624" spans="2:18" ht="29" customHeight="1">
      <c r="B624" s="2" t="s">
        <v>2510</v>
      </c>
      <c r="C624" s="2" t="s">
        <v>1141</v>
      </c>
      <c r="D624" s="1">
        <v>1</v>
      </c>
      <c r="E624" s="2" t="s">
        <v>2511</v>
      </c>
      <c r="F624" s="2" t="s">
        <v>1280</v>
      </c>
      <c r="G624" s="45" t="s">
        <v>702</v>
      </c>
      <c r="H624" s="45">
        <v>3</v>
      </c>
      <c r="I624" s="43" t="s">
        <v>702</v>
      </c>
      <c r="J624" s="43" t="s">
        <v>702</v>
      </c>
      <c r="K624" s="30">
        <v>127500</v>
      </c>
      <c r="L624" s="43" t="s">
        <v>702</v>
      </c>
      <c r="M624" s="3">
        <v>46196.533333333296</v>
      </c>
      <c r="N624" s="2" t="s">
        <v>795</v>
      </c>
      <c r="O624" s="3">
        <v>46216.533333333296</v>
      </c>
      <c r="P624" s="2" t="s">
        <v>795</v>
      </c>
      <c r="Q624" s="34"/>
      <c r="R624" s="1" t="s">
        <v>31</v>
      </c>
    </row>
    <row r="625" spans="2:18" ht="29" customHeight="1">
      <c r="B625" s="2" t="s">
        <v>2512</v>
      </c>
      <c r="C625" s="2" t="s">
        <v>1141</v>
      </c>
      <c r="D625" s="1">
        <v>2</v>
      </c>
      <c r="E625" s="2" t="s">
        <v>2513</v>
      </c>
      <c r="F625" s="2" t="s">
        <v>1283</v>
      </c>
      <c r="G625" s="45">
        <v>3</v>
      </c>
      <c r="H625" s="45" t="s">
        <v>702</v>
      </c>
      <c r="I625" s="43" t="s">
        <v>702</v>
      </c>
      <c r="J625" s="43" t="s">
        <v>702</v>
      </c>
      <c r="K625" s="30">
        <v>52500</v>
      </c>
      <c r="L625" s="43" t="s">
        <v>702</v>
      </c>
      <c r="M625" s="3">
        <v>46196.533333333296</v>
      </c>
      <c r="N625" s="2" t="s">
        <v>795</v>
      </c>
      <c r="O625" s="3">
        <v>46216.533333333296</v>
      </c>
      <c r="P625" s="2" t="s">
        <v>795</v>
      </c>
      <c r="Q625" s="34"/>
      <c r="R625" s="1" t="s">
        <v>31</v>
      </c>
    </row>
    <row r="626" spans="2:18">
      <c r="B626" s="2" t="s">
        <v>2514</v>
      </c>
      <c r="C626" s="2" t="s">
        <v>1141</v>
      </c>
      <c r="D626" s="1">
        <v>3</v>
      </c>
      <c r="E626" s="2" t="s">
        <v>2515</v>
      </c>
      <c r="F626" s="2" t="s">
        <v>1286</v>
      </c>
      <c r="G626" s="45" t="s">
        <v>702</v>
      </c>
      <c r="H626" s="45">
        <v>2</v>
      </c>
      <c r="I626" s="43" t="s">
        <v>702</v>
      </c>
      <c r="J626" s="43" t="s">
        <v>702</v>
      </c>
      <c r="K626" s="30">
        <v>60000</v>
      </c>
      <c r="L626" s="43" t="s">
        <v>702</v>
      </c>
      <c r="M626" s="3">
        <v>46196.533333333296</v>
      </c>
      <c r="N626" s="2" t="s">
        <v>795</v>
      </c>
      <c r="O626" s="3">
        <v>46216.533333333296</v>
      </c>
      <c r="P626" s="2" t="s">
        <v>795</v>
      </c>
      <c r="Q626" s="34"/>
      <c r="R626" s="1" t="s">
        <v>31</v>
      </c>
    </row>
    <row r="627" spans="2:18">
      <c r="B627" s="2" t="s">
        <v>2516</v>
      </c>
      <c r="C627" s="2" t="s">
        <v>1141</v>
      </c>
      <c r="D627" s="1">
        <v>4</v>
      </c>
      <c r="E627" s="2" t="s">
        <v>2517</v>
      </c>
      <c r="F627" s="2" t="s">
        <v>1289</v>
      </c>
      <c r="G627" s="45">
        <v>7</v>
      </c>
      <c r="H627" s="45" t="s">
        <v>702</v>
      </c>
      <c r="I627" s="43" t="s">
        <v>702</v>
      </c>
      <c r="J627" s="43" t="s">
        <v>702</v>
      </c>
      <c r="K627" s="30">
        <v>87500</v>
      </c>
      <c r="L627" s="43" t="s">
        <v>702</v>
      </c>
      <c r="M627" s="3">
        <v>46196.533333333296</v>
      </c>
      <c r="N627" s="2" t="s">
        <v>795</v>
      </c>
      <c r="O627" s="3">
        <v>46216.533333333296</v>
      </c>
      <c r="P627" s="2" t="s">
        <v>795</v>
      </c>
      <c r="Q627" s="34"/>
      <c r="R627" s="1" t="s">
        <v>31</v>
      </c>
    </row>
    <row r="628" spans="2:18" ht="29" customHeight="1">
      <c r="B628" s="2" t="s">
        <v>2518</v>
      </c>
      <c r="C628" s="2" t="s">
        <v>1143</v>
      </c>
      <c r="D628" s="1">
        <v>1</v>
      </c>
      <c r="E628" s="2" t="s">
        <v>2519</v>
      </c>
      <c r="F628" s="2" t="s">
        <v>1292</v>
      </c>
      <c r="G628" s="1">
        <v>2</v>
      </c>
      <c r="H628" s="45" t="s">
        <v>702</v>
      </c>
      <c r="I628" s="43" t="s">
        <v>702</v>
      </c>
      <c r="J628" s="43" t="s">
        <v>702</v>
      </c>
      <c r="K628" s="30">
        <v>30000</v>
      </c>
      <c r="L628" s="43" t="s">
        <v>702</v>
      </c>
      <c r="M628" s="3">
        <v>46197.670138888898</v>
      </c>
      <c r="N628" s="2" t="s">
        <v>799</v>
      </c>
      <c r="O628" s="3">
        <v>46217.670138888898</v>
      </c>
      <c r="P628" s="2" t="s">
        <v>799</v>
      </c>
      <c r="Q628" s="34"/>
      <c r="R628" s="1" t="s">
        <v>31</v>
      </c>
    </row>
    <row r="629" spans="2:18">
      <c r="B629" s="2" t="s">
        <v>2520</v>
      </c>
      <c r="C629" s="2" t="s">
        <v>1143</v>
      </c>
      <c r="D629" s="1">
        <v>2</v>
      </c>
      <c r="E629" s="2" t="s">
        <v>2521</v>
      </c>
      <c r="F629" s="2" t="s">
        <v>1295</v>
      </c>
      <c r="G629" s="45" t="s">
        <v>702</v>
      </c>
      <c r="H629" s="1">
        <v>2</v>
      </c>
      <c r="I629" s="43" t="s">
        <v>702</v>
      </c>
      <c r="J629" s="43" t="s">
        <v>702</v>
      </c>
      <c r="K629" s="30">
        <v>30000</v>
      </c>
      <c r="L629" s="43" t="s">
        <v>702</v>
      </c>
      <c r="M629" s="3">
        <v>46197.670138888898</v>
      </c>
      <c r="N629" s="2" t="s">
        <v>799</v>
      </c>
      <c r="O629" s="3">
        <v>46217.670138888898</v>
      </c>
      <c r="P629" s="2" t="s">
        <v>799</v>
      </c>
      <c r="Q629" s="34"/>
      <c r="R629" s="1" t="s">
        <v>31</v>
      </c>
    </row>
    <row r="630" spans="2:18">
      <c r="B630" s="2" t="s">
        <v>2522</v>
      </c>
      <c r="C630" s="2" t="s">
        <v>1143</v>
      </c>
      <c r="D630" s="1">
        <v>3</v>
      </c>
      <c r="E630" s="2" t="s">
        <v>2523</v>
      </c>
      <c r="F630" s="2" t="s">
        <v>1298</v>
      </c>
      <c r="G630" s="1">
        <v>6</v>
      </c>
      <c r="H630" s="45" t="s">
        <v>702</v>
      </c>
      <c r="I630" s="43" t="s">
        <v>702</v>
      </c>
      <c r="J630" s="43" t="s">
        <v>702</v>
      </c>
      <c r="K630" s="30">
        <v>30000</v>
      </c>
      <c r="L630" s="43" t="s">
        <v>702</v>
      </c>
      <c r="M630" s="3">
        <v>46197.670138888898</v>
      </c>
      <c r="N630" s="2" t="s">
        <v>799</v>
      </c>
      <c r="O630" s="3">
        <v>46217.670138888898</v>
      </c>
      <c r="P630" s="2" t="s">
        <v>799</v>
      </c>
      <c r="Q630" s="34"/>
      <c r="R630" s="1" t="s">
        <v>31</v>
      </c>
    </row>
    <row r="631" spans="2:18">
      <c r="B631" s="2" t="s">
        <v>2524</v>
      </c>
      <c r="C631" s="2" t="s">
        <v>1143</v>
      </c>
      <c r="D631" s="1">
        <v>4</v>
      </c>
      <c r="E631" s="2" t="s">
        <v>2525</v>
      </c>
      <c r="F631" s="2" t="s">
        <v>1301</v>
      </c>
      <c r="G631" s="45" t="s">
        <v>702</v>
      </c>
      <c r="H631" s="1">
        <v>1</v>
      </c>
      <c r="I631" s="43" t="s">
        <v>702</v>
      </c>
      <c r="J631" s="43" t="s">
        <v>702</v>
      </c>
      <c r="K631" s="30">
        <v>25000</v>
      </c>
      <c r="L631" s="43" t="s">
        <v>702</v>
      </c>
      <c r="M631" s="3">
        <v>46197.670138888898</v>
      </c>
      <c r="N631" s="2" t="s">
        <v>799</v>
      </c>
      <c r="O631" s="3">
        <v>46217.670138888898</v>
      </c>
      <c r="P631" s="2" t="s">
        <v>799</v>
      </c>
      <c r="Q631" s="34"/>
      <c r="R631" s="1" t="s">
        <v>31</v>
      </c>
    </row>
    <row r="632" spans="2:18">
      <c r="B632" s="2" t="s">
        <v>2526</v>
      </c>
      <c r="C632" s="2" t="s">
        <v>1146</v>
      </c>
      <c r="D632" s="1">
        <v>1</v>
      </c>
      <c r="E632" s="2" t="s">
        <v>2527</v>
      </c>
      <c r="F632" s="2" t="s">
        <v>1304</v>
      </c>
      <c r="G632" s="45" t="s">
        <v>702</v>
      </c>
      <c r="H632" s="45">
        <v>2</v>
      </c>
      <c r="I632" s="43" t="s">
        <v>702</v>
      </c>
      <c r="J632" s="43" t="s">
        <v>702</v>
      </c>
      <c r="K632" s="30">
        <v>40000</v>
      </c>
      <c r="L632" s="43" t="s">
        <v>702</v>
      </c>
      <c r="M632" s="3">
        <v>46197.390277777798</v>
      </c>
      <c r="N632" s="2" t="s">
        <v>803</v>
      </c>
      <c r="O632" s="3">
        <v>46217.390277777798</v>
      </c>
      <c r="P632" s="2" t="s">
        <v>803</v>
      </c>
      <c r="Q632" s="34"/>
      <c r="R632" s="1" t="s">
        <v>31</v>
      </c>
    </row>
    <row r="633" spans="2:18">
      <c r="B633" s="2" t="s">
        <v>2528</v>
      </c>
      <c r="C633" s="2" t="s">
        <v>1146</v>
      </c>
      <c r="D633" s="1">
        <v>2</v>
      </c>
      <c r="E633" s="2" t="s">
        <v>2529</v>
      </c>
      <c r="F633" s="2" t="s">
        <v>1307</v>
      </c>
      <c r="G633" s="45">
        <v>5</v>
      </c>
      <c r="H633" s="45" t="s">
        <v>702</v>
      </c>
      <c r="I633" s="43" t="s">
        <v>702</v>
      </c>
      <c r="J633" s="43" t="s">
        <v>702</v>
      </c>
      <c r="K633" s="30">
        <v>40000</v>
      </c>
      <c r="L633" s="43" t="s">
        <v>702</v>
      </c>
      <c r="M633" s="3">
        <v>46197.390277777798</v>
      </c>
      <c r="N633" s="2" t="s">
        <v>803</v>
      </c>
      <c r="O633" s="3">
        <v>46217.390277777798</v>
      </c>
      <c r="P633" s="2" t="s">
        <v>803</v>
      </c>
      <c r="Q633" s="34"/>
      <c r="R633" s="1" t="s">
        <v>31</v>
      </c>
    </row>
    <row r="634" spans="2:18">
      <c r="B634" s="2" t="s">
        <v>2530</v>
      </c>
      <c r="C634" s="2" t="s">
        <v>1146</v>
      </c>
      <c r="D634" s="1">
        <v>3</v>
      </c>
      <c r="E634" s="2" t="s">
        <v>2531</v>
      </c>
      <c r="F634" s="2" t="s">
        <v>1310</v>
      </c>
      <c r="G634" s="45" t="s">
        <v>702</v>
      </c>
      <c r="H634" s="45">
        <v>1</v>
      </c>
      <c r="I634" s="43" t="s">
        <v>702</v>
      </c>
      <c r="J634" s="43" t="s">
        <v>702</v>
      </c>
      <c r="K634" s="30">
        <v>40000</v>
      </c>
      <c r="L634" s="43" t="s">
        <v>702</v>
      </c>
      <c r="M634" s="3">
        <v>46197.390277777798</v>
      </c>
      <c r="N634" s="2" t="s">
        <v>803</v>
      </c>
      <c r="O634" s="3">
        <v>46217.390277777798</v>
      </c>
      <c r="P634" s="2" t="s">
        <v>803</v>
      </c>
      <c r="Q634" s="34"/>
      <c r="R634" s="1" t="s">
        <v>31</v>
      </c>
    </row>
    <row r="635" spans="2:18">
      <c r="B635" s="2" t="s">
        <v>2532</v>
      </c>
      <c r="C635" s="2" t="s">
        <v>1146</v>
      </c>
      <c r="D635" s="1">
        <v>4</v>
      </c>
      <c r="E635" s="2" t="s">
        <v>2533</v>
      </c>
      <c r="F635" s="2" t="s">
        <v>1313</v>
      </c>
      <c r="G635" s="45">
        <v>9</v>
      </c>
      <c r="H635" s="45" t="s">
        <v>702</v>
      </c>
      <c r="I635" s="43" t="s">
        <v>702</v>
      </c>
      <c r="J635" s="43" t="s">
        <v>702</v>
      </c>
      <c r="K635" s="30">
        <v>112500</v>
      </c>
      <c r="L635" s="43" t="s">
        <v>702</v>
      </c>
      <c r="M635" s="3">
        <v>46197.390277777798</v>
      </c>
      <c r="N635" s="2" t="s">
        <v>803</v>
      </c>
      <c r="O635" s="3">
        <v>46217.390277777798</v>
      </c>
      <c r="P635" s="2" t="s">
        <v>803</v>
      </c>
      <c r="Q635" s="34"/>
      <c r="R635" s="1" t="s">
        <v>31</v>
      </c>
    </row>
    <row r="636" spans="2:18">
      <c r="B636" s="2" t="s">
        <v>2534</v>
      </c>
      <c r="C636" s="2" t="s">
        <v>1148</v>
      </c>
      <c r="D636" s="1">
        <v>1</v>
      </c>
      <c r="E636" s="2" t="s">
        <v>2535</v>
      </c>
      <c r="F636" s="2" t="s">
        <v>1316</v>
      </c>
      <c r="G636" s="1">
        <v>4</v>
      </c>
      <c r="H636" s="45" t="s">
        <v>702</v>
      </c>
      <c r="I636" s="43" t="s">
        <v>702</v>
      </c>
      <c r="J636" s="43" t="s">
        <v>702</v>
      </c>
      <c r="K636" s="30">
        <v>60000</v>
      </c>
      <c r="L636" s="43" t="s">
        <v>702</v>
      </c>
      <c r="M636" s="3">
        <v>46198.527083333298</v>
      </c>
      <c r="N636" s="2" t="s">
        <v>807</v>
      </c>
      <c r="O636" s="3">
        <v>46218.527083333298</v>
      </c>
      <c r="P636" s="2" t="s">
        <v>807</v>
      </c>
      <c r="Q636" s="34"/>
      <c r="R636" s="1" t="s">
        <v>31</v>
      </c>
    </row>
    <row r="637" spans="2:18">
      <c r="B637" s="2" t="s">
        <v>2536</v>
      </c>
      <c r="C637" s="2" t="s">
        <v>1148</v>
      </c>
      <c r="D637" s="1">
        <v>2</v>
      </c>
      <c r="E637" s="2" t="s">
        <v>2537</v>
      </c>
      <c r="F637" s="2" t="s">
        <v>1319</v>
      </c>
      <c r="G637" s="45" t="s">
        <v>702</v>
      </c>
      <c r="H637" s="1">
        <v>1</v>
      </c>
      <c r="I637" s="43" t="s">
        <v>702</v>
      </c>
      <c r="J637" s="43" t="s">
        <v>702</v>
      </c>
      <c r="K637" s="30">
        <v>60000</v>
      </c>
      <c r="L637" s="43" t="s">
        <v>702</v>
      </c>
      <c r="M637" s="3">
        <v>46198.527083333298</v>
      </c>
      <c r="N637" s="2" t="s">
        <v>807</v>
      </c>
      <c r="O637" s="3">
        <v>46218.527083333298</v>
      </c>
      <c r="P637" s="2" t="s">
        <v>807</v>
      </c>
      <c r="Q637" s="34"/>
      <c r="R637" s="1" t="s">
        <v>31</v>
      </c>
    </row>
    <row r="638" spans="2:18">
      <c r="B638" s="2" t="s">
        <v>2538</v>
      </c>
      <c r="C638" s="2" t="s">
        <v>1148</v>
      </c>
      <c r="D638" s="1">
        <v>3</v>
      </c>
      <c r="E638" s="2" t="s">
        <v>2539</v>
      </c>
      <c r="F638" s="2" t="s">
        <v>1259</v>
      </c>
      <c r="G638" s="45">
        <v>8</v>
      </c>
      <c r="H638" s="45" t="s">
        <v>702</v>
      </c>
      <c r="I638" s="43" t="s">
        <v>702</v>
      </c>
      <c r="J638" s="43" t="s">
        <v>702</v>
      </c>
      <c r="K638" s="30">
        <v>100000</v>
      </c>
      <c r="L638" s="43" t="s">
        <v>702</v>
      </c>
      <c r="M638" s="3">
        <v>46198.527083333298</v>
      </c>
      <c r="N638" s="2" t="s">
        <v>807</v>
      </c>
      <c r="O638" s="3">
        <v>46218.527083333298</v>
      </c>
      <c r="P638" s="2" t="s">
        <v>807</v>
      </c>
      <c r="Q638" s="34"/>
      <c r="R638" s="1" t="s">
        <v>31</v>
      </c>
    </row>
    <row r="639" spans="2:18">
      <c r="B639" s="2" t="s">
        <v>2540</v>
      </c>
      <c r="C639" s="2" t="s">
        <v>1148</v>
      </c>
      <c r="D639" s="1">
        <v>4</v>
      </c>
      <c r="E639" s="2" t="s">
        <v>2541</v>
      </c>
      <c r="F639" s="2" t="s">
        <v>1262</v>
      </c>
      <c r="G639" s="45" t="s">
        <v>702</v>
      </c>
      <c r="H639" s="45">
        <v>3</v>
      </c>
      <c r="I639" s="43" t="s">
        <v>702</v>
      </c>
      <c r="J639" s="43" t="s">
        <v>702</v>
      </c>
      <c r="K639" s="30">
        <v>127500</v>
      </c>
      <c r="L639" s="43" t="s">
        <v>702</v>
      </c>
      <c r="M639" s="3">
        <v>46198.527083333298</v>
      </c>
      <c r="N639" s="2" t="s">
        <v>807</v>
      </c>
      <c r="O639" s="3">
        <v>46218.527083333298</v>
      </c>
      <c r="P639" s="2" t="s">
        <v>807</v>
      </c>
      <c r="Q639" s="34"/>
      <c r="R639" s="1" t="s">
        <v>31</v>
      </c>
    </row>
    <row r="640" spans="2:18">
      <c r="B640" s="2" t="s">
        <v>2542</v>
      </c>
      <c r="C640" s="2" t="s">
        <v>1150</v>
      </c>
      <c r="D640" s="1">
        <v>1</v>
      </c>
      <c r="E640" s="2" t="s">
        <v>2543</v>
      </c>
      <c r="F640" s="2" t="s">
        <v>1265</v>
      </c>
      <c r="G640" s="45" t="s">
        <v>702</v>
      </c>
      <c r="H640" s="45">
        <v>1</v>
      </c>
      <c r="I640" s="43" t="s">
        <v>702</v>
      </c>
      <c r="J640" s="43" t="s">
        <v>702</v>
      </c>
      <c r="K640" s="30">
        <v>50000</v>
      </c>
      <c r="L640" s="43" t="s">
        <v>702</v>
      </c>
      <c r="M640" s="3">
        <v>46198.663888888899</v>
      </c>
      <c r="N640" s="2" t="s">
        <v>811</v>
      </c>
      <c r="O640" s="3">
        <v>46218.663888888899</v>
      </c>
      <c r="P640" s="2" t="s">
        <v>811</v>
      </c>
      <c r="Q640" s="34"/>
      <c r="R640" s="1" t="s">
        <v>31</v>
      </c>
    </row>
    <row r="641" spans="2:18">
      <c r="B641" s="2" t="s">
        <v>2544</v>
      </c>
      <c r="C641" s="2" t="s">
        <v>1150</v>
      </c>
      <c r="D641" s="1">
        <v>2</v>
      </c>
      <c r="E641" s="2" t="s">
        <v>2545</v>
      </c>
      <c r="F641" s="2" t="s">
        <v>1268</v>
      </c>
      <c r="G641" s="45">
        <v>7</v>
      </c>
      <c r="H641" s="45" t="s">
        <v>702</v>
      </c>
      <c r="I641" s="43" t="s">
        <v>702</v>
      </c>
      <c r="J641" s="43" t="s">
        <v>702</v>
      </c>
      <c r="K641" s="30">
        <v>52500</v>
      </c>
      <c r="L641" s="43" t="s">
        <v>702</v>
      </c>
      <c r="M641" s="3">
        <v>46198.663888888899</v>
      </c>
      <c r="N641" s="2" t="s">
        <v>811</v>
      </c>
      <c r="O641" s="3">
        <v>46218.663888888899</v>
      </c>
      <c r="P641" s="2" t="s">
        <v>811</v>
      </c>
      <c r="Q641" s="34"/>
      <c r="R641" s="1" t="s">
        <v>31</v>
      </c>
    </row>
    <row r="642" spans="2:18">
      <c r="B642" s="2" t="s">
        <v>2546</v>
      </c>
      <c r="C642" s="2" t="s">
        <v>1150</v>
      </c>
      <c r="D642" s="1">
        <v>3</v>
      </c>
      <c r="E642" s="2" t="s">
        <v>2547</v>
      </c>
      <c r="F642" s="2" t="s">
        <v>1271</v>
      </c>
      <c r="G642" s="45" t="s">
        <v>702</v>
      </c>
      <c r="H642" s="45">
        <v>3</v>
      </c>
      <c r="I642" s="43" t="s">
        <v>702</v>
      </c>
      <c r="J642" s="43" t="s">
        <v>702</v>
      </c>
      <c r="K642" s="30">
        <v>96000</v>
      </c>
      <c r="L642" s="43" t="s">
        <v>702</v>
      </c>
      <c r="M642" s="3">
        <v>46198.663888888899</v>
      </c>
      <c r="N642" s="2" t="s">
        <v>811</v>
      </c>
      <c r="O642" s="3">
        <v>46218.663888888899</v>
      </c>
      <c r="P642" s="2" t="s">
        <v>811</v>
      </c>
      <c r="Q642" s="34"/>
      <c r="R642" s="1" t="s">
        <v>31</v>
      </c>
    </row>
    <row r="643" spans="2:18">
      <c r="B643" s="2" t="s">
        <v>2548</v>
      </c>
      <c r="C643" s="2" t="s">
        <v>1150</v>
      </c>
      <c r="D643" s="1">
        <v>4</v>
      </c>
      <c r="E643" s="2" t="s">
        <v>2549</v>
      </c>
      <c r="F643" s="2" t="s">
        <v>1274</v>
      </c>
      <c r="G643" s="45">
        <v>11</v>
      </c>
      <c r="H643" s="45" t="s">
        <v>702</v>
      </c>
      <c r="I643" s="43" t="s">
        <v>702</v>
      </c>
      <c r="J643" s="43" t="s">
        <v>702</v>
      </c>
      <c r="K643" s="30">
        <v>137500</v>
      </c>
      <c r="L643" s="43" t="s">
        <v>702</v>
      </c>
      <c r="M643" s="3">
        <v>46198.663888888899</v>
      </c>
      <c r="N643" s="2" t="s">
        <v>811</v>
      </c>
      <c r="O643" s="3">
        <v>46218.663888888899</v>
      </c>
      <c r="P643" s="2" t="s">
        <v>811</v>
      </c>
      <c r="Q643" s="34"/>
      <c r="R643" s="1" t="s">
        <v>31</v>
      </c>
    </row>
    <row r="644" spans="2:18">
      <c r="B644" s="2" t="s">
        <v>2550</v>
      </c>
      <c r="C644" s="2" t="s">
        <v>1152</v>
      </c>
      <c r="D644" s="1">
        <v>1</v>
      </c>
      <c r="E644" s="2" t="s">
        <v>2551</v>
      </c>
      <c r="F644" s="2" t="s">
        <v>1277</v>
      </c>
      <c r="G644" s="1">
        <v>6</v>
      </c>
      <c r="H644" s="45" t="s">
        <v>702</v>
      </c>
      <c r="I644" s="43" t="s">
        <v>702</v>
      </c>
      <c r="J644" s="43" t="s">
        <v>702</v>
      </c>
      <c r="K644" s="30">
        <v>75000</v>
      </c>
      <c r="L644" s="43" t="s">
        <v>702</v>
      </c>
      <c r="M644" s="3">
        <v>46199.3840277778</v>
      </c>
      <c r="N644" s="2" t="s">
        <v>815</v>
      </c>
      <c r="O644" s="3">
        <v>46219.3840277778</v>
      </c>
      <c r="P644" s="2" t="s">
        <v>815</v>
      </c>
      <c r="Q644" s="34"/>
      <c r="R644" s="1" t="s">
        <v>31</v>
      </c>
    </row>
    <row r="645" spans="2:18">
      <c r="B645" s="2" t="s">
        <v>2552</v>
      </c>
      <c r="C645" s="2" t="s">
        <v>1152</v>
      </c>
      <c r="D645" s="1">
        <v>2</v>
      </c>
      <c r="E645" s="2" t="s">
        <v>2553</v>
      </c>
      <c r="F645" s="2" t="s">
        <v>1280</v>
      </c>
      <c r="G645" s="45" t="s">
        <v>702</v>
      </c>
      <c r="H645" s="1">
        <v>3</v>
      </c>
      <c r="I645" s="43" t="s">
        <v>702</v>
      </c>
      <c r="J645" s="43" t="s">
        <v>702</v>
      </c>
      <c r="K645" s="30">
        <v>127500</v>
      </c>
      <c r="L645" s="43" t="s">
        <v>702</v>
      </c>
      <c r="M645" s="3">
        <v>46199.3840277778</v>
      </c>
      <c r="N645" s="2" t="s">
        <v>815</v>
      </c>
      <c r="O645" s="3">
        <v>46219.3840277778</v>
      </c>
      <c r="P645" s="2" t="s">
        <v>815</v>
      </c>
      <c r="Q645" s="34"/>
      <c r="R645" s="1" t="s">
        <v>31</v>
      </c>
    </row>
    <row r="646" spans="2:18">
      <c r="B646" s="2" t="s">
        <v>2554</v>
      </c>
      <c r="C646" s="2" t="s">
        <v>1152</v>
      </c>
      <c r="D646" s="1">
        <v>3</v>
      </c>
      <c r="E646" s="2" t="s">
        <v>2555</v>
      </c>
      <c r="F646" s="2" t="s">
        <v>1283</v>
      </c>
      <c r="G646" s="1">
        <v>10</v>
      </c>
      <c r="H646" s="45" t="s">
        <v>702</v>
      </c>
      <c r="I646" s="43" t="s">
        <v>702</v>
      </c>
      <c r="J646" s="43" t="s">
        <v>702</v>
      </c>
      <c r="K646" s="30">
        <v>175000</v>
      </c>
      <c r="L646" s="43" t="s">
        <v>702</v>
      </c>
      <c r="M646" s="3">
        <v>46199.3840277778</v>
      </c>
      <c r="N646" s="2" t="s">
        <v>815</v>
      </c>
      <c r="O646" s="3">
        <v>46219.3840277778</v>
      </c>
      <c r="P646" s="2" t="s">
        <v>815</v>
      </c>
      <c r="Q646" s="34"/>
      <c r="R646" s="1" t="s">
        <v>31</v>
      </c>
    </row>
    <row r="647" spans="2:18" ht="29" customHeight="1">
      <c r="B647" s="2" t="s">
        <v>2556</v>
      </c>
      <c r="C647" s="2" t="s">
        <v>1152</v>
      </c>
      <c r="D647" s="1">
        <v>4</v>
      </c>
      <c r="E647" s="2" t="s">
        <v>2557</v>
      </c>
      <c r="F647" s="2" t="s">
        <v>1286</v>
      </c>
      <c r="G647" s="45" t="s">
        <v>702</v>
      </c>
      <c r="H647" s="45">
        <v>2</v>
      </c>
      <c r="I647" s="43" t="s">
        <v>702</v>
      </c>
      <c r="J647" s="43" t="s">
        <v>702</v>
      </c>
      <c r="K647" s="30">
        <v>60000</v>
      </c>
      <c r="L647" s="43" t="s">
        <v>702</v>
      </c>
      <c r="M647" s="3">
        <v>46199.3840277778</v>
      </c>
      <c r="N647" s="2" t="s">
        <v>815</v>
      </c>
      <c r="O647" s="3">
        <v>46219.3840277778</v>
      </c>
      <c r="P647" s="2" t="s">
        <v>815</v>
      </c>
      <c r="Q647" s="34"/>
      <c r="R647" s="1" t="s">
        <v>31</v>
      </c>
    </row>
    <row r="648" spans="2:18">
      <c r="B648" s="2" t="s">
        <v>2558</v>
      </c>
      <c r="C648" s="2" t="s">
        <v>1154</v>
      </c>
      <c r="D648" s="1">
        <v>1</v>
      </c>
      <c r="E648" s="2" t="s">
        <v>2559</v>
      </c>
      <c r="F648" s="2" t="s">
        <v>1289</v>
      </c>
      <c r="G648" s="45" t="s">
        <v>702</v>
      </c>
      <c r="H648" s="1">
        <v>3</v>
      </c>
      <c r="I648" s="43" t="s">
        <v>702</v>
      </c>
      <c r="J648" s="43" t="s">
        <v>702</v>
      </c>
      <c r="K648" s="30">
        <v>120000</v>
      </c>
      <c r="L648" s="43" t="s">
        <v>702</v>
      </c>
      <c r="M648" s="3">
        <v>46199.520833333299</v>
      </c>
      <c r="N648" s="2" t="s">
        <v>86</v>
      </c>
      <c r="O648" s="3">
        <v>46219.520833333299</v>
      </c>
      <c r="P648" s="2" t="s">
        <v>86</v>
      </c>
      <c r="Q648" s="34"/>
      <c r="R648" s="1" t="s">
        <v>31</v>
      </c>
    </row>
    <row r="649" spans="2:18">
      <c r="B649" s="2" t="s">
        <v>2560</v>
      </c>
      <c r="C649" s="2" t="s">
        <v>1154</v>
      </c>
      <c r="D649" s="1">
        <v>2</v>
      </c>
      <c r="E649" s="2" t="s">
        <v>2561</v>
      </c>
      <c r="F649" s="2" t="s">
        <v>1292</v>
      </c>
      <c r="G649" s="1">
        <v>9</v>
      </c>
      <c r="H649" s="45" t="s">
        <v>702</v>
      </c>
      <c r="I649" s="43" t="s">
        <v>702</v>
      </c>
      <c r="J649" s="43" t="s">
        <v>702</v>
      </c>
      <c r="K649" s="30">
        <v>135000</v>
      </c>
      <c r="L649" s="43" t="s">
        <v>702</v>
      </c>
      <c r="M649" s="3">
        <v>46199.520833333299</v>
      </c>
      <c r="N649" s="2" t="s">
        <v>86</v>
      </c>
      <c r="O649" s="3">
        <v>46219.520833333299</v>
      </c>
      <c r="P649" s="2" t="s">
        <v>86</v>
      </c>
      <c r="Q649" s="34"/>
      <c r="R649" s="1" t="s">
        <v>31</v>
      </c>
    </row>
    <row r="650" spans="2:18" ht="29" customHeight="1">
      <c r="B650" s="2" t="s">
        <v>2562</v>
      </c>
      <c r="C650" s="2" t="s">
        <v>1154</v>
      </c>
      <c r="D650" s="1">
        <v>3</v>
      </c>
      <c r="E650" s="2" t="s">
        <v>2563</v>
      </c>
      <c r="F650" s="2" t="s">
        <v>1295</v>
      </c>
      <c r="G650" s="45" t="s">
        <v>702</v>
      </c>
      <c r="H650" s="1">
        <v>2</v>
      </c>
      <c r="I650" s="43" t="s">
        <v>702</v>
      </c>
      <c r="J650" s="43" t="s">
        <v>702</v>
      </c>
      <c r="K650" s="30">
        <v>30000</v>
      </c>
      <c r="L650" s="43" t="s">
        <v>702</v>
      </c>
      <c r="M650" s="3">
        <v>46199.520833333299</v>
      </c>
      <c r="N650" s="2" t="s">
        <v>86</v>
      </c>
      <c r="O650" s="3">
        <v>46219.520833333299</v>
      </c>
      <c r="P650" s="2" t="s">
        <v>86</v>
      </c>
      <c r="Q650" s="34"/>
      <c r="R650" s="1" t="s">
        <v>31</v>
      </c>
    </row>
    <row r="651" spans="2:18">
      <c r="B651" s="2" t="s">
        <v>2564</v>
      </c>
      <c r="C651" s="2" t="s">
        <v>1154</v>
      </c>
      <c r="D651" s="1">
        <v>4</v>
      </c>
      <c r="E651" s="2" t="s">
        <v>2565</v>
      </c>
      <c r="F651" s="2" t="s">
        <v>1298</v>
      </c>
      <c r="G651" s="1">
        <v>1</v>
      </c>
      <c r="H651" s="45" t="s">
        <v>702</v>
      </c>
      <c r="I651" s="43" t="s">
        <v>702</v>
      </c>
      <c r="J651" s="43" t="s">
        <v>702</v>
      </c>
      <c r="K651" s="30">
        <v>5000</v>
      </c>
      <c r="L651" s="43" t="s">
        <v>702</v>
      </c>
      <c r="M651" s="3">
        <v>46199.520833333299</v>
      </c>
      <c r="N651" s="2" t="s">
        <v>86</v>
      </c>
      <c r="O651" s="3">
        <v>46219.520833333299</v>
      </c>
      <c r="P651" s="2" t="s">
        <v>86</v>
      </c>
      <c r="Q651" s="34"/>
      <c r="R651" s="1" t="s">
        <v>31</v>
      </c>
    </row>
    <row r="652" spans="2:18">
      <c r="B652" s="2" t="s">
        <v>2566</v>
      </c>
      <c r="C652" s="2" t="s">
        <v>1156</v>
      </c>
      <c r="D652" s="1">
        <v>1</v>
      </c>
      <c r="E652" s="2" t="s">
        <v>2567</v>
      </c>
      <c r="F652" s="2" t="s">
        <v>1301</v>
      </c>
      <c r="G652" s="45">
        <v>8</v>
      </c>
      <c r="H652" s="45" t="s">
        <v>702</v>
      </c>
      <c r="I652" s="43" t="s">
        <v>702</v>
      </c>
      <c r="J652" s="43" t="s">
        <v>702</v>
      </c>
      <c r="K652" s="30">
        <v>56000</v>
      </c>
      <c r="L652" s="43" t="s">
        <v>702</v>
      </c>
      <c r="M652" s="3">
        <v>46200.657638888901</v>
      </c>
      <c r="N652" s="2" t="s">
        <v>822</v>
      </c>
      <c r="O652" s="3">
        <v>46220.657638888901</v>
      </c>
      <c r="P652" s="2" t="s">
        <v>822</v>
      </c>
      <c r="Q652" s="34"/>
      <c r="R652" s="1" t="s">
        <v>31</v>
      </c>
    </row>
    <row r="653" spans="2:18" ht="29" customHeight="1">
      <c r="B653" s="2" t="s">
        <v>2568</v>
      </c>
      <c r="C653" s="2" t="s">
        <v>1156</v>
      </c>
      <c r="D653" s="1">
        <v>2</v>
      </c>
      <c r="E653" s="2" t="s">
        <v>2569</v>
      </c>
      <c r="F653" s="2" t="s">
        <v>1304</v>
      </c>
      <c r="G653" s="45" t="s">
        <v>702</v>
      </c>
      <c r="H653" s="45">
        <v>2</v>
      </c>
      <c r="I653" s="43" t="s">
        <v>702</v>
      </c>
      <c r="J653" s="43" t="s">
        <v>702</v>
      </c>
      <c r="K653" s="30">
        <v>40000</v>
      </c>
      <c r="L653" s="43" t="s">
        <v>702</v>
      </c>
      <c r="M653" s="3">
        <v>46200.657638888901</v>
      </c>
      <c r="N653" s="2" t="s">
        <v>822</v>
      </c>
      <c r="O653" s="3">
        <v>46220.657638888901</v>
      </c>
      <c r="P653" s="2" t="s">
        <v>822</v>
      </c>
      <c r="Q653" s="34"/>
      <c r="R653" s="1" t="s">
        <v>31</v>
      </c>
    </row>
    <row r="654" spans="2:18">
      <c r="B654" s="2" t="s">
        <v>2570</v>
      </c>
      <c r="C654" s="2" t="s">
        <v>1156</v>
      </c>
      <c r="D654" s="1">
        <v>3</v>
      </c>
      <c r="E654" s="2" t="s">
        <v>2571</v>
      </c>
      <c r="F654" s="2" t="s">
        <v>1307</v>
      </c>
      <c r="G654" s="45">
        <v>12</v>
      </c>
      <c r="H654" s="45" t="s">
        <v>702</v>
      </c>
      <c r="I654" s="43" t="s">
        <v>702</v>
      </c>
      <c r="J654" s="43" t="s">
        <v>702</v>
      </c>
      <c r="K654" s="30">
        <v>96000</v>
      </c>
      <c r="L654" s="43" t="s">
        <v>702</v>
      </c>
      <c r="M654" s="3">
        <v>46200.657638888901</v>
      </c>
      <c r="N654" s="2" t="s">
        <v>822</v>
      </c>
      <c r="O654" s="3">
        <v>46220.657638888901</v>
      </c>
      <c r="P654" s="2" t="s">
        <v>822</v>
      </c>
      <c r="Q654" s="34"/>
      <c r="R654" s="1" t="s">
        <v>31</v>
      </c>
    </row>
    <row r="655" spans="2:18">
      <c r="B655" s="2" t="s">
        <v>2572</v>
      </c>
      <c r="C655" s="2" t="s">
        <v>1156</v>
      </c>
      <c r="D655" s="1">
        <v>4</v>
      </c>
      <c r="E655" s="2" t="s">
        <v>2573</v>
      </c>
      <c r="F655" s="2" t="s">
        <v>1310</v>
      </c>
      <c r="G655" s="45" t="s">
        <v>702</v>
      </c>
      <c r="H655" s="45">
        <v>1</v>
      </c>
      <c r="I655" s="43" t="s">
        <v>702</v>
      </c>
      <c r="J655" s="43" t="s">
        <v>702</v>
      </c>
      <c r="K655" s="30">
        <v>40000</v>
      </c>
      <c r="L655" s="43" t="s">
        <v>702</v>
      </c>
      <c r="M655" s="3">
        <v>46200.657638888901</v>
      </c>
      <c r="N655" s="2" t="s">
        <v>822</v>
      </c>
      <c r="O655" s="3">
        <v>46220.657638888901</v>
      </c>
      <c r="P655" s="2" t="s">
        <v>822</v>
      </c>
      <c r="Q655" s="34"/>
      <c r="R655" s="1" t="s">
        <v>31</v>
      </c>
    </row>
    <row r="656" spans="2:18" ht="29" customHeight="1">
      <c r="B656" s="2" t="s">
        <v>2574</v>
      </c>
      <c r="C656" s="2" t="s">
        <v>1158</v>
      </c>
      <c r="D656" s="1">
        <v>1</v>
      </c>
      <c r="E656" s="2" t="s">
        <v>2575</v>
      </c>
      <c r="F656" s="2" t="s">
        <v>1313</v>
      </c>
      <c r="G656" s="45" t="s">
        <v>702</v>
      </c>
      <c r="H656" s="1">
        <v>2</v>
      </c>
      <c r="I656" s="43" t="s">
        <v>702</v>
      </c>
      <c r="J656" s="43" t="s">
        <v>702</v>
      </c>
      <c r="K656" s="30">
        <v>80000</v>
      </c>
      <c r="L656" s="43" t="s">
        <v>702</v>
      </c>
      <c r="M656" s="3">
        <v>46200.4194444444</v>
      </c>
      <c r="N656" s="2" t="s">
        <v>826</v>
      </c>
      <c r="O656" s="3">
        <v>46220.4194444444</v>
      </c>
      <c r="P656" s="2" t="s">
        <v>826</v>
      </c>
      <c r="Q656" s="34"/>
      <c r="R656" s="1" t="s">
        <v>31</v>
      </c>
    </row>
    <row r="657" spans="2:18">
      <c r="B657" s="2" t="s">
        <v>2576</v>
      </c>
      <c r="C657" s="2" t="s">
        <v>1158</v>
      </c>
      <c r="D657" s="1">
        <v>2</v>
      </c>
      <c r="E657" s="2" t="s">
        <v>2577</v>
      </c>
      <c r="F657" s="2" t="s">
        <v>1316</v>
      </c>
      <c r="G657" s="1">
        <v>11</v>
      </c>
      <c r="H657" s="45" t="s">
        <v>702</v>
      </c>
      <c r="I657" s="43" t="s">
        <v>702</v>
      </c>
      <c r="J657" s="43" t="s">
        <v>702</v>
      </c>
      <c r="K657" s="30">
        <v>165000</v>
      </c>
      <c r="L657" s="43" t="s">
        <v>702</v>
      </c>
      <c r="M657" s="3">
        <v>46200.4194444444</v>
      </c>
      <c r="N657" s="2" t="s">
        <v>826</v>
      </c>
      <c r="O657" s="3">
        <v>46220.4194444444</v>
      </c>
      <c r="P657" s="2" t="s">
        <v>826</v>
      </c>
      <c r="Q657" s="34"/>
      <c r="R657" s="1" t="s">
        <v>31</v>
      </c>
    </row>
    <row r="658" spans="2:18">
      <c r="B658" s="2" t="s">
        <v>2578</v>
      </c>
      <c r="C658" s="2" t="s">
        <v>1158</v>
      </c>
      <c r="D658" s="1">
        <v>3</v>
      </c>
      <c r="E658" s="2" t="s">
        <v>2579</v>
      </c>
      <c r="F658" s="2" t="s">
        <v>1319</v>
      </c>
      <c r="G658" s="45" t="s">
        <v>702</v>
      </c>
      <c r="H658" s="45">
        <v>1</v>
      </c>
      <c r="I658" s="43" t="s">
        <v>702</v>
      </c>
      <c r="J658" s="43" t="s">
        <v>702</v>
      </c>
      <c r="K658" s="30">
        <v>60000</v>
      </c>
      <c r="L658" s="43" t="s">
        <v>702</v>
      </c>
      <c r="M658" s="3">
        <v>46200.4194444444</v>
      </c>
      <c r="N658" s="2" t="s">
        <v>826</v>
      </c>
      <c r="O658" s="3">
        <v>46220.4194444444</v>
      </c>
      <c r="P658" s="2" t="s">
        <v>826</v>
      </c>
      <c r="Q658" s="34"/>
      <c r="R658" s="1" t="s">
        <v>31</v>
      </c>
    </row>
    <row r="659" spans="2:18">
      <c r="B659" s="2" t="s">
        <v>2580</v>
      </c>
      <c r="C659" s="2" t="s">
        <v>1158</v>
      </c>
      <c r="D659" s="1">
        <v>4</v>
      </c>
      <c r="E659" s="2" t="s">
        <v>2581</v>
      </c>
      <c r="F659" s="2" t="s">
        <v>1259</v>
      </c>
      <c r="G659" s="45">
        <v>3</v>
      </c>
      <c r="H659" s="45" t="s">
        <v>702</v>
      </c>
      <c r="I659" s="43" t="s">
        <v>702</v>
      </c>
      <c r="J659" s="43" t="s">
        <v>702</v>
      </c>
      <c r="K659" s="30">
        <v>37500</v>
      </c>
      <c r="L659" s="43" t="s">
        <v>702</v>
      </c>
      <c r="M659" s="3">
        <v>46200.4194444444</v>
      </c>
      <c r="N659" s="2" t="s">
        <v>826</v>
      </c>
      <c r="O659" s="3">
        <v>46220.4194444444</v>
      </c>
      <c r="P659" s="2" t="s">
        <v>826</v>
      </c>
      <c r="Q659" s="34"/>
      <c r="R659" s="1" t="s">
        <v>31</v>
      </c>
    </row>
    <row r="660" spans="2:18">
      <c r="B660" s="2" t="s">
        <v>2582</v>
      </c>
      <c r="C660" s="2" t="s">
        <v>1160</v>
      </c>
      <c r="D660" s="1">
        <v>1</v>
      </c>
      <c r="E660" s="2" t="s">
        <v>2583</v>
      </c>
      <c r="F660" s="2" t="s">
        <v>1262</v>
      </c>
      <c r="G660" s="1">
        <v>10</v>
      </c>
      <c r="H660" s="45" t="s">
        <v>702</v>
      </c>
      <c r="I660" s="43" t="s">
        <v>702</v>
      </c>
      <c r="J660" s="43" t="s">
        <v>702</v>
      </c>
      <c r="K660" s="30">
        <v>150000</v>
      </c>
      <c r="L660" s="43" t="s">
        <v>702</v>
      </c>
      <c r="M660" s="3">
        <v>46201.514583333301</v>
      </c>
      <c r="N660" s="2" t="s">
        <v>830</v>
      </c>
      <c r="O660" s="3">
        <v>46221.514583333301</v>
      </c>
      <c r="P660" s="2" t="s">
        <v>830</v>
      </c>
      <c r="Q660" s="34"/>
      <c r="R660" s="1" t="s">
        <v>31</v>
      </c>
    </row>
    <row r="661" spans="2:18">
      <c r="B661" s="2" t="s">
        <v>2584</v>
      </c>
      <c r="C661" s="2" t="s">
        <v>1160</v>
      </c>
      <c r="D661" s="1">
        <v>2</v>
      </c>
      <c r="E661" s="2" t="s">
        <v>2585</v>
      </c>
      <c r="F661" s="2" t="s">
        <v>1265</v>
      </c>
      <c r="G661" s="45" t="s">
        <v>702</v>
      </c>
      <c r="H661" s="1">
        <v>1</v>
      </c>
      <c r="I661" s="43" t="s">
        <v>702</v>
      </c>
      <c r="J661" s="43" t="s">
        <v>702</v>
      </c>
      <c r="K661" s="30">
        <v>50000</v>
      </c>
      <c r="L661" s="43" t="s">
        <v>702</v>
      </c>
      <c r="M661" s="3">
        <v>46201.514583333301</v>
      </c>
      <c r="N661" s="2" t="s">
        <v>830</v>
      </c>
      <c r="O661" s="3">
        <v>46221.514583333301</v>
      </c>
      <c r="P661" s="2" t="s">
        <v>830</v>
      </c>
      <c r="Q661" s="34"/>
      <c r="R661" s="1" t="s">
        <v>31</v>
      </c>
    </row>
    <row r="662" spans="2:18">
      <c r="B662" s="2" t="s">
        <v>2586</v>
      </c>
      <c r="C662" s="2" t="s">
        <v>1160</v>
      </c>
      <c r="D662" s="1">
        <v>3</v>
      </c>
      <c r="E662" s="2" t="s">
        <v>2587</v>
      </c>
      <c r="F662" s="2" t="s">
        <v>1268</v>
      </c>
      <c r="G662" s="1">
        <v>2</v>
      </c>
      <c r="H662" s="45" t="s">
        <v>702</v>
      </c>
      <c r="I662" s="43" t="s">
        <v>702</v>
      </c>
      <c r="J662" s="43" t="s">
        <v>702</v>
      </c>
      <c r="K662" s="30">
        <v>15000</v>
      </c>
      <c r="L662" s="43" t="s">
        <v>702</v>
      </c>
      <c r="M662" s="3">
        <v>46201.514583333301</v>
      </c>
      <c r="N662" s="2" t="s">
        <v>830</v>
      </c>
      <c r="O662" s="3">
        <v>46221.514583333301</v>
      </c>
      <c r="P662" s="2" t="s">
        <v>830</v>
      </c>
      <c r="Q662" s="34"/>
      <c r="R662" s="1" t="s">
        <v>31</v>
      </c>
    </row>
    <row r="663" spans="2:18" ht="29" customHeight="1">
      <c r="B663" s="2" t="s">
        <v>2588</v>
      </c>
      <c r="C663" s="2" t="s">
        <v>1160</v>
      </c>
      <c r="D663" s="1">
        <v>4</v>
      </c>
      <c r="E663" s="2" t="s">
        <v>2589</v>
      </c>
      <c r="F663" s="2" t="s">
        <v>1271</v>
      </c>
      <c r="G663" s="45" t="s">
        <v>702</v>
      </c>
      <c r="H663" s="1">
        <v>3</v>
      </c>
      <c r="I663" s="43" t="s">
        <v>702</v>
      </c>
      <c r="J663" s="43" t="s">
        <v>702</v>
      </c>
      <c r="K663" s="30">
        <v>96000</v>
      </c>
      <c r="L663" s="43" t="s">
        <v>702</v>
      </c>
      <c r="M663" s="3">
        <v>46201.514583333301</v>
      </c>
      <c r="N663" s="2" t="s">
        <v>830</v>
      </c>
      <c r="O663" s="3">
        <v>46221.514583333301</v>
      </c>
      <c r="P663" s="2" t="s">
        <v>830</v>
      </c>
      <c r="Q663" s="34"/>
      <c r="R663" s="1" t="s">
        <v>31</v>
      </c>
    </row>
    <row r="664" spans="2:18">
      <c r="B664" s="2" t="s">
        <v>2590</v>
      </c>
      <c r="C664" s="2" t="s">
        <v>1162</v>
      </c>
      <c r="D664" s="1">
        <v>1</v>
      </c>
      <c r="E664" s="2" t="s">
        <v>2591</v>
      </c>
      <c r="F664" s="2" t="s">
        <v>1274</v>
      </c>
      <c r="G664" s="45" t="s">
        <v>702</v>
      </c>
      <c r="H664" s="45">
        <v>1</v>
      </c>
      <c r="I664" s="43" t="s">
        <v>702</v>
      </c>
      <c r="J664" s="43" t="s">
        <v>702</v>
      </c>
      <c r="K664" s="30">
        <v>40000</v>
      </c>
      <c r="L664" s="43" t="s">
        <v>702</v>
      </c>
      <c r="M664" s="3">
        <v>46201.651388888902</v>
      </c>
      <c r="N664" s="2" t="s">
        <v>834</v>
      </c>
      <c r="O664" s="3">
        <v>46221.651388888902</v>
      </c>
      <c r="P664" s="2" t="s">
        <v>834</v>
      </c>
      <c r="Q664" s="34"/>
      <c r="R664" s="1" t="s">
        <v>31</v>
      </c>
    </row>
    <row r="665" spans="2:18">
      <c r="B665" s="2" t="s">
        <v>2592</v>
      </c>
      <c r="C665" s="2" t="s">
        <v>1162</v>
      </c>
      <c r="D665" s="1">
        <v>2</v>
      </c>
      <c r="E665" s="2" t="s">
        <v>2593</v>
      </c>
      <c r="F665" s="2" t="s">
        <v>1277</v>
      </c>
      <c r="G665" s="45">
        <v>1</v>
      </c>
      <c r="H665" s="45" t="s">
        <v>702</v>
      </c>
      <c r="I665" s="43" t="s">
        <v>702</v>
      </c>
      <c r="J665" s="43" t="s">
        <v>702</v>
      </c>
      <c r="K665" s="30">
        <v>12500</v>
      </c>
      <c r="L665" s="43" t="s">
        <v>702</v>
      </c>
      <c r="M665" s="3">
        <v>46201.651388888902</v>
      </c>
      <c r="N665" s="2" t="s">
        <v>834</v>
      </c>
      <c r="O665" s="3">
        <v>46221.651388888902</v>
      </c>
      <c r="P665" s="2" t="s">
        <v>834</v>
      </c>
      <c r="Q665" s="34"/>
      <c r="R665" s="1" t="s">
        <v>31</v>
      </c>
    </row>
    <row r="666" spans="2:18" ht="29" customHeight="1">
      <c r="B666" s="2" t="s">
        <v>2594</v>
      </c>
      <c r="C666" s="2" t="s">
        <v>1162</v>
      </c>
      <c r="D666" s="1">
        <v>3</v>
      </c>
      <c r="E666" s="2" t="s">
        <v>2595</v>
      </c>
      <c r="F666" s="2" t="s">
        <v>1280</v>
      </c>
      <c r="G666" s="45" t="s">
        <v>702</v>
      </c>
      <c r="H666" s="45">
        <v>3</v>
      </c>
      <c r="I666" s="43" t="s">
        <v>702</v>
      </c>
      <c r="J666" s="43" t="s">
        <v>702</v>
      </c>
      <c r="K666" s="30">
        <v>127500</v>
      </c>
      <c r="L666" s="43" t="s">
        <v>702</v>
      </c>
      <c r="M666" s="3">
        <v>46201.651388888902</v>
      </c>
      <c r="N666" s="2" t="s">
        <v>834</v>
      </c>
      <c r="O666" s="3">
        <v>46221.651388888902</v>
      </c>
      <c r="P666" s="2" t="s">
        <v>834</v>
      </c>
      <c r="Q666" s="34"/>
      <c r="R666" s="1" t="s">
        <v>31</v>
      </c>
    </row>
    <row r="667" spans="2:18" ht="29" customHeight="1">
      <c r="B667" s="2" t="s">
        <v>2596</v>
      </c>
      <c r="C667" s="2" t="s">
        <v>1162</v>
      </c>
      <c r="D667" s="1">
        <v>4</v>
      </c>
      <c r="E667" s="2" t="s">
        <v>2597</v>
      </c>
      <c r="F667" s="2" t="s">
        <v>1283</v>
      </c>
      <c r="G667" s="45">
        <v>5</v>
      </c>
      <c r="H667" s="45" t="s">
        <v>702</v>
      </c>
      <c r="I667" s="43" t="s">
        <v>702</v>
      </c>
      <c r="J667" s="43" t="s">
        <v>702</v>
      </c>
      <c r="K667" s="30">
        <v>87500</v>
      </c>
      <c r="L667" s="43" t="s">
        <v>702</v>
      </c>
      <c r="M667" s="3">
        <v>46201.651388888902</v>
      </c>
      <c r="N667" s="2" t="s">
        <v>834</v>
      </c>
      <c r="O667" s="3">
        <v>46221.651388888902</v>
      </c>
      <c r="P667" s="2" t="s">
        <v>834</v>
      </c>
      <c r="Q667" s="34"/>
      <c r="R667" s="1" t="s">
        <v>31</v>
      </c>
    </row>
    <row r="668" spans="2:18">
      <c r="B668" s="2" t="s">
        <v>2598</v>
      </c>
      <c r="C668" s="2" t="s">
        <v>1164</v>
      </c>
      <c r="D668" s="1">
        <v>1</v>
      </c>
      <c r="E668" s="2" t="s">
        <v>2599</v>
      </c>
      <c r="F668" s="2" t="s">
        <v>1286</v>
      </c>
      <c r="G668" s="1">
        <v>12</v>
      </c>
      <c r="H668" s="45" t="s">
        <v>702</v>
      </c>
      <c r="I668" s="43" t="s">
        <v>702</v>
      </c>
      <c r="J668" s="43" t="s">
        <v>702</v>
      </c>
      <c r="K668" s="30">
        <v>120000</v>
      </c>
      <c r="L668" s="43" t="s">
        <v>702</v>
      </c>
      <c r="M668" s="3">
        <v>46202.413194444402</v>
      </c>
      <c r="N668" s="2" t="s">
        <v>838</v>
      </c>
      <c r="O668" s="3">
        <v>46222.413194444402</v>
      </c>
      <c r="P668" s="2" t="s">
        <v>838</v>
      </c>
      <c r="Q668" s="34"/>
      <c r="R668" s="1" t="s">
        <v>31</v>
      </c>
    </row>
    <row r="669" spans="2:18" ht="29" customHeight="1">
      <c r="B669" s="2" t="s">
        <v>2600</v>
      </c>
      <c r="C669" s="2" t="s">
        <v>1164</v>
      </c>
      <c r="D669" s="1">
        <v>2</v>
      </c>
      <c r="E669" s="2" t="s">
        <v>2601</v>
      </c>
      <c r="F669" s="2" t="s">
        <v>1289</v>
      </c>
      <c r="G669" s="45" t="s">
        <v>702</v>
      </c>
      <c r="H669" s="1">
        <v>3</v>
      </c>
      <c r="I669" s="43" t="s">
        <v>702</v>
      </c>
      <c r="J669" s="43" t="s">
        <v>702</v>
      </c>
      <c r="K669" s="30">
        <v>120000</v>
      </c>
      <c r="L669" s="43" t="s">
        <v>702</v>
      </c>
      <c r="M669" s="3">
        <v>46202.413194444402</v>
      </c>
      <c r="N669" s="2" t="s">
        <v>838</v>
      </c>
      <c r="O669" s="3">
        <v>46222.413194444402</v>
      </c>
      <c r="P669" s="2" t="s">
        <v>838</v>
      </c>
      <c r="Q669" s="34"/>
      <c r="R669" s="1" t="s">
        <v>31</v>
      </c>
    </row>
    <row r="670" spans="2:18" ht="29" customHeight="1">
      <c r="B670" s="2" t="s">
        <v>2602</v>
      </c>
      <c r="C670" s="2" t="s">
        <v>1164</v>
      </c>
      <c r="D670" s="1">
        <v>3</v>
      </c>
      <c r="E670" s="2" t="s">
        <v>2603</v>
      </c>
      <c r="F670" s="2" t="s">
        <v>1292</v>
      </c>
      <c r="G670" s="1">
        <v>4</v>
      </c>
      <c r="H670" s="45" t="s">
        <v>702</v>
      </c>
      <c r="I670" s="43" t="s">
        <v>702</v>
      </c>
      <c r="J670" s="43" t="s">
        <v>702</v>
      </c>
      <c r="K670" s="30">
        <v>60000</v>
      </c>
      <c r="L670" s="43" t="s">
        <v>702</v>
      </c>
      <c r="M670" s="3">
        <v>46202.413194444402</v>
      </c>
      <c r="N670" s="2" t="s">
        <v>838</v>
      </c>
      <c r="O670" s="3">
        <v>46222.413194444402</v>
      </c>
      <c r="P670" s="2" t="s">
        <v>838</v>
      </c>
      <c r="Q670" s="34"/>
      <c r="R670" s="1" t="s">
        <v>31</v>
      </c>
    </row>
    <row r="671" spans="2:18">
      <c r="B671" s="2" t="s">
        <v>2604</v>
      </c>
      <c r="C671" s="2" t="s">
        <v>1164</v>
      </c>
      <c r="D671" s="1">
        <v>4</v>
      </c>
      <c r="E671" s="2" t="s">
        <v>2605</v>
      </c>
      <c r="F671" s="2" t="s">
        <v>1295</v>
      </c>
      <c r="G671" s="45" t="s">
        <v>702</v>
      </c>
      <c r="H671" s="1">
        <v>2</v>
      </c>
      <c r="I671" s="43" t="s">
        <v>702</v>
      </c>
      <c r="J671" s="43" t="s">
        <v>702</v>
      </c>
      <c r="K671" s="30">
        <v>30000</v>
      </c>
      <c r="L671" s="43" t="s">
        <v>702</v>
      </c>
      <c r="M671" s="3">
        <v>46202.413194444402</v>
      </c>
      <c r="N671" s="2" t="s">
        <v>838</v>
      </c>
      <c r="O671" s="3">
        <v>46222.413194444402</v>
      </c>
      <c r="P671" s="2" t="s">
        <v>838</v>
      </c>
      <c r="Q671" s="34"/>
      <c r="R671" s="1" t="s">
        <v>31</v>
      </c>
    </row>
    <row r="672" spans="2:18" ht="29" customHeight="1">
      <c r="B672" s="2" t="s">
        <v>2606</v>
      </c>
      <c r="C672" s="2" t="s">
        <v>1166</v>
      </c>
      <c r="D672" s="1">
        <v>1</v>
      </c>
      <c r="E672" s="2" t="s">
        <v>2607</v>
      </c>
      <c r="F672" s="2" t="s">
        <v>1298</v>
      </c>
      <c r="G672" s="45" t="s">
        <v>702</v>
      </c>
      <c r="H672" s="45">
        <v>3</v>
      </c>
      <c r="I672" s="43" t="s">
        <v>702</v>
      </c>
      <c r="J672" s="43" t="s">
        <v>702</v>
      </c>
      <c r="K672" s="30">
        <v>60000</v>
      </c>
      <c r="L672" s="43" t="s">
        <v>702</v>
      </c>
      <c r="M672" s="3">
        <v>46202.508333333302</v>
      </c>
      <c r="N672" s="2" t="s">
        <v>842</v>
      </c>
      <c r="O672" s="3">
        <v>46222.508333333302</v>
      </c>
      <c r="P672" s="2" t="s">
        <v>842</v>
      </c>
      <c r="Q672" s="34"/>
      <c r="R672" s="1" t="s">
        <v>31</v>
      </c>
    </row>
    <row r="673" spans="2:18" ht="29" customHeight="1">
      <c r="B673" s="2" t="s">
        <v>2608</v>
      </c>
      <c r="C673" s="2" t="s">
        <v>1166</v>
      </c>
      <c r="D673" s="1">
        <v>2</v>
      </c>
      <c r="E673" s="2" t="s">
        <v>2609</v>
      </c>
      <c r="F673" s="2" t="s">
        <v>1301</v>
      </c>
      <c r="G673" s="1">
        <v>3</v>
      </c>
      <c r="H673" s="45" t="s">
        <v>702</v>
      </c>
      <c r="I673" s="43" t="s">
        <v>702</v>
      </c>
      <c r="J673" s="43" t="s">
        <v>702</v>
      </c>
      <c r="K673" s="30">
        <v>21000</v>
      </c>
      <c r="L673" s="43" t="s">
        <v>702</v>
      </c>
      <c r="M673" s="3">
        <v>46202.508333333302</v>
      </c>
      <c r="N673" s="2" t="s">
        <v>842</v>
      </c>
      <c r="O673" s="3">
        <v>46222.508333333302</v>
      </c>
      <c r="P673" s="2" t="s">
        <v>842</v>
      </c>
      <c r="Q673" s="34"/>
      <c r="R673" s="1" t="s">
        <v>31</v>
      </c>
    </row>
    <row r="674" spans="2:18">
      <c r="B674" s="2" t="s">
        <v>2610</v>
      </c>
      <c r="C674" s="2" t="s">
        <v>1166</v>
      </c>
      <c r="D674" s="1">
        <v>3</v>
      </c>
      <c r="E674" s="2" t="s">
        <v>2611</v>
      </c>
      <c r="F674" s="2" t="s">
        <v>1304</v>
      </c>
      <c r="G674" s="45" t="s">
        <v>702</v>
      </c>
      <c r="H674" s="1">
        <v>2</v>
      </c>
      <c r="I674" s="43" t="s">
        <v>702</v>
      </c>
      <c r="J674" s="43" t="s">
        <v>702</v>
      </c>
      <c r="K674" s="30">
        <v>40000</v>
      </c>
      <c r="L674" s="43" t="s">
        <v>702</v>
      </c>
      <c r="M674" s="3">
        <v>46202.508333333302</v>
      </c>
      <c r="N674" s="2" t="s">
        <v>842</v>
      </c>
      <c r="O674" s="3">
        <v>46222.508333333302</v>
      </c>
      <c r="P674" s="2" t="s">
        <v>842</v>
      </c>
      <c r="Q674" s="34"/>
      <c r="R674" s="1" t="s">
        <v>31</v>
      </c>
    </row>
    <row r="675" spans="2:18">
      <c r="B675" s="2" t="s">
        <v>2612</v>
      </c>
      <c r="C675" s="2" t="s">
        <v>1166</v>
      </c>
      <c r="D675" s="1">
        <v>4</v>
      </c>
      <c r="E675" s="2" t="s">
        <v>2613</v>
      </c>
      <c r="F675" s="2" t="s">
        <v>1307</v>
      </c>
      <c r="G675" s="45">
        <v>7</v>
      </c>
      <c r="H675" s="45" t="s">
        <v>702</v>
      </c>
      <c r="I675" s="43" t="s">
        <v>702</v>
      </c>
      <c r="J675" s="43" t="s">
        <v>702</v>
      </c>
      <c r="K675" s="30">
        <v>56000</v>
      </c>
      <c r="L675" s="43" t="s">
        <v>702</v>
      </c>
      <c r="M675" s="3">
        <v>46202.508333333302</v>
      </c>
      <c r="N675" s="2" t="s">
        <v>842</v>
      </c>
      <c r="O675" s="3">
        <v>46222.508333333302</v>
      </c>
      <c r="P675" s="2" t="s">
        <v>842</v>
      </c>
      <c r="Q675" s="34"/>
      <c r="R675" s="1" t="s">
        <v>31</v>
      </c>
    </row>
    <row r="676" spans="2:18" ht="29" customHeight="1">
      <c r="B676" s="2" t="s">
        <v>2614</v>
      </c>
      <c r="C676" s="2" t="s">
        <v>1168</v>
      </c>
      <c r="D676" s="1">
        <v>1</v>
      </c>
      <c r="E676" s="2" t="s">
        <v>2615</v>
      </c>
      <c r="F676" s="2" t="s">
        <v>1310</v>
      </c>
      <c r="G676" s="1">
        <v>2</v>
      </c>
      <c r="H676" s="45" t="s">
        <v>702</v>
      </c>
      <c r="I676" s="43" t="s">
        <v>702</v>
      </c>
      <c r="J676" s="43" t="s">
        <v>702</v>
      </c>
      <c r="K676" s="30">
        <v>24000</v>
      </c>
      <c r="L676" s="43" t="s">
        <v>702</v>
      </c>
      <c r="M676" s="3">
        <v>46202.645138888904</v>
      </c>
      <c r="N676" s="2" t="s">
        <v>846</v>
      </c>
      <c r="O676" s="3">
        <v>46222.645138888904</v>
      </c>
      <c r="P676" s="2" t="s">
        <v>846</v>
      </c>
      <c r="Q676" s="34"/>
      <c r="R676" s="1" t="s">
        <v>31</v>
      </c>
    </row>
    <row r="677" spans="2:18">
      <c r="B677" s="2" t="s">
        <v>2616</v>
      </c>
      <c r="C677" s="2" t="s">
        <v>1168</v>
      </c>
      <c r="D677" s="1">
        <v>2</v>
      </c>
      <c r="E677" s="2" t="s">
        <v>2617</v>
      </c>
      <c r="F677" s="2" t="s">
        <v>1313</v>
      </c>
      <c r="G677" s="45" t="s">
        <v>702</v>
      </c>
      <c r="H677" s="1">
        <v>2</v>
      </c>
      <c r="I677" s="43" t="s">
        <v>702</v>
      </c>
      <c r="J677" s="43" t="s">
        <v>702</v>
      </c>
      <c r="K677" s="30">
        <v>80000</v>
      </c>
      <c r="L677" s="43" t="s">
        <v>702</v>
      </c>
      <c r="M677" s="3">
        <v>46202.645138888904</v>
      </c>
      <c r="N677" s="2" t="s">
        <v>846</v>
      </c>
      <c r="O677" s="3">
        <v>46222.645138888904</v>
      </c>
      <c r="P677" s="2" t="s">
        <v>846</v>
      </c>
      <c r="Q677" s="34"/>
      <c r="R677" s="1" t="s">
        <v>31</v>
      </c>
    </row>
    <row r="678" spans="2:18">
      <c r="B678" s="2" t="s">
        <v>2618</v>
      </c>
      <c r="C678" s="2" t="s">
        <v>1168</v>
      </c>
      <c r="D678" s="1">
        <v>3</v>
      </c>
      <c r="E678" s="2" t="s">
        <v>2619</v>
      </c>
      <c r="F678" s="2" t="s">
        <v>1316</v>
      </c>
      <c r="G678" s="1">
        <v>6</v>
      </c>
      <c r="H678" s="45" t="s">
        <v>702</v>
      </c>
      <c r="I678" s="43" t="s">
        <v>702</v>
      </c>
      <c r="J678" s="43" t="s">
        <v>702</v>
      </c>
      <c r="K678" s="30">
        <v>90000</v>
      </c>
      <c r="L678" s="43" t="s">
        <v>702</v>
      </c>
      <c r="M678" s="3">
        <v>46202.645138888904</v>
      </c>
      <c r="N678" s="2" t="s">
        <v>846</v>
      </c>
      <c r="O678" s="3">
        <v>46222.645138888904</v>
      </c>
      <c r="P678" s="2" t="s">
        <v>846</v>
      </c>
      <c r="Q678" s="34"/>
      <c r="R678" s="1" t="s">
        <v>31</v>
      </c>
    </row>
    <row r="679" spans="2:18">
      <c r="B679" s="2" t="s">
        <v>2620</v>
      </c>
      <c r="C679" s="2" t="s">
        <v>1168</v>
      </c>
      <c r="D679" s="1">
        <v>4</v>
      </c>
      <c r="E679" s="2" t="s">
        <v>2621</v>
      </c>
      <c r="F679" s="2" t="s">
        <v>1319</v>
      </c>
      <c r="G679" s="45" t="s">
        <v>702</v>
      </c>
      <c r="H679" s="1">
        <v>1</v>
      </c>
      <c r="I679" s="43" t="s">
        <v>702</v>
      </c>
      <c r="J679" s="43" t="s">
        <v>702</v>
      </c>
      <c r="K679" s="30">
        <v>60000</v>
      </c>
      <c r="L679" s="43" t="s">
        <v>702</v>
      </c>
      <c r="M679" s="3">
        <v>46202.645138888904</v>
      </c>
      <c r="N679" s="2" t="s">
        <v>846</v>
      </c>
      <c r="O679" s="3">
        <v>46222.645138888904</v>
      </c>
      <c r="P679" s="2" t="s">
        <v>846</v>
      </c>
      <c r="Q679" s="34"/>
      <c r="R679" s="1" t="s">
        <v>31</v>
      </c>
    </row>
    <row r="680" spans="2:18">
      <c r="B680" s="2" t="s">
        <v>2622</v>
      </c>
      <c r="C680" s="2" t="s">
        <v>1170</v>
      </c>
      <c r="D680" s="1">
        <v>1</v>
      </c>
      <c r="E680" s="2" t="s">
        <v>2623</v>
      </c>
      <c r="F680" s="2" t="s">
        <v>1259</v>
      </c>
      <c r="G680" s="45" t="s">
        <v>702</v>
      </c>
      <c r="H680" s="45">
        <v>2</v>
      </c>
      <c r="I680" s="43" t="s">
        <v>702</v>
      </c>
      <c r="J680" s="43" t="s">
        <v>702</v>
      </c>
      <c r="K680" s="30">
        <v>70000</v>
      </c>
      <c r="L680" s="43" t="s">
        <v>702</v>
      </c>
      <c r="M680" s="3">
        <v>46203.406944444403</v>
      </c>
      <c r="N680" s="2" t="s">
        <v>850</v>
      </c>
      <c r="O680" s="3">
        <v>46223.406944444403</v>
      </c>
      <c r="P680" s="2" t="s">
        <v>850</v>
      </c>
      <c r="Q680" s="34"/>
      <c r="R680" s="1" t="s">
        <v>31</v>
      </c>
    </row>
    <row r="681" spans="2:18">
      <c r="B681" s="2" t="s">
        <v>2624</v>
      </c>
      <c r="C681" s="2" t="s">
        <v>1170</v>
      </c>
      <c r="D681" s="1">
        <v>2</v>
      </c>
      <c r="E681" s="2" t="s">
        <v>2625</v>
      </c>
      <c r="F681" s="2" t="s">
        <v>1262</v>
      </c>
      <c r="G681" s="45">
        <v>5</v>
      </c>
      <c r="H681" s="45" t="s">
        <v>702</v>
      </c>
      <c r="I681" s="43" t="s">
        <v>702</v>
      </c>
      <c r="J681" s="43" t="s">
        <v>702</v>
      </c>
      <c r="K681" s="30">
        <v>75000</v>
      </c>
      <c r="L681" s="43" t="s">
        <v>702</v>
      </c>
      <c r="M681" s="3">
        <v>46203.406944444403</v>
      </c>
      <c r="N681" s="2" t="s">
        <v>850</v>
      </c>
      <c r="O681" s="3">
        <v>46223.406944444403</v>
      </c>
      <c r="P681" s="2" t="s">
        <v>850</v>
      </c>
      <c r="Q681" s="34"/>
      <c r="R681" s="1" t="s">
        <v>31</v>
      </c>
    </row>
    <row r="682" spans="2:18">
      <c r="B682" s="2" t="s">
        <v>2626</v>
      </c>
      <c r="C682" s="2" t="s">
        <v>1170</v>
      </c>
      <c r="D682" s="1">
        <v>3</v>
      </c>
      <c r="E682" s="2" t="s">
        <v>2627</v>
      </c>
      <c r="F682" s="2" t="s">
        <v>1265</v>
      </c>
      <c r="G682" s="45" t="s">
        <v>702</v>
      </c>
      <c r="H682" s="1">
        <v>1</v>
      </c>
      <c r="I682" s="43" t="s">
        <v>702</v>
      </c>
      <c r="J682" s="43" t="s">
        <v>702</v>
      </c>
      <c r="K682" s="30">
        <v>50000</v>
      </c>
      <c r="L682" s="43" t="s">
        <v>702</v>
      </c>
      <c r="M682" s="3">
        <v>46203.406944444403</v>
      </c>
      <c r="N682" s="2" t="s">
        <v>850</v>
      </c>
      <c r="O682" s="3">
        <v>46223.406944444403</v>
      </c>
      <c r="P682" s="2" t="s">
        <v>850</v>
      </c>
      <c r="Q682" s="34"/>
      <c r="R682" s="1" t="s">
        <v>31</v>
      </c>
    </row>
    <row r="683" spans="2:18">
      <c r="B683" s="2" t="s">
        <v>2628</v>
      </c>
      <c r="C683" s="2" t="s">
        <v>1170</v>
      </c>
      <c r="D683" s="1">
        <v>4</v>
      </c>
      <c r="E683" s="2" t="s">
        <v>2629</v>
      </c>
      <c r="F683" s="2" t="s">
        <v>1268</v>
      </c>
      <c r="G683" s="1">
        <v>9</v>
      </c>
      <c r="H683" s="45" t="s">
        <v>702</v>
      </c>
      <c r="I683" s="43" t="s">
        <v>702</v>
      </c>
      <c r="J683" s="43" t="s">
        <v>702</v>
      </c>
      <c r="K683" s="30">
        <v>67500</v>
      </c>
      <c r="L683" s="43" t="s">
        <v>702</v>
      </c>
      <c r="M683" s="3">
        <v>46203.406944444403</v>
      </c>
      <c r="N683" s="2" t="s">
        <v>850</v>
      </c>
      <c r="O683" s="3">
        <v>46223.406944444403</v>
      </c>
      <c r="P683" s="2" t="s">
        <v>850</v>
      </c>
      <c r="Q683" s="34"/>
      <c r="R683" s="1" t="s">
        <v>31</v>
      </c>
    </row>
    <row r="684" spans="2:18">
      <c r="B684" s="2" t="s">
        <v>2630</v>
      </c>
      <c r="C684" s="2" t="s">
        <v>1172</v>
      </c>
      <c r="D684" s="1">
        <v>1</v>
      </c>
      <c r="E684" s="2" t="s">
        <v>2631</v>
      </c>
      <c r="F684" s="2" t="s">
        <v>1271</v>
      </c>
      <c r="G684" s="45">
        <v>4</v>
      </c>
      <c r="H684" s="45" t="s">
        <v>702</v>
      </c>
      <c r="I684" s="43" t="s">
        <v>702</v>
      </c>
      <c r="J684" s="43" t="s">
        <v>702</v>
      </c>
      <c r="K684" s="30">
        <v>40000</v>
      </c>
      <c r="L684" s="43" t="s">
        <v>702</v>
      </c>
      <c r="M684" s="3">
        <v>46203.543749999997</v>
      </c>
      <c r="N684" s="2" t="s">
        <v>854</v>
      </c>
      <c r="O684" s="3">
        <v>46223.543749999997</v>
      </c>
      <c r="P684" s="2" t="s">
        <v>854</v>
      </c>
      <c r="Q684" s="34"/>
      <c r="R684" s="1" t="s">
        <v>31</v>
      </c>
    </row>
    <row r="685" spans="2:18">
      <c r="B685" s="2" t="s">
        <v>2632</v>
      </c>
      <c r="C685" s="2" t="s">
        <v>1172</v>
      </c>
      <c r="D685" s="1">
        <v>2</v>
      </c>
      <c r="E685" s="2" t="s">
        <v>2633</v>
      </c>
      <c r="F685" s="2" t="s">
        <v>1274</v>
      </c>
      <c r="G685" s="45" t="s">
        <v>702</v>
      </c>
      <c r="H685" s="45">
        <v>1</v>
      </c>
      <c r="I685" s="43" t="s">
        <v>702</v>
      </c>
      <c r="J685" s="43" t="s">
        <v>702</v>
      </c>
      <c r="K685" s="30">
        <v>40000</v>
      </c>
      <c r="L685" s="43" t="s">
        <v>702</v>
      </c>
      <c r="M685" s="3">
        <v>46203.543749999997</v>
      </c>
      <c r="N685" s="2" t="s">
        <v>854</v>
      </c>
      <c r="O685" s="3">
        <v>46223.543749999997</v>
      </c>
      <c r="P685" s="2" t="s">
        <v>854</v>
      </c>
      <c r="Q685" s="34"/>
      <c r="R685" s="1" t="s">
        <v>31</v>
      </c>
    </row>
    <row r="686" spans="2:18">
      <c r="B686" s="2" t="s">
        <v>2634</v>
      </c>
      <c r="C686" s="2" t="s">
        <v>1172</v>
      </c>
      <c r="D686" s="1">
        <v>3</v>
      </c>
      <c r="E686" s="2" t="s">
        <v>2635</v>
      </c>
      <c r="F686" s="2" t="s">
        <v>1277</v>
      </c>
      <c r="G686" s="45">
        <v>8</v>
      </c>
      <c r="H686" s="45" t="s">
        <v>702</v>
      </c>
      <c r="I686" s="43" t="s">
        <v>702</v>
      </c>
      <c r="J686" s="43" t="s">
        <v>702</v>
      </c>
      <c r="K686" s="30">
        <v>100000</v>
      </c>
      <c r="L686" s="43" t="s">
        <v>702</v>
      </c>
      <c r="M686" s="3">
        <v>46203.543749999997</v>
      </c>
      <c r="N686" s="2" t="s">
        <v>854</v>
      </c>
      <c r="O686" s="3">
        <v>46223.543749999997</v>
      </c>
      <c r="P686" s="2" t="s">
        <v>854</v>
      </c>
      <c r="Q686" s="34"/>
      <c r="R686" s="1" t="s">
        <v>31</v>
      </c>
    </row>
    <row r="687" spans="2:18">
      <c r="B687" s="2" t="s">
        <v>2636</v>
      </c>
      <c r="C687" s="2" t="s">
        <v>1172</v>
      </c>
      <c r="D687" s="1">
        <v>4</v>
      </c>
      <c r="E687" s="2" t="s">
        <v>2637</v>
      </c>
      <c r="F687" s="2" t="s">
        <v>1280</v>
      </c>
      <c r="G687" s="45" t="s">
        <v>702</v>
      </c>
      <c r="H687" s="45">
        <v>3</v>
      </c>
      <c r="I687" s="43" t="s">
        <v>702</v>
      </c>
      <c r="J687" s="43" t="s">
        <v>702</v>
      </c>
      <c r="K687" s="30">
        <v>127500</v>
      </c>
      <c r="L687" s="43" t="s">
        <v>702</v>
      </c>
      <c r="M687" s="3">
        <v>46203.543749999997</v>
      </c>
      <c r="N687" s="2" t="s">
        <v>854</v>
      </c>
      <c r="O687" s="3">
        <v>46223.543749999997</v>
      </c>
      <c r="P687" s="2" t="s">
        <v>854</v>
      </c>
      <c r="Q687" s="34"/>
      <c r="R687" s="1" t="s">
        <v>31</v>
      </c>
    </row>
    <row r="688" spans="2:18">
      <c r="B688" s="2" t="s">
        <v>2638</v>
      </c>
      <c r="C688" s="2" t="s">
        <v>1174</v>
      </c>
      <c r="D688" s="1">
        <v>1</v>
      </c>
      <c r="E688" s="2" t="s">
        <v>2639</v>
      </c>
      <c r="F688" s="2" t="s">
        <v>1283</v>
      </c>
      <c r="G688" s="45" t="s">
        <v>702</v>
      </c>
      <c r="H688" s="1">
        <v>1</v>
      </c>
      <c r="I688" s="43" t="s">
        <v>702</v>
      </c>
      <c r="J688" s="43" t="s">
        <v>702</v>
      </c>
      <c r="K688" s="30">
        <v>50000</v>
      </c>
      <c r="L688" s="43" t="s">
        <v>702</v>
      </c>
      <c r="M688" s="3">
        <v>46204.638888888898</v>
      </c>
      <c r="N688" s="2" t="s">
        <v>858</v>
      </c>
      <c r="O688" s="3">
        <v>46224.638888888898</v>
      </c>
      <c r="P688" s="2" t="s">
        <v>858</v>
      </c>
      <c r="Q688" s="34"/>
      <c r="R688" s="1" t="s">
        <v>31</v>
      </c>
    </row>
    <row r="689" spans="2:18">
      <c r="B689" s="2" t="s">
        <v>2640</v>
      </c>
      <c r="C689" s="2" t="s">
        <v>1174</v>
      </c>
      <c r="D689" s="1">
        <v>2</v>
      </c>
      <c r="E689" s="2" t="s">
        <v>2641</v>
      </c>
      <c r="F689" s="2" t="s">
        <v>1286</v>
      </c>
      <c r="G689" s="1">
        <v>7</v>
      </c>
      <c r="H689" s="45" t="s">
        <v>702</v>
      </c>
      <c r="I689" s="43" t="s">
        <v>702</v>
      </c>
      <c r="J689" s="43" t="s">
        <v>702</v>
      </c>
      <c r="K689" s="30">
        <v>70000</v>
      </c>
      <c r="L689" s="43" t="s">
        <v>702</v>
      </c>
      <c r="M689" s="3">
        <v>46204.638888888898</v>
      </c>
      <c r="N689" s="2" t="s">
        <v>858</v>
      </c>
      <c r="O689" s="3">
        <v>46224.638888888898</v>
      </c>
      <c r="P689" s="2" t="s">
        <v>858</v>
      </c>
      <c r="Q689" s="34"/>
      <c r="R689" s="1" t="s">
        <v>31</v>
      </c>
    </row>
    <row r="690" spans="2:18">
      <c r="B690" s="2" t="s">
        <v>2642</v>
      </c>
      <c r="C690" s="2" t="s">
        <v>1174</v>
      </c>
      <c r="D690" s="1">
        <v>3</v>
      </c>
      <c r="E690" s="2" t="s">
        <v>2643</v>
      </c>
      <c r="F690" s="2" t="s">
        <v>1289</v>
      </c>
      <c r="G690" s="45" t="s">
        <v>702</v>
      </c>
      <c r="H690" s="1">
        <v>3</v>
      </c>
      <c r="I690" s="43" t="s">
        <v>702</v>
      </c>
      <c r="J690" s="43" t="s">
        <v>702</v>
      </c>
      <c r="K690" s="30">
        <v>120000</v>
      </c>
      <c r="L690" s="43" t="s">
        <v>702</v>
      </c>
      <c r="M690" s="3">
        <v>46204.638888888898</v>
      </c>
      <c r="N690" s="2" t="s">
        <v>858</v>
      </c>
      <c r="O690" s="3">
        <v>46224.638888888898</v>
      </c>
      <c r="P690" s="2" t="s">
        <v>858</v>
      </c>
      <c r="Q690" s="34"/>
      <c r="R690" s="1" t="s">
        <v>31</v>
      </c>
    </row>
    <row r="691" spans="2:18">
      <c r="B691" s="2" t="s">
        <v>2644</v>
      </c>
      <c r="C691" s="2" t="s">
        <v>1174</v>
      </c>
      <c r="D691" s="1">
        <v>4</v>
      </c>
      <c r="E691" s="2" t="s">
        <v>2645</v>
      </c>
      <c r="F691" s="2" t="s">
        <v>1292</v>
      </c>
      <c r="G691" s="1">
        <v>11</v>
      </c>
      <c r="H691" s="45" t="s">
        <v>702</v>
      </c>
      <c r="I691" s="43" t="s">
        <v>702</v>
      </c>
      <c r="J691" s="43" t="s">
        <v>702</v>
      </c>
      <c r="K691" s="30">
        <v>165000</v>
      </c>
      <c r="L691" s="43" t="s">
        <v>702</v>
      </c>
      <c r="M691" s="3">
        <v>46204.638888888898</v>
      </c>
      <c r="N691" s="2" t="s">
        <v>858</v>
      </c>
      <c r="O691" s="3">
        <v>46224.638888888898</v>
      </c>
      <c r="P691" s="2" t="s">
        <v>858</v>
      </c>
      <c r="Q691" s="34"/>
      <c r="R691" s="1" t="s">
        <v>31</v>
      </c>
    </row>
    <row r="692" spans="2:18">
      <c r="B692" s="2" t="s">
        <v>2646</v>
      </c>
      <c r="C692" s="2" t="s">
        <v>1176</v>
      </c>
      <c r="D692" s="1">
        <v>1</v>
      </c>
      <c r="E692" s="2" t="s">
        <v>2647</v>
      </c>
      <c r="F692" s="2" t="s">
        <v>1295</v>
      </c>
      <c r="G692" s="45">
        <v>6</v>
      </c>
      <c r="H692" s="45" t="s">
        <v>702</v>
      </c>
      <c r="I692" s="43" t="s">
        <v>702</v>
      </c>
      <c r="J692" s="43" t="s">
        <v>702</v>
      </c>
      <c r="K692" s="30">
        <v>18000</v>
      </c>
      <c r="L692" s="43" t="s">
        <v>702</v>
      </c>
      <c r="M692" s="3">
        <v>46204.400694444397</v>
      </c>
      <c r="N692" s="2" t="s">
        <v>862</v>
      </c>
      <c r="O692" s="3">
        <v>46224.400694444397</v>
      </c>
      <c r="P692" s="2" t="s">
        <v>862</v>
      </c>
      <c r="Q692" s="34"/>
      <c r="R692" s="1" t="s">
        <v>31</v>
      </c>
    </row>
    <row r="693" spans="2:18">
      <c r="B693" s="2" t="s">
        <v>2648</v>
      </c>
      <c r="C693" s="2" t="s">
        <v>1176</v>
      </c>
      <c r="D693" s="1">
        <v>2</v>
      </c>
      <c r="E693" s="2" t="s">
        <v>2649</v>
      </c>
      <c r="F693" s="2" t="s">
        <v>1298</v>
      </c>
      <c r="G693" s="45" t="s">
        <v>702</v>
      </c>
      <c r="H693" s="1">
        <v>3</v>
      </c>
      <c r="I693" s="43" t="s">
        <v>702</v>
      </c>
      <c r="J693" s="43" t="s">
        <v>702</v>
      </c>
      <c r="K693" s="30">
        <v>60000</v>
      </c>
      <c r="L693" s="43" t="s">
        <v>702</v>
      </c>
      <c r="M693" s="3">
        <v>46204.400694444397</v>
      </c>
      <c r="N693" s="2" t="s">
        <v>862</v>
      </c>
      <c r="O693" s="3">
        <v>46224.400694444397</v>
      </c>
      <c r="P693" s="2" t="s">
        <v>862</v>
      </c>
      <c r="Q693" s="34"/>
      <c r="R693" s="1" t="s">
        <v>31</v>
      </c>
    </row>
    <row r="694" spans="2:18">
      <c r="B694" s="2" t="s">
        <v>2650</v>
      </c>
      <c r="C694" s="2" t="s">
        <v>1176</v>
      </c>
      <c r="D694" s="1">
        <v>3</v>
      </c>
      <c r="E694" s="2" t="s">
        <v>2651</v>
      </c>
      <c r="F694" s="2" t="s">
        <v>1301</v>
      </c>
      <c r="G694" s="1">
        <v>10</v>
      </c>
      <c r="H694" s="45" t="s">
        <v>702</v>
      </c>
      <c r="I694" s="43" t="s">
        <v>702</v>
      </c>
      <c r="J694" s="43" t="s">
        <v>702</v>
      </c>
      <c r="K694" s="30">
        <v>70000</v>
      </c>
      <c r="L694" s="43" t="s">
        <v>702</v>
      </c>
      <c r="M694" s="3">
        <v>46204.400694444397</v>
      </c>
      <c r="N694" s="2" t="s">
        <v>862</v>
      </c>
      <c r="O694" s="3">
        <v>46224.400694444397</v>
      </c>
      <c r="P694" s="2" t="s">
        <v>862</v>
      </c>
      <c r="Q694" s="34"/>
      <c r="R694" s="1" t="s">
        <v>31</v>
      </c>
    </row>
    <row r="695" spans="2:18" ht="29" customHeight="1">
      <c r="B695" s="2" t="s">
        <v>2652</v>
      </c>
      <c r="C695" s="2" t="s">
        <v>1176</v>
      </c>
      <c r="D695" s="1">
        <v>4</v>
      </c>
      <c r="E695" s="2" t="s">
        <v>2653</v>
      </c>
      <c r="F695" s="2" t="s">
        <v>1304</v>
      </c>
      <c r="G695" s="45" t="s">
        <v>702</v>
      </c>
      <c r="H695" s="1">
        <v>2</v>
      </c>
      <c r="I695" s="43" t="s">
        <v>702</v>
      </c>
      <c r="J695" s="43" t="s">
        <v>702</v>
      </c>
      <c r="K695" s="30">
        <v>40000</v>
      </c>
      <c r="L695" s="43" t="s">
        <v>702</v>
      </c>
      <c r="M695" s="3">
        <v>46204.400694444397</v>
      </c>
      <c r="N695" s="2" t="s">
        <v>862</v>
      </c>
      <c r="O695" s="3">
        <v>46224.400694444397</v>
      </c>
      <c r="P695" s="2" t="s">
        <v>862</v>
      </c>
      <c r="Q695" s="34"/>
      <c r="R695" s="1" t="s">
        <v>31</v>
      </c>
    </row>
    <row r="696" spans="2:18">
      <c r="B696" s="2" t="s">
        <v>2654</v>
      </c>
      <c r="C696" s="2" t="s">
        <v>1178</v>
      </c>
      <c r="D696" s="1">
        <v>1</v>
      </c>
      <c r="E696" s="2" t="s">
        <v>2655</v>
      </c>
      <c r="F696" s="2" t="s">
        <v>1307</v>
      </c>
      <c r="G696" s="45" t="s">
        <v>702</v>
      </c>
      <c r="H696" s="45">
        <v>3</v>
      </c>
      <c r="I696" s="43" t="s">
        <v>702</v>
      </c>
      <c r="J696" s="43" t="s">
        <v>702</v>
      </c>
      <c r="K696" s="30">
        <v>90000</v>
      </c>
      <c r="L696" s="43" t="s">
        <v>702</v>
      </c>
      <c r="M696" s="3">
        <v>46205.537499999999</v>
      </c>
      <c r="N696" s="2" t="s">
        <v>97</v>
      </c>
      <c r="O696" s="3">
        <v>46225.537499999999</v>
      </c>
      <c r="P696" s="2" t="s">
        <v>97</v>
      </c>
      <c r="Q696" s="34"/>
      <c r="R696" s="1" t="s">
        <v>31</v>
      </c>
    </row>
    <row r="697" spans="2:18">
      <c r="B697" s="2" t="s">
        <v>2656</v>
      </c>
      <c r="C697" s="2" t="s">
        <v>1178</v>
      </c>
      <c r="D697" s="1">
        <v>2</v>
      </c>
      <c r="E697" s="2" t="s">
        <v>2657</v>
      </c>
      <c r="F697" s="2" t="s">
        <v>1310</v>
      </c>
      <c r="G697" s="45">
        <v>9</v>
      </c>
      <c r="H697" s="45" t="s">
        <v>702</v>
      </c>
      <c r="I697" s="43" t="s">
        <v>702</v>
      </c>
      <c r="J697" s="43" t="s">
        <v>702</v>
      </c>
      <c r="K697" s="30">
        <v>108000</v>
      </c>
      <c r="L697" s="43" t="s">
        <v>702</v>
      </c>
      <c r="M697" s="3">
        <v>46205.537499999999</v>
      </c>
      <c r="N697" s="2" t="s">
        <v>97</v>
      </c>
      <c r="O697" s="3">
        <v>46225.537499999999</v>
      </c>
      <c r="P697" s="2" t="s">
        <v>97</v>
      </c>
      <c r="Q697" s="34"/>
      <c r="R697" s="1" t="s">
        <v>31</v>
      </c>
    </row>
    <row r="698" spans="2:18" ht="29" customHeight="1">
      <c r="B698" s="2" t="s">
        <v>2658</v>
      </c>
      <c r="C698" s="2" t="s">
        <v>1178</v>
      </c>
      <c r="D698" s="1">
        <v>3</v>
      </c>
      <c r="E698" s="2" t="s">
        <v>2659</v>
      </c>
      <c r="F698" s="2" t="s">
        <v>1313</v>
      </c>
      <c r="G698" s="45" t="s">
        <v>702</v>
      </c>
      <c r="H698" s="45">
        <v>2</v>
      </c>
      <c r="I698" s="43" t="s">
        <v>702</v>
      </c>
      <c r="J698" s="43" t="s">
        <v>702</v>
      </c>
      <c r="K698" s="30">
        <v>80000</v>
      </c>
      <c r="L698" s="43" t="s">
        <v>702</v>
      </c>
      <c r="M698" s="3">
        <v>46205.537499999999</v>
      </c>
      <c r="N698" s="2" t="s">
        <v>97</v>
      </c>
      <c r="O698" s="3">
        <v>46225.537499999999</v>
      </c>
      <c r="P698" s="2" t="s">
        <v>97</v>
      </c>
      <c r="Q698" s="34"/>
      <c r="R698" s="1" t="s">
        <v>31</v>
      </c>
    </row>
    <row r="699" spans="2:18">
      <c r="B699" s="2" t="s">
        <v>2660</v>
      </c>
      <c r="C699" s="2" t="s">
        <v>1178</v>
      </c>
      <c r="D699" s="1">
        <v>4</v>
      </c>
      <c r="E699" s="2" t="s">
        <v>2661</v>
      </c>
      <c r="F699" s="2" t="s">
        <v>1316</v>
      </c>
      <c r="G699" s="45">
        <v>1</v>
      </c>
      <c r="H699" s="45" t="s">
        <v>702</v>
      </c>
      <c r="I699" s="43" t="s">
        <v>702</v>
      </c>
      <c r="J699" s="43" t="s">
        <v>702</v>
      </c>
      <c r="K699" s="30">
        <v>15000</v>
      </c>
      <c r="L699" s="43" t="s">
        <v>702</v>
      </c>
      <c r="M699" s="3">
        <v>46205.537499999999</v>
      </c>
      <c r="N699" s="2" t="s">
        <v>97</v>
      </c>
      <c r="O699" s="3">
        <v>46225.537499999999</v>
      </c>
      <c r="P699" s="2" t="s">
        <v>97</v>
      </c>
      <c r="Q699" s="34"/>
      <c r="R699" s="1" t="s">
        <v>31</v>
      </c>
    </row>
    <row r="700" spans="2:18">
      <c r="B700" s="2" t="s">
        <v>2662</v>
      </c>
      <c r="C700" s="2" t="s">
        <v>1180</v>
      </c>
      <c r="D700" s="1">
        <v>1</v>
      </c>
      <c r="E700" s="2" t="s">
        <v>2663</v>
      </c>
      <c r="F700" s="2" t="s">
        <v>1319</v>
      </c>
      <c r="G700" s="1">
        <v>8</v>
      </c>
      <c r="H700" s="45" t="s">
        <v>702</v>
      </c>
      <c r="I700" s="43" t="s">
        <v>702</v>
      </c>
      <c r="J700" s="43" t="s">
        <v>702</v>
      </c>
      <c r="K700" s="30">
        <v>140000</v>
      </c>
      <c r="L700" s="43" t="s">
        <v>702</v>
      </c>
      <c r="M700" s="3">
        <v>46205.632638888899</v>
      </c>
      <c r="N700" s="2" t="s">
        <v>869</v>
      </c>
      <c r="O700" s="3">
        <v>46225.632638888899</v>
      </c>
      <c r="P700" s="2" t="s">
        <v>869</v>
      </c>
      <c r="Q700" s="34"/>
      <c r="R700" s="1" t="s">
        <v>31</v>
      </c>
    </row>
    <row r="701" spans="2:18" ht="29" customHeight="1">
      <c r="B701" s="2" t="s">
        <v>2664</v>
      </c>
      <c r="C701" s="2" t="s">
        <v>1180</v>
      </c>
      <c r="D701" s="1">
        <v>2</v>
      </c>
      <c r="E701" s="2" t="s">
        <v>2665</v>
      </c>
      <c r="F701" s="2" t="s">
        <v>1259</v>
      </c>
      <c r="G701" s="45" t="s">
        <v>702</v>
      </c>
      <c r="H701" s="1">
        <v>2</v>
      </c>
      <c r="I701" s="43" t="s">
        <v>702</v>
      </c>
      <c r="J701" s="43" t="s">
        <v>702</v>
      </c>
      <c r="K701" s="30">
        <v>70000</v>
      </c>
      <c r="L701" s="43" t="s">
        <v>702</v>
      </c>
      <c r="M701" s="3">
        <v>46205.632638888899</v>
      </c>
      <c r="N701" s="2" t="s">
        <v>869</v>
      </c>
      <c r="O701" s="3">
        <v>46225.632638888899</v>
      </c>
      <c r="P701" s="2" t="s">
        <v>869</v>
      </c>
      <c r="Q701" s="34"/>
      <c r="R701" s="1" t="s">
        <v>31</v>
      </c>
    </row>
    <row r="702" spans="2:18">
      <c r="B702" s="2" t="s">
        <v>2666</v>
      </c>
      <c r="C702" s="2" t="s">
        <v>1180</v>
      </c>
      <c r="D702" s="1">
        <v>3</v>
      </c>
      <c r="E702" s="2" t="s">
        <v>2667</v>
      </c>
      <c r="F702" s="2" t="s">
        <v>1262</v>
      </c>
      <c r="G702" s="1">
        <v>12</v>
      </c>
      <c r="H702" s="45" t="s">
        <v>702</v>
      </c>
      <c r="I702" s="43" t="s">
        <v>702</v>
      </c>
      <c r="J702" s="43" t="s">
        <v>702</v>
      </c>
      <c r="K702" s="30">
        <v>180000</v>
      </c>
      <c r="L702" s="43" t="s">
        <v>702</v>
      </c>
      <c r="M702" s="3">
        <v>46205.632638888899</v>
      </c>
      <c r="N702" s="2" t="s">
        <v>869</v>
      </c>
      <c r="O702" s="3">
        <v>46225.632638888899</v>
      </c>
      <c r="P702" s="2" t="s">
        <v>869</v>
      </c>
      <c r="Q702" s="34"/>
      <c r="R702" s="1" t="s">
        <v>31</v>
      </c>
    </row>
    <row r="703" spans="2:18">
      <c r="B703" s="2" t="s">
        <v>2668</v>
      </c>
      <c r="C703" s="2" t="s">
        <v>1180</v>
      </c>
      <c r="D703" s="1">
        <v>4</v>
      </c>
      <c r="E703" s="2" t="s">
        <v>2669</v>
      </c>
      <c r="F703" s="2" t="s">
        <v>1265</v>
      </c>
      <c r="G703" s="45" t="s">
        <v>702</v>
      </c>
      <c r="H703" s="1">
        <v>1</v>
      </c>
      <c r="I703" s="43" t="s">
        <v>702</v>
      </c>
      <c r="J703" s="43" t="s">
        <v>702</v>
      </c>
      <c r="K703" s="30">
        <v>50000</v>
      </c>
      <c r="L703" s="43" t="s">
        <v>702</v>
      </c>
      <c r="M703" s="3">
        <v>46205.632638888899</v>
      </c>
      <c r="N703" s="2" t="s">
        <v>869</v>
      </c>
      <c r="O703" s="3">
        <v>46225.632638888899</v>
      </c>
      <c r="P703" s="2" t="s">
        <v>869</v>
      </c>
      <c r="Q703" s="34"/>
      <c r="R703" s="1" t="s">
        <v>31</v>
      </c>
    </row>
    <row r="704" spans="2:18" ht="29" customHeight="1">
      <c r="B704" s="2" t="s">
        <v>2670</v>
      </c>
      <c r="C704" s="2" t="s">
        <v>1182</v>
      </c>
      <c r="D704" s="1">
        <v>1</v>
      </c>
      <c r="E704" s="2" t="s">
        <v>2671</v>
      </c>
      <c r="F704" s="2" t="s">
        <v>1268</v>
      </c>
      <c r="G704" s="45" t="s">
        <v>702</v>
      </c>
      <c r="H704" s="45">
        <v>2</v>
      </c>
      <c r="I704" s="43" t="s">
        <v>702</v>
      </c>
      <c r="J704" s="43" t="s">
        <v>702</v>
      </c>
      <c r="K704" s="30">
        <v>50000</v>
      </c>
      <c r="L704" s="43" t="s">
        <v>702</v>
      </c>
      <c r="M704" s="3">
        <v>46206.394444444399</v>
      </c>
      <c r="N704" s="2" t="s">
        <v>873</v>
      </c>
      <c r="O704" s="3">
        <v>46226.394444444399</v>
      </c>
      <c r="P704" s="2" t="s">
        <v>873</v>
      </c>
      <c r="Q704" s="34"/>
      <c r="R704" s="1" t="s">
        <v>31</v>
      </c>
    </row>
    <row r="705" spans="2:18">
      <c r="B705" s="2" t="s">
        <v>2672</v>
      </c>
      <c r="C705" s="2" t="s">
        <v>1182</v>
      </c>
      <c r="D705" s="1">
        <v>2</v>
      </c>
      <c r="E705" s="2" t="s">
        <v>2673</v>
      </c>
      <c r="F705" s="2" t="s">
        <v>1271</v>
      </c>
      <c r="G705" s="45">
        <v>11</v>
      </c>
      <c r="H705" s="45" t="s">
        <v>702</v>
      </c>
      <c r="I705" s="43" t="s">
        <v>702</v>
      </c>
      <c r="J705" s="43" t="s">
        <v>702</v>
      </c>
      <c r="K705" s="30">
        <v>110000</v>
      </c>
      <c r="L705" s="43" t="s">
        <v>702</v>
      </c>
      <c r="M705" s="3">
        <v>46206.394444444399</v>
      </c>
      <c r="N705" s="2" t="s">
        <v>873</v>
      </c>
      <c r="O705" s="3">
        <v>46226.394444444399</v>
      </c>
      <c r="P705" s="2" t="s">
        <v>873</v>
      </c>
      <c r="Q705" s="34"/>
      <c r="R705" s="1" t="s">
        <v>31</v>
      </c>
    </row>
    <row r="706" spans="2:18">
      <c r="B706" s="2" t="s">
        <v>2674</v>
      </c>
      <c r="C706" s="2" t="s">
        <v>1182</v>
      </c>
      <c r="D706" s="1">
        <v>3</v>
      </c>
      <c r="E706" s="2" t="s">
        <v>2675</v>
      </c>
      <c r="F706" s="2" t="s">
        <v>1274</v>
      </c>
      <c r="G706" s="45" t="s">
        <v>702</v>
      </c>
      <c r="H706" s="45">
        <v>1</v>
      </c>
      <c r="I706" s="43" t="s">
        <v>702</v>
      </c>
      <c r="J706" s="43" t="s">
        <v>702</v>
      </c>
      <c r="K706" s="30">
        <v>40000</v>
      </c>
      <c r="L706" s="43" t="s">
        <v>702</v>
      </c>
      <c r="M706" s="3">
        <v>46206.394444444399</v>
      </c>
      <c r="N706" s="2" t="s">
        <v>873</v>
      </c>
      <c r="O706" s="3">
        <v>46226.394444444399</v>
      </c>
      <c r="P706" s="2" t="s">
        <v>873</v>
      </c>
      <c r="Q706" s="34"/>
      <c r="R706" s="1" t="s">
        <v>31</v>
      </c>
    </row>
    <row r="707" spans="2:18">
      <c r="B707" s="2" t="s">
        <v>2676</v>
      </c>
      <c r="C707" s="2" t="s">
        <v>1182</v>
      </c>
      <c r="D707" s="1">
        <v>4</v>
      </c>
      <c r="E707" s="2" t="s">
        <v>2677</v>
      </c>
      <c r="F707" s="2" t="s">
        <v>1277</v>
      </c>
      <c r="G707" s="45">
        <v>3</v>
      </c>
      <c r="H707" s="45" t="s">
        <v>702</v>
      </c>
      <c r="I707" s="43" t="s">
        <v>702</v>
      </c>
      <c r="J707" s="43" t="s">
        <v>702</v>
      </c>
      <c r="K707" s="30">
        <v>37500</v>
      </c>
      <c r="L707" s="43" t="s">
        <v>702</v>
      </c>
      <c r="M707" s="3">
        <v>46206.394444444399</v>
      </c>
      <c r="N707" s="2" t="s">
        <v>873</v>
      </c>
      <c r="O707" s="3">
        <v>46226.394444444399</v>
      </c>
      <c r="P707" s="2" t="s">
        <v>873</v>
      </c>
      <c r="Q707" s="34"/>
      <c r="R707" s="1" t="s">
        <v>31</v>
      </c>
    </row>
    <row r="708" spans="2:18">
      <c r="B708" s="2" t="s">
        <v>2678</v>
      </c>
      <c r="C708" s="2" t="s">
        <v>1184</v>
      </c>
      <c r="D708" s="1">
        <v>1</v>
      </c>
      <c r="E708" s="2" t="s">
        <v>2679</v>
      </c>
      <c r="F708" s="2" t="s">
        <v>1280</v>
      </c>
      <c r="G708" s="45">
        <v>10</v>
      </c>
      <c r="H708" s="45" t="s">
        <v>702</v>
      </c>
      <c r="I708" s="43" t="s">
        <v>702</v>
      </c>
      <c r="J708" s="43" t="s">
        <v>702</v>
      </c>
      <c r="K708" s="30">
        <v>150000</v>
      </c>
      <c r="L708" s="43" t="s">
        <v>702</v>
      </c>
      <c r="M708" s="3">
        <v>46206.53125</v>
      </c>
      <c r="N708" s="2" t="s">
        <v>877</v>
      </c>
      <c r="O708" s="3">
        <v>46226.53125</v>
      </c>
      <c r="P708" s="2" t="s">
        <v>877</v>
      </c>
      <c r="Q708" s="34"/>
      <c r="R708" s="1" t="s">
        <v>31</v>
      </c>
    </row>
    <row r="709" spans="2:18">
      <c r="B709" s="2" t="s">
        <v>2680</v>
      </c>
      <c r="C709" s="2" t="s">
        <v>1184</v>
      </c>
      <c r="D709" s="1">
        <v>2</v>
      </c>
      <c r="E709" s="2" t="s">
        <v>2681</v>
      </c>
      <c r="F709" s="2" t="s">
        <v>1283</v>
      </c>
      <c r="G709" s="45" t="s">
        <v>702</v>
      </c>
      <c r="H709" s="45">
        <v>1</v>
      </c>
      <c r="I709" s="43" t="s">
        <v>702</v>
      </c>
      <c r="J709" s="43" t="s">
        <v>702</v>
      </c>
      <c r="K709" s="30">
        <v>50000</v>
      </c>
      <c r="L709" s="43" t="s">
        <v>702</v>
      </c>
      <c r="M709" s="3">
        <v>46206.53125</v>
      </c>
      <c r="N709" s="2" t="s">
        <v>877</v>
      </c>
      <c r="O709" s="3">
        <v>46226.53125</v>
      </c>
      <c r="P709" s="2" t="s">
        <v>877</v>
      </c>
      <c r="Q709" s="34"/>
      <c r="R709" s="1" t="s">
        <v>31</v>
      </c>
    </row>
    <row r="710" spans="2:18">
      <c r="B710" s="2" t="s">
        <v>2682</v>
      </c>
      <c r="C710" s="2" t="s">
        <v>1184</v>
      </c>
      <c r="D710" s="1">
        <v>3</v>
      </c>
      <c r="E710" s="2" t="s">
        <v>2683</v>
      </c>
      <c r="F710" s="2" t="s">
        <v>1286</v>
      </c>
      <c r="G710" s="1">
        <v>2</v>
      </c>
      <c r="H710" s="45" t="s">
        <v>702</v>
      </c>
      <c r="I710" s="43" t="s">
        <v>702</v>
      </c>
      <c r="J710" s="43" t="s">
        <v>702</v>
      </c>
      <c r="K710" s="30">
        <v>20000</v>
      </c>
      <c r="L710" s="43" t="s">
        <v>702</v>
      </c>
      <c r="M710" s="3">
        <v>46206.53125</v>
      </c>
      <c r="N710" s="2" t="s">
        <v>877</v>
      </c>
      <c r="O710" s="3">
        <v>46226.53125</v>
      </c>
      <c r="P710" s="2" t="s">
        <v>877</v>
      </c>
      <c r="Q710" s="34"/>
      <c r="R710" s="1" t="s">
        <v>31</v>
      </c>
    </row>
    <row r="711" spans="2:18" ht="29" customHeight="1">
      <c r="B711" s="2" t="s">
        <v>2684</v>
      </c>
      <c r="C711" s="2" t="s">
        <v>1184</v>
      </c>
      <c r="D711" s="1">
        <v>4</v>
      </c>
      <c r="E711" s="2" t="s">
        <v>2685</v>
      </c>
      <c r="F711" s="2" t="s">
        <v>1289</v>
      </c>
      <c r="G711" s="45" t="s">
        <v>702</v>
      </c>
      <c r="H711" s="1">
        <v>3</v>
      </c>
      <c r="I711" s="43" t="s">
        <v>702</v>
      </c>
      <c r="J711" s="43" t="s">
        <v>702</v>
      </c>
      <c r="K711" s="30">
        <v>120000</v>
      </c>
      <c r="L711" s="43" t="s">
        <v>702</v>
      </c>
      <c r="M711" s="3">
        <v>46206.53125</v>
      </c>
      <c r="N711" s="2" t="s">
        <v>877</v>
      </c>
      <c r="O711" s="3">
        <v>46226.53125</v>
      </c>
      <c r="P711" s="2" t="s">
        <v>877</v>
      </c>
      <c r="Q711" s="34"/>
      <c r="R711" s="1" t="s">
        <v>31</v>
      </c>
    </row>
    <row r="712" spans="2:18">
      <c r="B712" s="2" t="s">
        <v>2686</v>
      </c>
      <c r="C712" s="2" t="s">
        <v>1186</v>
      </c>
      <c r="D712" s="1">
        <v>1</v>
      </c>
      <c r="E712" s="2" t="s">
        <v>2687</v>
      </c>
      <c r="F712" s="2" t="s">
        <v>1292</v>
      </c>
      <c r="G712" s="45" t="s">
        <v>702</v>
      </c>
      <c r="H712" s="45">
        <v>1</v>
      </c>
      <c r="I712" s="43" t="s">
        <v>702</v>
      </c>
      <c r="J712" s="43" t="s">
        <v>702</v>
      </c>
      <c r="K712" s="30">
        <v>50000</v>
      </c>
      <c r="L712" s="43" t="s">
        <v>702</v>
      </c>
      <c r="M712" s="3">
        <v>46207.668055555601</v>
      </c>
      <c r="N712" s="2" t="s">
        <v>881</v>
      </c>
      <c r="O712" s="3">
        <v>46227.668055555601</v>
      </c>
      <c r="P712" s="2" t="s">
        <v>881</v>
      </c>
      <c r="Q712" s="34"/>
      <c r="R712" s="1" t="s">
        <v>31</v>
      </c>
    </row>
    <row r="713" spans="2:18">
      <c r="B713" s="2" t="s">
        <v>2688</v>
      </c>
      <c r="C713" s="2" t="s">
        <v>1186</v>
      </c>
      <c r="D713" s="1">
        <v>2</v>
      </c>
      <c r="E713" s="2" t="s">
        <v>2689</v>
      </c>
      <c r="F713" s="2" t="s">
        <v>1295</v>
      </c>
      <c r="G713" s="45">
        <v>1</v>
      </c>
      <c r="H713" s="45" t="s">
        <v>702</v>
      </c>
      <c r="I713" s="43" t="s">
        <v>702</v>
      </c>
      <c r="J713" s="43" t="s">
        <v>702</v>
      </c>
      <c r="K713" s="30">
        <v>3000</v>
      </c>
      <c r="L713" s="43" t="s">
        <v>702</v>
      </c>
      <c r="M713" s="3">
        <v>46207.668055555601</v>
      </c>
      <c r="N713" s="2" t="s">
        <v>881</v>
      </c>
      <c r="O713" s="3">
        <v>46227.668055555601</v>
      </c>
      <c r="P713" s="2" t="s">
        <v>881</v>
      </c>
      <c r="Q713" s="34"/>
      <c r="R713" s="1" t="s">
        <v>31</v>
      </c>
    </row>
    <row r="714" spans="2:18" ht="29" customHeight="1">
      <c r="B714" s="2" t="s">
        <v>2690</v>
      </c>
      <c r="C714" s="2" t="s">
        <v>1186</v>
      </c>
      <c r="D714" s="1">
        <v>3</v>
      </c>
      <c r="E714" s="2" t="s">
        <v>2691</v>
      </c>
      <c r="F714" s="2" t="s">
        <v>1298</v>
      </c>
      <c r="G714" s="45" t="s">
        <v>702</v>
      </c>
      <c r="H714" s="45">
        <v>3</v>
      </c>
      <c r="I714" s="43" t="s">
        <v>702</v>
      </c>
      <c r="J714" s="43" t="s">
        <v>702</v>
      </c>
      <c r="K714" s="30">
        <v>60000</v>
      </c>
      <c r="L714" s="43" t="s">
        <v>702</v>
      </c>
      <c r="M714" s="3">
        <v>46207.668055555601</v>
      </c>
      <c r="N714" s="2" t="s">
        <v>881</v>
      </c>
      <c r="O714" s="3">
        <v>46227.668055555601</v>
      </c>
      <c r="P714" s="2" t="s">
        <v>881</v>
      </c>
      <c r="Q714" s="34"/>
      <c r="R714" s="1" t="s">
        <v>31</v>
      </c>
    </row>
    <row r="715" spans="2:18" ht="29" customHeight="1">
      <c r="B715" s="2" t="s">
        <v>2692</v>
      </c>
      <c r="C715" s="2" t="s">
        <v>1186</v>
      </c>
      <c r="D715" s="1">
        <v>4</v>
      </c>
      <c r="E715" s="2" t="s">
        <v>2693</v>
      </c>
      <c r="F715" s="2" t="s">
        <v>1301</v>
      </c>
      <c r="G715" s="45">
        <v>5</v>
      </c>
      <c r="H715" s="45" t="s">
        <v>702</v>
      </c>
      <c r="I715" s="43" t="s">
        <v>702</v>
      </c>
      <c r="J715" s="43" t="s">
        <v>702</v>
      </c>
      <c r="K715" s="30">
        <v>35000</v>
      </c>
      <c r="L715" s="43" t="s">
        <v>702</v>
      </c>
      <c r="M715" s="3">
        <v>46207.668055555601</v>
      </c>
      <c r="N715" s="2" t="s">
        <v>881</v>
      </c>
      <c r="O715" s="3">
        <v>46227.668055555601</v>
      </c>
      <c r="P715" s="2" t="s">
        <v>881</v>
      </c>
      <c r="Q715" s="34"/>
      <c r="R715" s="1" t="s">
        <v>31</v>
      </c>
    </row>
    <row r="716" spans="2:18">
      <c r="B716" s="2" t="s">
        <v>2694</v>
      </c>
      <c r="C716" s="2" t="s">
        <v>1188</v>
      </c>
      <c r="D716" s="1">
        <v>1</v>
      </c>
      <c r="E716" s="2" t="s">
        <v>2695</v>
      </c>
      <c r="F716" s="2" t="s">
        <v>1304</v>
      </c>
      <c r="G716" s="1">
        <v>12</v>
      </c>
      <c r="H716" s="45" t="s">
        <v>702</v>
      </c>
      <c r="I716" s="43" t="s">
        <v>702</v>
      </c>
      <c r="J716" s="43" t="s">
        <v>702</v>
      </c>
      <c r="K716" s="30">
        <v>72000</v>
      </c>
      <c r="L716" s="43" t="s">
        <v>702</v>
      </c>
      <c r="M716" s="3">
        <v>46207.3881944444</v>
      </c>
      <c r="N716" s="2" t="s">
        <v>885</v>
      </c>
      <c r="O716" s="3">
        <v>46227.3881944444</v>
      </c>
      <c r="P716" s="2" t="s">
        <v>885</v>
      </c>
      <c r="Q716" s="34"/>
      <c r="R716" s="1" t="s">
        <v>31</v>
      </c>
    </row>
    <row r="717" spans="2:18" ht="29" customHeight="1">
      <c r="B717" s="2" t="s">
        <v>2696</v>
      </c>
      <c r="C717" s="2" t="s">
        <v>1188</v>
      </c>
      <c r="D717" s="1">
        <v>2</v>
      </c>
      <c r="E717" s="2" t="s">
        <v>2697</v>
      </c>
      <c r="F717" s="2" t="s">
        <v>1307</v>
      </c>
      <c r="G717" s="45" t="s">
        <v>702</v>
      </c>
      <c r="H717" s="45">
        <v>3</v>
      </c>
      <c r="I717" s="43" t="s">
        <v>702</v>
      </c>
      <c r="J717" s="43" t="s">
        <v>702</v>
      </c>
      <c r="K717" s="30">
        <v>90000</v>
      </c>
      <c r="L717" s="43" t="s">
        <v>702</v>
      </c>
      <c r="M717" s="3">
        <v>46207.3881944444</v>
      </c>
      <c r="N717" s="2" t="s">
        <v>885</v>
      </c>
      <c r="O717" s="3">
        <v>46227.3881944444</v>
      </c>
      <c r="P717" s="2" t="s">
        <v>885</v>
      </c>
      <c r="Q717" s="34"/>
      <c r="R717" s="1" t="s">
        <v>31</v>
      </c>
    </row>
    <row r="718" spans="2:18" ht="29" customHeight="1">
      <c r="B718" s="2" t="s">
        <v>2698</v>
      </c>
      <c r="C718" s="2" t="s">
        <v>1188</v>
      </c>
      <c r="D718" s="1">
        <v>3</v>
      </c>
      <c r="E718" s="2" t="s">
        <v>2699</v>
      </c>
      <c r="F718" s="2" t="s">
        <v>1310</v>
      </c>
      <c r="G718" s="45">
        <v>4</v>
      </c>
      <c r="H718" s="45" t="s">
        <v>702</v>
      </c>
      <c r="I718" s="43" t="s">
        <v>702</v>
      </c>
      <c r="J718" s="43" t="s">
        <v>702</v>
      </c>
      <c r="K718" s="30">
        <v>48000</v>
      </c>
      <c r="L718" s="43" t="s">
        <v>702</v>
      </c>
      <c r="M718" s="3">
        <v>46207.3881944444</v>
      </c>
      <c r="N718" s="2" t="s">
        <v>885</v>
      </c>
      <c r="O718" s="3">
        <v>46227.3881944444</v>
      </c>
      <c r="P718" s="2" t="s">
        <v>885</v>
      </c>
      <c r="Q718" s="34"/>
      <c r="R718" s="1" t="s">
        <v>31</v>
      </c>
    </row>
    <row r="719" spans="2:18">
      <c r="B719" s="2" t="s">
        <v>2700</v>
      </c>
      <c r="C719" s="2" t="s">
        <v>1188</v>
      </c>
      <c r="D719" s="1">
        <v>4</v>
      </c>
      <c r="E719" s="2" t="s">
        <v>2701</v>
      </c>
      <c r="F719" s="2" t="s">
        <v>1313</v>
      </c>
      <c r="G719" s="45" t="s">
        <v>702</v>
      </c>
      <c r="H719" s="45">
        <v>2</v>
      </c>
      <c r="I719" s="43" t="s">
        <v>702</v>
      </c>
      <c r="J719" s="43" t="s">
        <v>702</v>
      </c>
      <c r="K719" s="30">
        <v>80000</v>
      </c>
      <c r="L719" s="43" t="s">
        <v>702</v>
      </c>
      <c r="M719" s="3">
        <v>46207.3881944444</v>
      </c>
      <c r="N719" s="2" t="s">
        <v>885</v>
      </c>
      <c r="O719" s="3">
        <v>46227.3881944444</v>
      </c>
      <c r="P719" s="2" t="s">
        <v>885</v>
      </c>
      <c r="Q719" s="34"/>
      <c r="R719" s="1" t="s">
        <v>31</v>
      </c>
    </row>
    <row r="720" spans="2:18" ht="29" customHeight="1">
      <c r="B720" s="2" t="s">
        <v>2702</v>
      </c>
      <c r="C720" s="2" t="s">
        <v>1190</v>
      </c>
      <c r="D720" s="1">
        <v>1</v>
      </c>
      <c r="E720" s="2" t="s">
        <v>2703</v>
      </c>
      <c r="F720" s="2" t="s">
        <v>1316</v>
      </c>
      <c r="G720" s="45" t="s">
        <v>702</v>
      </c>
      <c r="H720" s="1">
        <v>3</v>
      </c>
      <c r="I720" s="43" t="s">
        <v>702</v>
      </c>
      <c r="J720" s="43" t="s">
        <v>702</v>
      </c>
      <c r="K720" s="30">
        <v>150000</v>
      </c>
      <c r="L720" s="43" t="s">
        <v>702</v>
      </c>
      <c r="M720" s="3">
        <v>46207.525000000001</v>
      </c>
      <c r="N720" s="2" t="s">
        <v>889</v>
      </c>
      <c r="O720" s="3">
        <v>46227.525000000001</v>
      </c>
      <c r="P720" s="2" t="s">
        <v>889</v>
      </c>
      <c r="Q720" s="34"/>
      <c r="R720" s="1" t="s">
        <v>31</v>
      </c>
    </row>
    <row r="721" spans="2:18" ht="29" customHeight="1">
      <c r="B721" s="2" t="s">
        <v>2704</v>
      </c>
      <c r="C721" s="2" t="s">
        <v>1190</v>
      </c>
      <c r="D721" s="1">
        <v>2</v>
      </c>
      <c r="E721" s="2" t="s">
        <v>2705</v>
      </c>
      <c r="F721" s="2" t="s">
        <v>1319</v>
      </c>
      <c r="G721" s="1">
        <v>3</v>
      </c>
      <c r="H721" s="45" t="s">
        <v>702</v>
      </c>
      <c r="I721" s="43" t="s">
        <v>702</v>
      </c>
      <c r="J721" s="43" t="s">
        <v>702</v>
      </c>
      <c r="K721" s="30">
        <v>52500</v>
      </c>
      <c r="L721" s="43" t="s">
        <v>702</v>
      </c>
      <c r="M721" s="3">
        <v>46207.525000000001</v>
      </c>
      <c r="N721" s="2" t="s">
        <v>889</v>
      </c>
      <c r="O721" s="3">
        <v>46227.525000000001</v>
      </c>
      <c r="P721" s="2" t="s">
        <v>889</v>
      </c>
      <c r="Q721" s="34"/>
      <c r="R721" s="1" t="s">
        <v>31</v>
      </c>
    </row>
    <row r="722" spans="2:18">
      <c r="B722" s="2" t="s">
        <v>2706</v>
      </c>
      <c r="C722" s="2" t="s">
        <v>1190</v>
      </c>
      <c r="D722" s="1">
        <v>3</v>
      </c>
      <c r="E722" s="2" t="s">
        <v>2707</v>
      </c>
      <c r="F722" s="2" t="s">
        <v>1259</v>
      </c>
      <c r="G722" s="45" t="s">
        <v>702</v>
      </c>
      <c r="H722" s="1">
        <v>2</v>
      </c>
      <c r="I722" s="43" t="s">
        <v>702</v>
      </c>
      <c r="J722" s="43" t="s">
        <v>702</v>
      </c>
      <c r="K722" s="30">
        <v>70000</v>
      </c>
      <c r="L722" s="43" t="s">
        <v>702</v>
      </c>
      <c r="M722" s="3">
        <v>46207.525000000001</v>
      </c>
      <c r="N722" s="2" t="s">
        <v>889</v>
      </c>
      <c r="O722" s="3">
        <v>46227.525000000001</v>
      </c>
      <c r="P722" s="2" t="s">
        <v>889</v>
      </c>
      <c r="Q722" s="34"/>
      <c r="R722" s="1" t="s">
        <v>31</v>
      </c>
    </row>
    <row r="723" spans="2:18">
      <c r="B723" s="2" t="s">
        <v>2708</v>
      </c>
      <c r="C723" s="2" t="s">
        <v>1190</v>
      </c>
      <c r="D723" s="1">
        <v>4</v>
      </c>
      <c r="E723" s="2" t="s">
        <v>2709</v>
      </c>
      <c r="F723" s="2" t="s">
        <v>1262</v>
      </c>
      <c r="G723" s="1">
        <v>7</v>
      </c>
      <c r="H723" s="45" t="s">
        <v>702</v>
      </c>
      <c r="I723" s="43" t="s">
        <v>702</v>
      </c>
      <c r="J723" s="43" t="s">
        <v>702</v>
      </c>
      <c r="K723" s="30">
        <v>105000</v>
      </c>
      <c r="L723" s="43" t="s">
        <v>702</v>
      </c>
      <c r="M723" s="3">
        <v>46207.525000000001</v>
      </c>
      <c r="N723" s="2" t="s">
        <v>889</v>
      </c>
      <c r="O723" s="3">
        <v>46227.525000000001</v>
      </c>
      <c r="P723" s="2" t="s">
        <v>889</v>
      </c>
      <c r="Q723" s="34"/>
      <c r="R723" s="1" t="s">
        <v>31</v>
      </c>
    </row>
    <row r="724" spans="2:18" ht="29" customHeight="1">
      <c r="B724" s="2" t="s">
        <v>2710</v>
      </c>
      <c r="C724" s="2" t="s">
        <v>1192</v>
      </c>
      <c r="D724" s="1">
        <v>1</v>
      </c>
      <c r="E724" s="2" t="s">
        <v>2711</v>
      </c>
      <c r="F724" s="2" t="s">
        <v>1265</v>
      </c>
      <c r="G724" s="45">
        <v>2</v>
      </c>
      <c r="H724" s="45" t="s">
        <v>702</v>
      </c>
      <c r="I724" s="43" t="s">
        <v>702</v>
      </c>
      <c r="J724" s="43" t="s">
        <v>702</v>
      </c>
      <c r="K724" s="30">
        <v>35000</v>
      </c>
      <c r="L724" s="43" t="s">
        <v>702</v>
      </c>
      <c r="M724" s="3">
        <v>46208.661805555603</v>
      </c>
      <c r="N724" s="2" t="s">
        <v>893</v>
      </c>
      <c r="O724" s="3">
        <v>46228.661805555603</v>
      </c>
      <c r="P724" s="2" t="s">
        <v>893</v>
      </c>
      <c r="Q724" s="34"/>
      <c r="R724" s="1" t="s">
        <v>31</v>
      </c>
    </row>
    <row r="725" spans="2:18">
      <c r="B725" s="2" t="s">
        <v>2712</v>
      </c>
      <c r="C725" s="2" t="s">
        <v>1192</v>
      </c>
      <c r="D725" s="1">
        <v>2</v>
      </c>
      <c r="E725" s="2" t="s">
        <v>2713</v>
      </c>
      <c r="F725" s="2" t="s">
        <v>1268</v>
      </c>
      <c r="G725" s="45" t="s">
        <v>702</v>
      </c>
      <c r="H725" s="45">
        <v>2</v>
      </c>
      <c r="I725" s="43" t="s">
        <v>702</v>
      </c>
      <c r="J725" s="43" t="s">
        <v>702</v>
      </c>
      <c r="K725" s="30">
        <v>50000</v>
      </c>
      <c r="L725" s="43" t="s">
        <v>702</v>
      </c>
      <c r="M725" s="3">
        <v>46208.661805555603</v>
      </c>
      <c r="N725" s="2" t="s">
        <v>893</v>
      </c>
      <c r="O725" s="3">
        <v>46228.661805555603</v>
      </c>
      <c r="P725" s="2" t="s">
        <v>893</v>
      </c>
      <c r="Q725" s="34"/>
      <c r="R725" s="1" t="s">
        <v>31</v>
      </c>
    </row>
    <row r="726" spans="2:18">
      <c r="B726" s="2" t="s">
        <v>2714</v>
      </c>
      <c r="C726" s="2" t="s">
        <v>1192</v>
      </c>
      <c r="D726" s="1">
        <v>3</v>
      </c>
      <c r="E726" s="2" t="s">
        <v>2715</v>
      </c>
      <c r="F726" s="2" t="s">
        <v>1271</v>
      </c>
      <c r="G726" s="45">
        <v>6</v>
      </c>
      <c r="H726" s="45" t="s">
        <v>702</v>
      </c>
      <c r="I726" s="43" t="s">
        <v>702</v>
      </c>
      <c r="J726" s="43" t="s">
        <v>702</v>
      </c>
      <c r="K726" s="30">
        <v>60000</v>
      </c>
      <c r="L726" s="43" t="s">
        <v>702</v>
      </c>
      <c r="M726" s="3">
        <v>46208.661805555603</v>
      </c>
      <c r="N726" s="2" t="s">
        <v>893</v>
      </c>
      <c r="O726" s="3">
        <v>46228.661805555603</v>
      </c>
      <c r="P726" s="2" t="s">
        <v>893</v>
      </c>
      <c r="Q726" s="34"/>
      <c r="R726" s="1" t="s">
        <v>31</v>
      </c>
    </row>
    <row r="727" spans="2:18">
      <c r="B727" s="2" t="s">
        <v>2716</v>
      </c>
      <c r="C727" s="2" t="s">
        <v>1192</v>
      </c>
      <c r="D727" s="1">
        <v>4</v>
      </c>
      <c r="E727" s="2" t="s">
        <v>2717</v>
      </c>
      <c r="F727" s="2" t="s">
        <v>1274</v>
      </c>
      <c r="G727" s="45" t="s">
        <v>702</v>
      </c>
      <c r="H727" s="45">
        <v>1</v>
      </c>
      <c r="I727" s="43" t="s">
        <v>702</v>
      </c>
      <c r="J727" s="43" t="s">
        <v>702</v>
      </c>
      <c r="K727" s="30">
        <v>40000</v>
      </c>
      <c r="L727" s="43" t="s">
        <v>702</v>
      </c>
      <c r="M727" s="3">
        <v>46208.661805555603</v>
      </c>
      <c r="N727" s="2" t="s">
        <v>893</v>
      </c>
      <c r="O727" s="3">
        <v>46228.661805555603</v>
      </c>
      <c r="P727" s="2" t="s">
        <v>893</v>
      </c>
      <c r="Q727" s="34"/>
      <c r="R727" s="1" t="s">
        <v>31</v>
      </c>
    </row>
    <row r="728" spans="2:18">
      <c r="B728" s="2" t="s">
        <v>2718</v>
      </c>
      <c r="C728" s="2" t="s">
        <v>1194</v>
      </c>
      <c r="D728" s="1">
        <v>1</v>
      </c>
      <c r="E728" s="2" t="s">
        <v>2719</v>
      </c>
      <c r="F728" s="2" t="s">
        <v>1277</v>
      </c>
      <c r="G728" s="45" t="s">
        <v>702</v>
      </c>
      <c r="H728" s="45">
        <v>2</v>
      </c>
      <c r="I728" s="43" t="s">
        <v>702</v>
      </c>
      <c r="J728" s="43" t="s">
        <v>702</v>
      </c>
      <c r="K728" s="30">
        <v>70000</v>
      </c>
      <c r="L728" s="43" t="s">
        <v>702</v>
      </c>
      <c r="M728" s="3">
        <v>46208.381944444402</v>
      </c>
      <c r="N728" s="2" t="s">
        <v>897</v>
      </c>
      <c r="O728" s="3">
        <v>46228.381944444402</v>
      </c>
      <c r="P728" s="2" t="s">
        <v>897</v>
      </c>
      <c r="Q728" s="34"/>
      <c r="R728" s="1" t="s">
        <v>31</v>
      </c>
    </row>
    <row r="729" spans="2:18">
      <c r="B729" s="2" t="s">
        <v>2720</v>
      </c>
      <c r="C729" s="2" t="s">
        <v>1194</v>
      </c>
      <c r="D729" s="1">
        <v>2</v>
      </c>
      <c r="E729" s="2" t="s">
        <v>2721</v>
      </c>
      <c r="F729" s="2" t="s">
        <v>1280</v>
      </c>
      <c r="G729" s="45">
        <v>5</v>
      </c>
      <c r="H729" s="45" t="s">
        <v>702</v>
      </c>
      <c r="I729" s="43" t="s">
        <v>702</v>
      </c>
      <c r="J729" s="43" t="s">
        <v>702</v>
      </c>
      <c r="K729" s="30">
        <v>75000</v>
      </c>
      <c r="L729" s="43" t="s">
        <v>702</v>
      </c>
      <c r="M729" s="3">
        <v>46208.381944444402</v>
      </c>
      <c r="N729" s="2" t="s">
        <v>897</v>
      </c>
      <c r="O729" s="3">
        <v>46228.381944444402</v>
      </c>
      <c r="P729" s="2" t="s">
        <v>897</v>
      </c>
      <c r="Q729" s="34"/>
      <c r="R729" s="1" t="s">
        <v>31</v>
      </c>
    </row>
    <row r="730" spans="2:18">
      <c r="B730" s="2" t="s">
        <v>2722</v>
      </c>
      <c r="C730" s="2" t="s">
        <v>1194</v>
      </c>
      <c r="D730" s="1">
        <v>3</v>
      </c>
      <c r="E730" s="2" t="s">
        <v>2723</v>
      </c>
      <c r="F730" s="2" t="s">
        <v>1283</v>
      </c>
      <c r="G730" s="45" t="s">
        <v>702</v>
      </c>
      <c r="H730" s="45">
        <v>1</v>
      </c>
      <c r="I730" s="43" t="s">
        <v>702</v>
      </c>
      <c r="J730" s="43" t="s">
        <v>702</v>
      </c>
      <c r="K730" s="30">
        <v>50000</v>
      </c>
      <c r="L730" s="43" t="s">
        <v>702</v>
      </c>
      <c r="M730" s="3">
        <v>46208.381944444402</v>
      </c>
      <c r="N730" s="2" t="s">
        <v>897</v>
      </c>
      <c r="O730" s="3">
        <v>46228.381944444402</v>
      </c>
      <c r="P730" s="2" t="s">
        <v>897</v>
      </c>
      <c r="Q730" s="34"/>
      <c r="R730" s="1" t="s">
        <v>31</v>
      </c>
    </row>
    <row r="731" spans="2:18">
      <c r="B731" s="2" t="s">
        <v>2724</v>
      </c>
      <c r="C731" s="2" t="s">
        <v>1194</v>
      </c>
      <c r="D731" s="1">
        <v>4</v>
      </c>
      <c r="E731" s="2" t="s">
        <v>2725</v>
      </c>
      <c r="F731" s="2" t="s">
        <v>1286</v>
      </c>
      <c r="G731" s="45">
        <v>9</v>
      </c>
      <c r="H731" s="45" t="s">
        <v>702</v>
      </c>
      <c r="I731" s="43" t="s">
        <v>702</v>
      </c>
      <c r="J731" s="43" t="s">
        <v>702</v>
      </c>
      <c r="K731" s="30">
        <v>90000</v>
      </c>
      <c r="L731" s="43" t="s">
        <v>702</v>
      </c>
      <c r="M731" s="3">
        <v>46208.381944444402</v>
      </c>
      <c r="N731" s="2" t="s">
        <v>897</v>
      </c>
      <c r="O731" s="3">
        <v>46228.381944444402</v>
      </c>
      <c r="P731" s="2" t="s">
        <v>897</v>
      </c>
      <c r="Q731" s="34"/>
      <c r="R731" s="1" t="s">
        <v>31</v>
      </c>
    </row>
    <row r="732" spans="2:18">
      <c r="B732" s="2" t="s">
        <v>2726</v>
      </c>
      <c r="C732" s="2" t="s">
        <v>1196</v>
      </c>
      <c r="D732" s="1">
        <v>1</v>
      </c>
      <c r="E732" s="2" t="s">
        <v>2727</v>
      </c>
      <c r="F732" s="2" t="s">
        <v>1289</v>
      </c>
      <c r="G732" s="1">
        <v>4</v>
      </c>
      <c r="H732" s="45" t="s">
        <v>702</v>
      </c>
      <c r="I732" s="43" t="s">
        <v>702</v>
      </c>
      <c r="J732" s="43" t="s">
        <v>702</v>
      </c>
      <c r="K732" s="30">
        <v>50000</v>
      </c>
      <c r="L732" s="43" t="s">
        <v>702</v>
      </c>
      <c r="M732" s="3">
        <v>46209.518750000003</v>
      </c>
      <c r="N732" s="2" t="s">
        <v>901</v>
      </c>
      <c r="O732" s="3">
        <v>46229.518750000003</v>
      </c>
      <c r="P732" s="2" t="s">
        <v>901</v>
      </c>
      <c r="Q732" s="34"/>
      <c r="R732" s="1" t="s">
        <v>31</v>
      </c>
    </row>
    <row r="733" spans="2:18">
      <c r="B733" s="2" t="s">
        <v>2728</v>
      </c>
      <c r="C733" s="2" t="s">
        <v>1196</v>
      </c>
      <c r="D733" s="1">
        <v>2</v>
      </c>
      <c r="E733" s="2" t="s">
        <v>2729</v>
      </c>
      <c r="F733" s="2" t="s">
        <v>1292</v>
      </c>
      <c r="G733" s="45" t="s">
        <v>702</v>
      </c>
      <c r="H733" s="1">
        <v>1</v>
      </c>
      <c r="I733" s="43" t="s">
        <v>702</v>
      </c>
      <c r="J733" s="43" t="s">
        <v>702</v>
      </c>
      <c r="K733" s="30">
        <v>50000</v>
      </c>
      <c r="L733" s="43" t="s">
        <v>702</v>
      </c>
      <c r="M733" s="3">
        <v>46209.518750000003</v>
      </c>
      <c r="N733" s="2" t="s">
        <v>901</v>
      </c>
      <c r="O733" s="3">
        <v>46229.518750000003</v>
      </c>
      <c r="P733" s="2" t="s">
        <v>901</v>
      </c>
      <c r="Q733" s="34"/>
      <c r="R733" s="1" t="s">
        <v>31</v>
      </c>
    </row>
    <row r="734" spans="2:18">
      <c r="B734" s="2" t="s">
        <v>2730</v>
      </c>
      <c r="C734" s="2" t="s">
        <v>1196</v>
      </c>
      <c r="D734" s="1">
        <v>3</v>
      </c>
      <c r="E734" s="2" t="s">
        <v>2731</v>
      </c>
      <c r="F734" s="2" t="s">
        <v>1295</v>
      </c>
      <c r="G734" s="1">
        <v>8</v>
      </c>
      <c r="H734" s="45" t="s">
        <v>702</v>
      </c>
      <c r="I734" s="43" t="s">
        <v>702</v>
      </c>
      <c r="J734" s="43" t="s">
        <v>702</v>
      </c>
      <c r="K734" s="30">
        <v>24000</v>
      </c>
      <c r="L734" s="43" t="s">
        <v>702</v>
      </c>
      <c r="M734" s="3">
        <v>46209.518750000003</v>
      </c>
      <c r="N734" s="2" t="s">
        <v>901</v>
      </c>
      <c r="O734" s="3">
        <v>46229.518750000003</v>
      </c>
      <c r="P734" s="2" t="s">
        <v>901</v>
      </c>
      <c r="Q734" s="34"/>
      <c r="R734" s="1" t="s">
        <v>31</v>
      </c>
    </row>
    <row r="735" spans="2:18">
      <c r="B735" s="2" t="s">
        <v>2732</v>
      </c>
      <c r="C735" s="2" t="s">
        <v>1196</v>
      </c>
      <c r="D735" s="1">
        <v>4</v>
      </c>
      <c r="E735" s="2" t="s">
        <v>2733</v>
      </c>
      <c r="F735" s="2" t="s">
        <v>1298</v>
      </c>
      <c r="G735" s="45" t="s">
        <v>702</v>
      </c>
      <c r="H735" s="1">
        <v>3</v>
      </c>
      <c r="I735" s="43" t="s">
        <v>702</v>
      </c>
      <c r="J735" s="43" t="s">
        <v>702</v>
      </c>
      <c r="K735" s="30">
        <v>60000</v>
      </c>
      <c r="L735" s="43" t="s">
        <v>702</v>
      </c>
      <c r="M735" s="3">
        <v>46209.518750000003</v>
      </c>
      <c r="N735" s="2" t="s">
        <v>901</v>
      </c>
      <c r="O735" s="3">
        <v>46229.518750000003</v>
      </c>
      <c r="P735" s="2" t="s">
        <v>901</v>
      </c>
      <c r="Q735" s="34"/>
      <c r="R735" s="1" t="s">
        <v>31</v>
      </c>
    </row>
    <row r="736" spans="2:18">
      <c r="B736" s="2" t="s">
        <v>2734</v>
      </c>
      <c r="C736" s="2" t="s">
        <v>1198</v>
      </c>
      <c r="D736" s="1">
        <v>1</v>
      </c>
      <c r="E736" s="2" t="s">
        <v>2735</v>
      </c>
      <c r="F736" s="2" t="s">
        <v>1301</v>
      </c>
      <c r="G736" s="45" t="s">
        <v>702</v>
      </c>
      <c r="H736" s="45">
        <v>1</v>
      </c>
      <c r="I736" s="43" t="s">
        <v>702</v>
      </c>
      <c r="J736" s="43" t="s">
        <v>702</v>
      </c>
      <c r="K736" s="30">
        <v>25000</v>
      </c>
      <c r="L736" s="43" t="s">
        <v>702</v>
      </c>
      <c r="M736" s="3">
        <v>46209.655555555597</v>
      </c>
      <c r="N736" s="2" t="s">
        <v>905</v>
      </c>
      <c r="O736" s="3">
        <v>46229.655555555597</v>
      </c>
      <c r="P736" s="2" t="s">
        <v>905</v>
      </c>
      <c r="Q736" s="34"/>
      <c r="R736" s="1" t="s">
        <v>31</v>
      </c>
    </row>
    <row r="737" spans="2:18">
      <c r="B737" s="2" t="s">
        <v>2736</v>
      </c>
      <c r="C737" s="2" t="s">
        <v>1198</v>
      </c>
      <c r="D737" s="1">
        <v>2</v>
      </c>
      <c r="E737" s="2" t="s">
        <v>2737</v>
      </c>
      <c r="F737" s="2" t="s">
        <v>1304</v>
      </c>
      <c r="G737" s="45">
        <v>7</v>
      </c>
      <c r="H737" s="45" t="s">
        <v>702</v>
      </c>
      <c r="I737" s="43" t="s">
        <v>702</v>
      </c>
      <c r="J737" s="43" t="s">
        <v>702</v>
      </c>
      <c r="K737" s="30">
        <v>42000</v>
      </c>
      <c r="L737" s="43" t="s">
        <v>702</v>
      </c>
      <c r="M737" s="3">
        <v>46209.655555555597</v>
      </c>
      <c r="N737" s="2" t="s">
        <v>905</v>
      </c>
      <c r="O737" s="3">
        <v>46229.655555555597</v>
      </c>
      <c r="P737" s="2" t="s">
        <v>905</v>
      </c>
      <c r="Q737" s="34"/>
      <c r="R737" s="1" t="s">
        <v>31</v>
      </c>
    </row>
    <row r="738" spans="2:18">
      <c r="B738" s="2" t="s">
        <v>2738</v>
      </c>
      <c r="C738" s="2" t="s">
        <v>1198</v>
      </c>
      <c r="D738" s="1">
        <v>3</v>
      </c>
      <c r="E738" s="2" t="s">
        <v>2739</v>
      </c>
      <c r="F738" s="2" t="s">
        <v>1307</v>
      </c>
      <c r="G738" s="45" t="s">
        <v>702</v>
      </c>
      <c r="H738" s="45">
        <v>3</v>
      </c>
      <c r="I738" s="43" t="s">
        <v>702</v>
      </c>
      <c r="J738" s="43" t="s">
        <v>702</v>
      </c>
      <c r="K738" s="30">
        <v>90000</v>
      </c>
      <c r="L738" s="43" t="s">
        <v>702</v>
      </c>
      <c r="M738" s="3">
        <v>46209.655555555597</v>
      </c>
      <c r="N738" s="2" t="s">
        <v>905</v>
      </c>
      <c r="O738" s="3">
        <v>46229.655555555597</v>
      </c>
      <c r="P738" s="2" t="s">
        <v>905</v>
      </c>
      <c r="Q738" s="34"/>
      <c r="R738" s="1" t="s">
        <v>31</v>
      </c>
    </row>
    <row r="739" spans="2:18">
      <c r="B739" s="2" t="s">
        <v>2740</v>
      </c>
      <c r="C739" s="2" t="s">
        <v>1198</v>
      </c>
      <c r="D739" s="1">
        <v>4</v>
      </c>
      <c r="E739" s="2" t="s">
        <v>2741</v>
      </c>
      <c r="F739" s="2" t="s">
        <v>1310</v>
      </c>
      <c r="G739" s="45">
        <v>11</v>
      </c>
      <c r="H739" s="45" t="s">
        <v>702</v>
      </c>
      <c r="I739" s="43" t="s">
        <v>702</v>
      </c>
      <c r="J739" s="43" t="s">
        <v>702</v>
      </c>
      <c r="K739" s="30">
        <v>132000</v>
      </c>
      <c r="L739" s="43" t="s">
        <v>702</v>
      </c>
      <c r="M739" s="3">
        <v>46209.655555555597</v>
      </c>
      <c r="N739" s="2" t="s">
        <v>905</v>
      </c>
      <c r="O739" s="3">
        <v>46229.655555555597</v>
      </c>
      <c r="P739" s="2" t="s">
        <v>905</v>
      </c>
      <c r="Q739" s="34"/>
      <c r="R739" s="1" t="s">
        <v>31</v>
      </c>
    </row>
    <row r="740" spans="2:18">
      <c r="B740" s="2" t="s">
        <v>2742</v>
      </c>
      <c r="C740" s="2" t="s">
        <v>1200</v>
      </c>
      <c r="D740" s="1">
        <v>1</v>
      </c>
      <c r="E740" s="2" t="s">
        <v>2743</v>
      </c>
      <c r="F740" s="2" t="s">
        <v>1313</v>
      </c>
      <c r="G740" s="1">
        <v>6</v>
      </c>
      <c r="H740" s="45" t="s">
        <v>702</v>
      </c>
      <c r="I740" s="43" t="s">
        <v>702</v>
      </c>
      <c r="J740" s="43" t="s">
        <v>702</v>
      </c>
      <c r="K740" s="30">
        <v>75000</v>
      </c>
      <c r="L740" s="43" t="s">
        <v>702</v>
      </c>
      <c r="M740" s="3">
        <v>46210.417361111096</v>
      </c>
      <c r="N740" s="2" t="s">
        <v>909</v>
      </c>
      <c r="O740" s="3">
        <v>46230.417361111096</v>
      </c>
      <c r="P740" s="2" t="s">
        <v>909</v>
      </c>
      <c r="Q740" s="34"/>
      <c r="R740" s="1" t="s">
        <v>31</v>
      </c>
    </row>
    <row r="741" spans="2:18">
      <c r="B741" s="2" t="s">
        <v>2744</v>
      </c>
      <c r="C741" s="2" t="s">
        <v>1200</v>
      </c>
      <c r="D741" s="1">
        <v>2</v>
      </c>
      <c r="E741" s="2" t="s">
        <v>2745</v>
      </c>
      <c r="F741" s="2" t="s">
        <v>1316</v>
      </c>
      <c r="G741" s="45" t="s">
        <v>702</v>
      </c>
      <c r="H741" s="1">
        <v>3</v>
      </c>
      <c r="I741" s="43" t="s">
        <v>702</v>
      </c>
      <c r="J741" s="43" t="s">
        <v>702</v>
      </c>
      <c r="K741" s="30">
        <v>150000</v>
      </c>
      <c r="L741" s="43" t="s">
        <v>702</v>
      </c>
      <c r="M741" s="3">
        <v>46210.417361111096</v>
      </c>
      <c r="N741" s="2" t="s">
        <v>909</v>
      </c>
      <c r="O741" s="3">
        <v>46230.417361111096</v>
      </c>
      <c r="P741" s="2" t="s">
        <v>909</v>
      </c>
      <c r="Q741" s="34"/>
      <c r="R741" s="1" t="s">
        <v>31</v>
      </c>
    </row>
    <row r="742" spans="2:18">
      <c r="B742" s="2" t="s">
        <v>2746</v>
      </c>
      <c r="C742" s="2" t="s">
        <v>1200</v>
      </c>
      <c r="D742" s="1">
        <v>3</v>
      </c>
      <c r="E742" s="2" t="s">
        <v>2747</v>
      </c>
      <c r="F742" s="2" t="s">
        <v>1319</v>
      </c>
      <c r="G742" s="1">
        <v>10</v>
      </c>
      <c r="H742" s="45" t="s">
        <v>702</v>
      </c>
      <c r="I742" s="43" t="s">
        <v>702</v>
      </c>
      <c r="J742" s="43" t="s">
        <v>702</v>
      </c>
      <c r="K742" s="30">
        <v>175000</v>
      </c>
      <c r="L742" s="43" t="s">
        <v>702</v>
      </c>
      <c r="M742" s="3">
        <v>46210.417361111096</v>
      </c>
      <c r="N742" s="2" t="s">
        <v>909</v>
      </c>
      <c r="O742" s="3">
        <v>46230.417361111096</v>
      </c>
      <c r="P742" s="2" t="s">
        <v>909</v>
      </c>
      <c r="Q742" s="34"/>
      <c r="R742" s="1" t="s">
        <v>31</v>
      </c>
    </row>
    <row r="743" spans="2:18" ht="29" customHeight="1">
      <c r="B743" s="2" t="s">
        <v>2748</v>
      </c>
      <c r="C743" s="2" t="s">
        <v>1200</v>
      </c>
      <c r="D743" s="1">
        <v>4</v>
      </c>
      <c r="E743" s="2" t="s">
        <v>2749</v>
      </c>
      <c r="F743" s="2" t="s">
        <v>1259</v>
      </c>
      <c r="G743" s="45" t="s">
        <v>702</v>
      </c>
      <c r="H743" s="45">
        <v>2</v>
      </c>
      <c r="I743" s="43" t="s">
        <v>702</v>
      </c>
      <c r="J743" s="43" t="s">
        <v>702</v>
      </c>
      <c r="K743" s="30">
        <v>70000</v>
      </c>
      <c r="L743" s="43" t="s">
        <v>702</v>
      </c>
      <c r="M743" s="3">
        <v>46210.417361111096</v>
      </c>
      <c r="N743" s="2" t="s">
        <v>909</v>
      </c>
      <c r="O743" s="3">
        <v>46230.417361111096</v>
      </c>
      <c r="P743" s="2" t="s">
        <v>909</v>
      </c>
      <c r="Q743" s="34"/>
      <c r="R743" s="1" t="s">
        <v>31</v>
      </c>
    </row>
    <row r="744" spans="2:18">
      <c r="B744" s="2" t="s">
        <v>2750</v>
      </c>
      <c r="C744" s="2" t="s">
        <v>1202</v>
      </c>
      <c r="D744" s="1">
        <v>1</v>
      </c>
      <c r="E744" s="2" t="s">
        <v>2751</v>
      </c>
      <c r="F744" s="2" t="s">
        <v>1262</v>
      </c>
      <c r="G744" s="45" t="s">
        <v>702</v>
      </c>
      <c r="H744" s="1">
        <v>3</v>
      </c>
      <c r="I744" s="43" t="s">
        <v>702</v>
      </c>
      <c r="J744" s="43" t="s">
        <v>702</v>
      </c>
      <c r="K744" s="30">
        <v>127500</v>
      </c>
      <c r="L744" s="43" t="s">
        <v>702</v>
      </c>
      <c r="M744" s="3">
        <v>46210.512499999997</v>
      </c>
      <c r="N744" s="2" t="s">
        <v>913</v>
      </c>
      <c r="O744" s="3">
        <v>46230.512499999997</v>
      </c>
      <c r="P744" s="2" t="s">
        <v>913</v>
      </c>
      <c r="Q744" s="34"/>
      <c r="R744" s="1" t="s">
        <v>31</v>
      </c>
    </row>
    <row r="745" spans="2:18">
      <c r="B745" s="2" t="s">
        <v>2752</v>
      </c>
      <c r="C745" s="2" t="s">
        <v>1202</v>
      </c>
      <c r="D745" s="1">
        <v>2</v>
      </c>
      <c r="E745" s="2" t="s">
        <v>2753</v>
      </c>
      <c r="F745" s="2" t="s">
        <v>1265</v>
      </c>
      <c r="G745" s="45">
        <v>9</v>
      </c>
      <c r="H745" s="45" t="s">
        <v>702</v>
      </c>
      <c r="I745" s="43" t="s">
        <v>702</v>
      </c>
      <c r="J745" s="43" t="s">
        <v>702</v>
      </c>
      <c r="K745" s="30">
        <v>157500</v>
      </c>
      <c r="L745" s="43" t="s">
        <v>702</v>
      </c>
      <c r="M745" s="3">
        <v>46210.512499999997</v>
      </c>
      <c r="N745" s="2" t="s">
        <v>913</v>
      </c>
      <c r="O745" s="3">
        <v>46230.512499999997</v>
      </c>
      <c r="P745" s="2" t="s">
        <v>913</v>
      </c>
      <c r="Q745" s="34"/>
      <c r="R745" s="1" t="s">
        <v>31</v>
      </c>
    </row>
    <row r="746" spans="2:18" ht="29" customHeight="1">
      <c r="B746" s="2" t="s">
        <v>2754</v>
      </c>
      <c r="C746" s="2" t="s">
        <v>1202</v>
      </c>
      <c r="D746" s="1">
        <v>3</v>
      </c>
      <c r="E746" s="2" t="s">
        <v>2755</v>
      </c>
      <c r="F746" s="2" t="s">
        <v>1268</v>
      </c>
      <c r="G746" s="45" t="s">
        <v>702</v>
      </c>
      <c r="H746" s="45">
        <v>2</v>
      </c>
      <c r="I746" s="43" t="s">
        <v>702</v>
      </c>
      <c r="J746" s="43" t="s">
        <v>702</v>
      </c>
      <c r="K746" s="30">
        <v>50000</v>
      </c>
      <c r="L746" s="43" t="s">
        <v>702</v>
      </c>
      <c r="M746" s="3">
        <v>46210.512499999997</v>
      </c>
      <c r="N746" s="2" t="s">
        <v>913</v>
      </c>
      <c r="O746" s="3">
        <v>46230.512499999997</v>
      </c>
      <c r="P746" s="2" t="s">
        <v>913</v>
      </c>
      <c r="Q746" s="34"/>
      <c r="R746" s="1" t="s">
        <v>31</v>
      </c>
    </row>
    <row r="747" spans="2:18">
      <c r="B747" s="2" t="s">
        <v>2756</v>
      </c>
      <c r="C747" s="2" t="s">
        <v>1202</v>
      </c>
      <c r="D747" s="1">
        <v>4</v>
      </c>
      <c r="E747" s="2" t="s">
        <v>2757</v>
      </c>
      <c r="F747" s="2" t="s">
        <v>1271</v>
      </c>
      <c r="G747" s="45">
        <v>1</v>
      </c>
      <c r="H747" s="45" t="s">
        <v>702</v>
      </c>
      <c r="I747" s="43" t="s">
        <v>702</v>
      </c>
      <c r="J747" s="43" t="s">
        <v>702</v>
      </c>
      <c r="K747" s="30">
        <v>10000</v>
      </c>
      <c r="L747" s="43" t="s">
        <v>702</v>
      </c>
      <c r="M747" s="3">
        <v>46210.512499999997</v>
      </c>
      <c r="N747" s="2" t="s">
        <v>913</v>
      </c>
      <c r="O747" s="3">
        <v>46230.512499999997</v>
      </c>
      <c r="P747" s="2" t="s">
        <v>913</v>
      </c>
      <c r="Q747" s="34"/>
      <c r="R747" s="1" t="s">
        <v>31</v>
      </c>
    </row>
    <row r="748" spans="2:18">
      <c r="B748" s="2" t="s">
        <v>2758</v>
      </c>
      <c r="C748" s="2" t="s">
        <v>1204</v>
      </c>
      <c r="D748" s="1">
        <v>1</v>
      </c>
      <c r="E748" s="2" t="s">
        <v>2759</v>
      </c>
      <c r="F748" s="2" t="s">
        <v>1274</v>
      </c>
      <c r="G748" s="1">
        <v>8</v>
      </c>
      <c r="H748" s="45" t="s">
        <v>702</v>
      </c>
      <c r="I748" s="43" t="s">
        <v>702</v>
      </c>
      <c r="J748" s="43" t="s">
        <v>702</v>
      </c>
      <c r="K748" s="30">
        <v>100000</v>
      </c>
      <c r="L748" s="43" t="s">
        <v>702</v>
      </c>
      <c r="M748" s="3">
        <v>46211.649305555598</v>
      </c>
      <c r="N748" s="2" t="s">
        <v>917</v>
      </c>
      <c r="O748" s="3">
        <v>46231.649305555598</v>
      </c>
      <c r="P748" s="2" t="s">
        <v>917</v>
      </c>
      <c r="Q748" s="34"/>
      <c r="R748" s="1" t="s">
        <v>31</v>
      </c>
    </row>
    <row r="749" spans="2:18" ht="29" customHeight="1">
      <c r="B749" s="2" t="s">
        <v>2760</v>
      </c>
      <c r="C749" s="2" t="s">
        <v>1204</v>
      </c>
      <c r="D749" s="1">
        <v>2</v>
      </c>
      <c r="E749" s="2" t="s">
        <v>2761</v>
      </c>
      <c r="F749" s="2" t="s">
        <v>1277</v>
      </c>
      <c r="G749" s="45" t="s">
        <v>702</v>
      </c>
      <c r="H749" s="1">
        <v>2</v>
      </c>
      <c r="I749" s="43" t="s">
        <v>702</v>
      </c>
      <c r="J749" s="43" t="s">
        <v>702</v>
      </c>
      <c r="K749" s="30">
        <v>70000</v>
      </c>
      <c r="L749" s="43" t="s">
        <v>702</v>
      </c>
      <c r="M749" s="3">
        <v>46211.649305555598</v>
      </c>
      <c r="N749" s="2" t="s">
        <v>917</v>
      </c>
      <c r="O749" s="3">
        <v>46231.649305555598</v>
      </c>
      <c r="P749" s="2" t="s">
        <v>917</v>
      </c>
      <c r="Q749" s="34"/>
      <c r="R749" s="1" t="s">
        <v>31</v>
      </c>
    </row>
    <row r="750" spans="2:18">
      <c r="B750" s="2" t="s">
        <v>2762</v>
      </c>
      <c r="C750" s="2" t="s">
        <v>1204</v>
      </c>
      <c r="D750" s="1">
        <v>3</v>
      </c>
      <c r="E750" s="2" t="s">
        <v>2763</v>
      </c>
      <c r="F750" s="2" t="s">
        <v>1280</v>
      </c>
      <c r="G750" s="1">
        <v>12</v>
      </c>
      <c r="H750" s="45" t="s">
        <v>702</v>
      </c>
      <c r="I750" s="43" t="s">
        <v>702</v>
      </c>
      <c r="J750" s="43" t="s">
        <v>702</v>
      </c>
      <c r="K750" s="30">
        <v>180000</v>
      </c>
      <c r="L750" s="43" t="s">
        <v>702</v>
      </c>
      <c r="M750" s="3">
        <v>46211.649305555598</v>
      </c>
      <c r="N750" s="2" t="s">
        <v>917</v>
      </c>
      <c r="O750" s="3">
        <v>46231.649305555598</v>
      </c>
      <c r="P750" s="2" t="s">
        <v>917</v>
      </c>
      <c r="Q750" s="34"/>
      <c r="R750" s="1" t="s">
        <v>31</v>
      </c>
    </row>
    <row r="751" spans="2:18">
      <c r="B751" s="2" t="s">
        <v>2764</v>
      </c>
      <c r="C751" s="2" t="s">
        <v>1204</v>
      </c>
      <c r="D751" s="1">
        <v>4</v>
      </c>
      <c r="E751" s="2" t="s">
        <v>2765</v>
      </c>
      <c r="F751" s="2" t="s">
        <v>1283</v>
      </c>
      <c r="G751" s="45" t="s">
        <v>702</v>
      </c>
      <c r="H751" s="1">
        <v>1</v>
      </c>
      <c r="I751" s="43" t="s">
        <v>702</v>
      </c>
      <c r="J751" s="43" t="s">
        <v>702</v>
      </c>
      <c r="K751" s="30">
        <v>50000</v>
      </c>
      <c r="L751" s="43" t="s">
        <v>702</v>
      </c>
      <c r="M751" s="3">
        <v>46211.649305555598</v>
      </c>
      <c r="N751" s="2" t="s">
        <v>917</v>
      </c>
      <c r="O751" s="3">
        <v>46231.649305555598</v>
      </c>
      <c r="P751" s="2" t="s">
        <v>917</v>
      </c>
      <c r="Q751" s="34"/>
      <c r="R751" s="1" t="s">
        <v>31</v>
      </c>
    </row>
    <row r="752" spans="2:18" ht="29" customHeight="1">
      <c r="B752" s="2" t="s">
        <v>2766</v>
      </c>
      <c r="C752" s="2" t="s">
        <v>1206</v>
      </c>
      <c r="D752" s="1">
        <v>1</v>
      </c>
      <c r="E752" s="2" t="s">
        <v>2767</v>
      </c>
      <c r="F752" s="2" t="s">
        <v>1286</v>
      </c>
      <c r="G752" s="45" t="s">
        <v>702</v>
      </c>
      <c r="H752" s="1">
        <v>2</v>
      </c>
      <c r="I752" s="43" t="s">
        <v>702</v>
      </c>
      <c r="J752" s="43" t="s">
        <v>702</v>
      </c>
      <c r="K752" s="30">
        <v>60000</v>
      </c>
      <c r="L752" s="43" t="s">
        <v>702</v>
      </c>
      <c r="M752" s="3">
        <v>46211.411111111098</v>
      </c>
      <c r="N752" s="2" t="s">
        <v>703</v>
      </c>
      <c r="O752" s="3">
        <v>46231.411111111098</v>
      </c>
      <c r="P752" s="2" t="s">
        <v>703</v>
      </c>
      <c r="Q752" s="34"/>
      <c r="R752" s="1" t="s">
        <v>31</v>
      </c>
    </row>
    <row r="753" spans="2:18">
      <c r="B753" s="2" t="s">
        <v>2768</v>
      </c>
      <c r="C753" s="2" t="s">
        <v>1206</v>
      </c>
      <c r="D753" s="1">
        <v>2</v>
      </c>
      <c r="E753" s="2" t="s">
        <v>2769</v>
      </c>
      <c r="F753" s="2" t="s">
        <v>1289</v>
      </c>
      <c r="G753" s="1">
        <v>11</v>
      </c>
      <c r="H753" s="45" t="s">
        <v>702</v>
      </c>
      <c r="I753" s="43" t="s">
        <v>702</v>
      </c>
      <c r="J753" s="43" t="s">
        <v>702</v>
      </c>
      <c r="K753" s="30">
        <v>137500</v>
      </c>
      <c r="L753" s="43" t="s">
        <v>702</v>
      </c>
      <c r="M753" s="3">
        <v>46211.411111111098</v>
      </c>
      <c r="N753" s="2" t="s">
        <v>703</v>
      </c>
      <c r="O753" s="3">
        <v>46231.411111111098</v>
      </c>
      <c r="P753" s="2" t="s">
        <v>703</v>
      </c>
      <c r="Q753" s="34"/>
      <c r="R753" s="1" t="s">
        <v>31</v>
      </c>
    </row>
    <row r="754" spans="2:18">
      <c r="B754" s="2" t="s">
        <v>2770</v>
      </c>
      <c r="C754" s="2" t="s">
        <v>1206</v>
      </c>
      <c r="D754" s="1">
        <v>3</v>
      </c>
      <c r="E754" s="2" t="s">
        <v>2771</v>
      </c>
      <c r="F754" s="2" t="s">
        <v>1292</v>
      </c>
      <c r="G754" s="45" t="s">
        <v>702</v>
      </c>
      <c r="H754" s="1">
        <v>1</v>
      </c>
      <c r="I754" s="43" t="s">
        <v>702</v>
      </c>
      <c r="J754" s="43" t="s">
        <v>702</v>
      </c>
      <c r="K754" s="30">
        <v>50000</v>
      </c>
      <c r="L754" s="43" t="s">
        <v>702</v>
      </c>
      <c r="M754" s="3">
        <v>46211.411111111098</v>
      </c>
      <c r="N754" s="2" t="s">
        <v>703</v>
      </c>
      <c r="O754" s="3">
        <v>46231.411111111098</v>
      </c>
      <c r="P754" s="2" t="s">
        <v>703</v>
      </c>
      <c r="Q754" s="34"/>
      <c r="R754" s="1" t="s">
        <v>31</v>
      </c>
    </row>
    <row r="755" spans="2:18">
      <c r="B755" s="2" t="s">
        <v>2772</v>
      </c>
      <c r="C755" s="2" t="s">
        <v>1206</v>
      </c>
      <c r="D755" s="1">
        <v>4</v>
      </c>
      <c r="E755" s="2" t="s">
        <v>2773</v>
      </c>
      <c r="F755" s="2" t="s">
        <v>1295</v>
      </c>
      <c r="G755" s="1">
        <v>3</v>
      </c>
      <c r="H755" s="45" t="s">
        <v>702</v>
      </c>
      <c r="I755" s="43" t="s">
        <v>702</v>
      </c>
      <c r="J755" s="43" t="s">
        <v>702</v>
      </c>
      <c r="K755" s="30">
        <v>9000</v>
      </c>
      <c r="L755" s="43" t="s">
        <v>702</v>
      </c>
      <c r="M755" s="3">
        <v>46211.411111111098</v>
      </c>
      <c r="N755" s="2" t="s">
        <v>703</v>
      </c>
      <c r="O755" s="3">
        <v>46231.411111111098</v>
      </c>
      <c r="P755" s="2" t="s">
        <v>703</v>
      </c>
      <c r="Q755" s="34"/>
      <c r="R755" s="1" t="s">
        <v>31</v>
      </c>
    </row>
    <row r="756" spans="2:18">
      <c r="B756" s="2" t="s">
        <v>2774</v>
      </c>
      <c r="C756" s="2" t="s">
        <v>1208</v>
      </c>
      <c r="D756" s="1">
        <v>1</v>
      </c>
      <c r="E756" s="2" t="s">
        <v>2775</v>
      </c>
      <c r="F756" s="2" t="s">
        <v>1298</v>
      </c>
      <c r="G756" s="45">
        <v>10</v>
      </c>
      <c r="H756" s="45" t="s">
        <v>702</v>
      </c>
      <c r="I756" s="43" t="s">
        <v>702</v>
      </c>
      <c r="J756" s="43" t="s">
        <v>702</v>
      </c>
      <c r="K756" s="30">
        <v>50000</v>
      </c>
      <c r="L756" s="43" t="s">
        <v>702</v>
      </c>
      <c r="M756" s="3">
        <v>46212.547916666699</v>
      </c>
      <c r="N756" s="2" t="s">
        <v>707</v>
      </c>
      <c r="O756" s="3">
        <v>46232.547916666699</v>
      </c>
      <c r="P756" s="2" t="s">
        <v>707</v>
      </c>
      <c r="Q756" s="34"/>
      <c r="R756" s="1" t="s">
        <v>31</v>
      </c>
    </row>
    <row r="757" spans="2:18">
      <c r="B757" s="2" t="s">
        <v>2776</v>
      </c>
      <c r="C757" s="2" t="s">
        <v>1208</v>
      </c>
      <c r="D757" s="1">
        <v>2</v>
      </c>
      <c r="E757" s="2" t="s">
        <v>2777</v>
      </c>
      <c r="F757" s="2" t="s">
        <v>1301</v>
      </c>
      <c r="G757" s="45" t="s">
        <v>702</v>
      </c>
      <c r="H757" s="45">
        <v>1</v>
      </c>
      <c r="I757" s="43" t="s">
        <v>702</v>
      </c>
      <c r="J757" s="43" t="s">
        <v>702</v>
      </c>
      <c r="K757" s="30">
        <v>25000</v>
      </c>
      <c r="L757" s="43" t="s">
        <v>702</v>
      </c>
      <c r="M757" s="3">
        <v>46212.547916666699</v>
      </c>
      <c r="N757" s="2" t="s">
        <v>707</v>
      </c>
      <c r="O757" s="3">
        <v>46232.547916666699</v>
      </c>
      <c r="P757" s="2" t="s">
        <v>707</v>
      </c>
      <c r="Q757" s="34"/>
      <c r="R757" s="1" t="s">
        <v>31</v>
      </c>
    </row>
    <row r="758" spans="2:18">
      <c r="B758" s="2" t="s">
        <v>2778</v>
      </c>
      <c r="C758" s="2" t="s">
        <v>1208</v>
      </c>
      <c r="D758" s="1">
        <v>3</v>
      </c>
      <c r="E758" s="2" t="s">
        <v>2779</v>
      </c>
      <c r="F758" s="2" t="s">
        <v>1304</v>
      </c>
      <c r="G758" s="45">
        <v>2</v>
      </c>
      <c r="H758" s="45" t="s">
        <v>702</v>
      </c>
      <c r="I758" s="43" t="s">
        <v>702</v>
      </c>
      <c r="J758" s="43" t="s">
        <v>702</v>
      </c>
      <c r="K758" s="30">
        <v>12000</v>
      </c>
      <c r="L758" s="43" t="s">
        <v>702</v>
      </c>
      <c r="M758" s="3">
        <v>46212.547916666699</v>
      </c>
      <c r="N758" s="2" t="s">
        <v>707</v>
      </c>
      <c r="O758" s="3">
        <v>46232.547916666699</v>
      </c>
      <c r="P758" s="2" t="s">
        <v>707</v>
      </c>
      <c r="Q758" s="34"/>
      <c r="R758" s="1" t="s">
        <v>31</v>
      </c>
    </row>
    <row r="759" spans="2:18" ht="29" customHeight="1">
      <c r="B759" s="2" t="s">
        <v>2780</v>
      </c>
      <c r="C759" s="2" t="s">
        <v>1208</v>
      </c>
      <c r="D759" s="1">
        <v>4</v>
      </c>
      <c r="E759" s="2" t="s">
        <v>2781</v>
      </c>
      <c r="F759" s="2" t="s">
        <v>1307</v>
      </c>
      <c r="G759" s="45" t="s">
        <v>702</v>
      </c>
      <c r="H759" s="45">
        <v>3</v>
      </c>
      <c r="I759" s="43" t="s">
        <v>702</v>
      </c>
      <c r="J759" s="43" t="s">
        <v>702</v>
      </c>
      <c r="K759" s="30">
        <v>90000</v>
      </c>
      <c r="L759" s="43" t="s">
        <v>702</v>
      </c>
      <c r="M759" s="3">
        <v>46212.547916666699</v>
      </c>
      <c r="N759" s="2" t="s">
        <v>707</v>
      </c>
      <c r="O759" s="3">
        <v>46232.547916666699</v>
      </c>
      <c r="P759" s="2" t="s">
        <v>707</v>
      </c>
      <c r="Q759" s="34"/>
      <c r="R759" s="1" t="s">
        <v>31</v>
      </c>
    </row>
    <row r="760" spans="2:18">
      <c r="B760" s="2" t="s">
        <v>2782</v>
      </c>
      <c r="C760" s="2" t="s">
        <v>1210</v>
      </c>
      <c r="D760" s="1">
        <v>1</v>
      </c>
      <c r="E760" s="2" t="s">
        <v>2783</v>
      </c>
      <c r="F760" s="2" t="s">
        <v>1310</v>
      </c>
      <c r="G760" s="45" t="s">
        <v>702</v>
      </c>
      <c r="H760" s="1">
        <v>1</v>
      </c>
      <c r="I760" s="43" t="s">
        <v>702</v>
      </c>
      <c r="J760" s="43" t="s">
        <v>702</v>
      </c>
      <c r="K760" s="30">
        <v>40000</v>
      </c>
      <c r="L760" s="43" t="s">
        <v>702</v>
      </c>
      <c r="M760" s="3">
        <v>46212.6430555556</v>
      </c>
      <c r="N760" s="2" t="s">
        <v>711</v>
      </c>
      <c r="O760" s="3">
        <v>46232.6430555556</v>
      </c>
      <c r="P760" s="2" t="s">
        <v>711</v>
      </c>
      <c r="Q760" s="34"/>
      <c r="R760" s="1" t="s">
        <v>31</v>
      </c>
    </row>
    <row r="761" spans="2:18">
      <c r="B761" s="2" t="s">
        <v>2784</v>
      </c>
      <c r="C761" s="2" t="s">
        <v>1210</v>
      </c>
      <c r="D761" s="1">
        <v>2</v>
      </c>
      <c r="E761" s="2" t="s">
        <v>2785</v>
      </c>
      <c r="F761" s="2" t="s">
        <v>1313</v>
      </c>
      <c r="G761" s="1">
        <v>1</v>
      </c>
      <c r="H761" s="45" t="s">
        <v>702</v>
      </c>
      <c r="I761" s="43" t="s">
        <v>702</v>
      </c>
      <c r="J761" s="43" t="s">
        <v>702</v>
      </c>
      <c r="K761" s="30">
        <v>12500</v>
      </c>
      <c r="L761" s="43" t="s">
        <v>702</v>
      </c>
      <c r="M761" s="3">
        <v>46212.6430555556</v>
      </c>
      <c r="N761" s="2" t="s">
        <v>711</v>
      </c>
      <c r="O761" s="3">
        <v>46232.6430555556</v>
      </c>
      <c r="P761" s="2" t="s">
        <v>711</v>
      </c>
      <c r="Q761" s="34"/>
      <c r="R761" s="1" t="s">
        <v>31</v>
      </c>
    </row>
    <row r="762" spans="2:18" ht="29" customHeight="1">
      <c r="B762" s="2" t="s">
        <v>2786</v>
      </c>
      <c r="C762" s="2" t="s">
        <v>1210</v>
      </c>
      <c r="D762" s="1">
        <v>3</v>
      </c>
      <c r="E762" s="2" t="s">
        <v>2787</v>
      </c>
      <c r="F762" s="2" t="s">
        <v>1316</v>
      </c>
      <c r="G762" s="45" t="s">
        <v>702</v>
      </c>
      <c r="H762" s="1">
        <v>3</v>
      </c>
      <c r="I762" s="43" t="s">
        <v>702</v>
      </c>
      <c r="J762" s="43" t="s">
        <v>702</v>
      </c>
      <c r="K762" s="30">
        <v>150000</v>
      </c>
      <c r="L762" s="43" t="s">
        <v>702</v>
      </c>
      <c r="M762" s="3">
        <v>46212.6430555556</v>
      </c>
      <c r="N762" s="2" t="s">
        <v>711</v>
      </c>
      <c r="O762" s="3">
        <v>46232.6430555556</v>
      </c>
      <c r="P762" s="2" t="s">
        <v>711</v>
      </c>
      <c r="Q762" s="34"/>
      <c r="R762" s="1" t="s">
        <v>31</v>
      </c>
    </row>
    <row r="763" spans="2:18" ht="29" customHeight="1">
      <c r="B763" s="2" t="s">
        <v>2788</v>
      </c>
      <c r="C763" s="2" t="s">
        <v>1210</v>
      </c>
      <c r="D763" s="1">
        <v>4</v>
      </c>
      <c r="E763" s="2" t="s">
        <v>2789</v>
      </c>
      <c r="F763" s="2" t="s">
        <v>1319</v>
      </c>
      <c r="G763" s="45">
        <v>5</v>
      </c>
      <c r="H763" s="45" t="s">
        <v>702</v>
      </c>
      <c r="I763" s="43" t="s">
        <v>702</v>
      </c>
      <c r="J763" s="43" t="s">
        <v>702</v>
      </c>
      <c r="K763" s="30">
        <v>87500</v>
      </c>
      <c r="L763" s="43" t="s">
        <v>702</v>
      </c>
      <c r="M763" s="3">
        <v>46212.6430555556</v>
      </c>
      <c r="N763" s="2" t="s">
        <v>711</v>
      </c>
      <c r="O763" s="3">
        <v>46232.6430555556</v>
      </c>
      <c r="P763" s="2" t="s">
        <v>711</v>
      </c>
      <c r="Q763" s="34"/>
      <c r="R763" s="1" t="s">
        <v>31</v>
      </c>
    </row>
    <row r="764" spans="2:18">
      <c r="B764" s="2" t="s">
        <v>2790</v>
      </c>
      <c r="C764" s="2" t="s">
        <v>1212</v>
      </c>
      <c r="D764" s="1">
        <v>1</v>
      </c>
      <c r="E764" s="2" t="s">
        <v>2791</v>
      </c>
      <c r="F764" s="2" t="s">
        <v>1259</v>
      </c>
      <c r="G764" s="1">
        <v>12</v>
      </c>
      <c r="H764" s="45" t="s">
        <v>702</v>
      </c>
      <c r="I764" s="43" t="s">
        <v>702</v>
      </c>
      <c r="J764" s="43" t="s">
        <v>702</v>
      </c>
      <c r="K764" s="30">
        <v>150000</v>
      </c>
      <c r="L764" s="43" t="s">
        <v>702</v>
      </c>
      <c r="M764" s="3">
        <v>46213.404861111099</v>
      </c>
      <c r="N764" s="2" t="s">
        <v>715</v>
      </c>
      <c r="O764" s="3">
        <v>46233.404861111099</v>
      </c>
      <c r="P764" s="2" t="s">
        <v>715</v>
      </c>
      <c r="Q764" s="34"/>
      <c r="R764" s="1" t="s">
        <v>31</v>
      </c>
    </row>
    <row r="765" spans="2:18" ht="29" customHeight="1">
      <c r="B765" s="2" t="s">
        <v>2792</v>
      </c>
      <c r="C765" s="2" t="s">
        <v>1212</v>
      </c>
      <c r="D765" s="1">
        <v>2</v>
      </c>
      <c r="E765" s="2" t="s">
        <v>2793</v>
      </c>
      <c r="F765" s="2" t="s">
        <v>1262</v>
      </c>
      <c r="G765" s="45" t="s">
        <v>702</v>
      </c>
      <c r="H765" s="1">
        <v>3</v>
      </c>
      <c r="I765" s="43" t="s">
        <v>702</v>
      </c>
      <c r="J765" s="43" t="s">
        <v>702</v>
      </c>
      <c r="K765" s="30">
        <v>127500</v>
      </c>
      <c r="L765" s="43" t="s">
        <v>702</v>
      </c>
      <c r="M765" s="3">
        <v>46213.404861111099</v>
      </c>
      <c r="N765" s="2" t="s">
        <v>715</v>
      </c>
      <c r="O765" s="3">
        <v>46233.404861111099</v>
      </c>
      <c r="P765" s="2" t="s">
        <v>715</v>
      </c>
      <c r="Q765" s="34"/>
      <c r="R765" s="1" t="s">
        <v>31</v>
      </c>
    </row>
    <row r="766" spans="2:18" ht="29" customHeight="1">
      <c r="B766" s="2" t="s">
        <v>2794</v>
      </c>
      <c r="C766" s="2" t="s">
        <v>1212</v>
      </c>
      <c r="D766" s="1">
        <v>3</v>
      </c>
      <c r="E766" s="2" t="s">
        <v>2795</v>
      </c>
      <c r="F766" s="2" t="s">
        <v>1265</v>
      </c>
      <c r="G766" s="1">
        <v>4</v>
      </c>
      <c r="H766" s="45" t="s">
        <v>702</v>
      </c>
      <c r="I766" s="43" t="s">
        <v>702</v>
      </c>
      <c r="J766" s="43" t="s">
        <v>702</v>
      </c>
      <c r="K766" s="30">
        <v>70000</v>
      </c>
      <c r="L766" s="43" t="s">
        <v>702</v>
      </c>
      <c r="M766" s="3">
        <v>46213.404861111099</v>
      </c>
      <c r="N766" s="2" t="s">
        <v>715</v>
      </c>
      <c r="O766" s="3">
        <v>46233.404861111099</v>
      </c>
      <c r="P766" s="2" t="s">
        <v>715</v>
      </c>
      <c r="Q766" s="34"/>
      <c r="R766" s="1" t="s">
        <v>31</v>
      </c>
    </row>
    <row r="767" spans="2:18">
      <c r="B767" s="2" t="s">
        <v>2796</v>
      </c>
      <c r="C767" s="2" t="s">
        <v>1212</v>
      </c>
      <c r="D767" s="1">
        <v>4</v>
      </c>
      <c r="E767" s="2" t="s">
        <v>2797</v>
      </c>
      <c r="F767" s="2" t="s">
        <v>1268</v>
      </c>
      <c r="G767" s="45" t="s">
        <v>702</v>
      </c>
      <c r="H767" s="1">
        <v>2</v>
      </c>
      <c r="I767" s="43" t="s">
        <v>702</v>
      </c>
      <c r="J767" s="43" t="s">
        <v>702</v>
      </c>
      <c r="K767" s="30">
        <v>50000</v>
      </c>
      <c r="L767" s="43" t="s">
        <v>702</v>
      </c>
      <c r="M767" s="3">
        <v>46213.404861111099</v>
      </c>
      <c r="N767" s="2" t="s">
        <v>715</v>
      </c>
      <c r="O767" s="3">
        <v>46233.404861111099</v>
      </c>
      <c r="P767" s="2" t="s">
        <v>715</v>
      </c>
      <c r="Q767" s="34"/>
      <c r="R767" s="1" t="s">
        <v>31</v>
      </c>
    </row>
    <row r="768" spans="2:18" ht="29" customHeight="1">
      <c r="B768" s="2" t="s">
        <v>2798</v>
      </c>
      <c r="C768" s="2" t="s">
        <v>1214</v>
      </c>
      <c r="D768" s="1">
        <v>1</v>
      </c>
      <c r="E768" s="2" t="s">
        <v>2799</v>
      </c>
      <c r="F768" s="2" t="s">
        <v>1271</v>
      </c>
      <c r="G768" s="45" t="s">
        <v>702</v>
      </c>
      <c r="H768" s="45">
        <v>3</v>
      </c>
      <c r="I768" s="43" t="s">
        <v>702</v>
      </c>
      <c r="J768" s="43" t="s">
        <v>702</v>
      </c>
      <c r="K768" s="30">
        <v>96000</v>
      </c>
      <c r="L768" s="43" t="s">
        <v>702</v>
      </c>
      <c r="M768" s="3">
        <v>46213.541666666701</v>
      </c>
      <c r="N768" s="2" t="s">
        <v>719</v>
      </c>
      <c r="O768" s="3">
        <v>46233.541666666701</v>
      </c>
      <c r="P768" s="2" t="s">
        <v>719</v>
      </c>
      <c r="Q768" s="34"/>
      <c r="R768" s="1" t="s">
        <v>31</v>
      </c>
    </row>
    <row r="769" spans="2:18" ht="29" customHeight="1">
      <c r="B769" s="2" t="s">
        <v>2800</v>
      </c>
      <c r="C769" s="2" t="s">
        <v>1214</v>
      </c>
      <c r="D769" s="1">
        <v>2</v>
      </c>
      <c r="E769" s="2" t="s">
        <v>2801</v>
      </c>
      <c r="F769" s="2" t="s">
        <v>1274</v>
      </c>
      <c r="G769" s="45">
        <v>3</v>
      </c>
      <c r="H769" s="45" t="s">
        <v>702</v>
      </c>
      <c r="I769" s="43" t="s">
        <v>702</v>
      </c>
      <c r="J769" s="43" t="s">
        <v>702</v>
      </c>
      <c r="K769" s="30">
        <v>37500</v>
      </c>
      <c r="L769" s="43" t="s">
        <v>702</v>
      </c>
      <c r="M769" s="3">
        <v>46213.541666666701</v>
      </c>
      <c r="N769" s="2" t="s">
        <v>719</v>
      </c>
      <c r="O769" s="3">
        <v>46233.541666666701</v>
      </c>
      <c r="P769" s="2" t="s">
        <v>719</v>
      </c>
      <c r="Q769" s="34"/>
      <c r="R769" s="1" t="s">
        <v>31</v>
      </c>
    </row>
    <row r="770" spans="2:18">
      <c r="B770" s="2" t="s">
        <v>2802</v>
      </c>
      <c r="C770" s="2" t="s">
        <v>1214</v>
      </c>
      <c r="D770" s="1">
        <v>3</v>
      </c>
      <c r="E770" s="2" t="s">
        <v>2803</v>
      </c>
      <c r="F770" s="2" t="s">
        <v>1277</v>
      </c>
      <c r="G770" s="45" t="s">
        <v>702</v>
      </c>
      <c r="H770" s="45">
        <v>2</v>
      </c>
      <c r="I770" s="43" t="s">
        <v>702</v>
      </c>
      <c r="J770" s="43" t="s">
        <v>702</v>
      </c>
      <c r="K770" s="30">
        <v>70000</v>
      </c>
      <c r="L770" s="43" t="s">
        <v>702</v>
      </c>
      <c r="M770" s="3">
        <v>46213.541666666701</v>
      </c>
      <c r="N770" s="2" t="s">
        <v>719</v>
      </c>
      <c r="O770" s="3">
        <v>46233.541666666701</v>
      </c>
      <c r="P770" s="2" t="s">
        <v>719</v>
      </c>
      <c r="Q770" s="34"/>
      <c r="R770" s="1" t="s">
        <v>31</v>
      </c>
    </row>
    <row r="771" spans="2:18">
      <c r="B771" s="2" t="s">
        <v>2804</v>
      </c>
      <c r="C771" s="2" t="s">
        <v>1214</v>
      </c>
      <c r="D771" s="1">
        <v>4</v>
      </c>
      <c r="E771" s="2" t="s">
        <v>2805</v>
      </c>
      <c r="F771" s="2" t="s">
        <v>1280</v>
      </c>
      <c r="G771" s="45">
        <v>7</v>
      </c>
      <c r="H771" s="45" t="s">
        <v>702</v>
      </c>
      <c r="I771" s="43" t="s">
        <v>702</v>
      </c>
      <c r="J771" s="43" t="s">
        <v>702</v>
      </c>
      <c r="K771" s="30">
        <v>105000</v>
      </c>
      <c r="L771" s="43" t="s">
        <v>702</v>
      </c>
      <c r="M771" s="3">
        <v>46213.541666666701</v>
      </c>
      <c r="N771" s="2" t="s">
        <v>719</v>
      </c>
      <c r="O771" s="3">
        <v>46233.541666666701</v>
      </c>
      <c r="P771" s="2" t="s">
        <v>719</v>
      </c>
      <c r="Q771" s="34"/>
      <c r="R771" s="1" t="s">
        <v>31</v>
      </c>
    </row>
    <row r="772" spans="2:18" ht="29" customHeight="1">
      <c r="B772" s="2" t="s">
        <v>2806</v>
      </c>
      <c r="C772" s="2" t="s">
        <v>1216</v>
      </c>
      <c r="D772" s="1">
        <v>1</v>
      </c>
      <c r="E772" s="2" t="s">
        <v>2807</v>
      </c>
      <c r="F772" s="2" t="s">
        <v>1283</v>
      </c>
      <c r="G772" s="1">
        <v>2</v>
      </c>
      <c r="H772" s="45" t="s">
        <v>702</v>
      </c>
      <c r="I772" s="43" t="s">
        <v>702</v>
      </c>
      <c r="J772" s="43" t="s">
        <v>702</v>
      </c>
      <c r="K772" s="30">
        <v>35000</v>
      </c>
      <c r="L772" s="43" t="s">
        <v>702</v>
      </c>
      <c r="M772" s="3">
        <v>46213.636805555601</v>
      </c>
      <c r="N772" s="2" t="s">
        <v>722</v>
      </c>
      <c r="O772" s="3">
        <v>46233.636805555601</v>
      </c>
      <c r="P772" s="2" t="s">
        <v>722</v>
      </c>
      <c r="Q772" s="34"/>
      <c r="R772" s="1" t="s">
        <v>31</v>
      </c>
    </row>
    <row r="773" spans="2:18">
      <c r="B773" s="2" t="s">
        <v>2808</v>
      </c>
      <c r="C773" s="2" t="s">
        <v>1216</v>
      </c>
      <c r="D773" s="1">
        <v>2</v>
      </c>
      <c r="E773" s="2" t="s">
        <v>2809</v>
      </c>
      <c r="F773" s="2" t="s">
        <v>1286</v>
      </c>
      <c r="G773" s="45" t="s">
        <v>702</v>
      </c>
      <c r="H773" s="1">
        <v>2</v>
      </c>
      <c r="I773" s="43" t="s">
        <v>702</v>
      </c>
      <c r="J773" s="43" t="s">
        <v>702</v>
      </c>
      <c r="K773" s="30">
        <v>60000</v>
      </c>
      <c r="L773" s="43" t="s">
        <v>702</v>
      </c>
      <c r="M773" s="3">
        <v>46213.636805555601</v>
      </c>
      <c r="N773" s="2" t="s">
        <v>722</v>
      </c>
      <c r="O773" s="3">
        <v>46233.636805555601</v>
      </c>
      <c r="P773" s="2" t="s">
        <v>722</v>
      </c>
      <c r="Q773" s="34"/>
      <c r="R773" s="1" t="s">
        <v>31</v>
      </c>
    </row>
    <row r="774" spans="2:18">
      <c r="B774" s="2" t="s">
        <v>2810</v>
      </c>
      <c r="C774" s="2" t="s">
        <v>1216</v>
      </c>
      <c r="D774" s="1">
        <v>3</v>
      </c>
      <c r="E774" s="2" t="s">
        <v>2811</v>
      </c>
      <c r="F774" s="2" t="s">
        <v>1289</v>
      </c>
      <c r="G774" s="1">
        <v>6</v>
      </c>
      <c r="H774" s="45" t="s">
        <v>702</v>
      </c>
      <c r="I774" s="43" t="s">
        <v>702</v>
      </c>
      <c r="J774" s="43" t="s">
        <v>702</v>
      </c>
      <c r="K774" s="30">
        <v>75000</v>
      </c>
      <c r="L774" s="43" t="s">
        <v>702</v>
      </c>
      <c r="M774" s="3">
        <v>46213.636805555601</v>
      </c>
      <c r="N774" s="2" t="s">
        <v>722</v>
      </c>
      <c r="O774" s="3">
        <v>46233.636805555601</v>
      </c>
      <c r="P774" s="2" t="s">
        <v>722</v>
      </c>
      <c r="Q774" s="34"/>
      <c r="R774" s="1" t="s">
        <v>31</v>
      </c>
    </row>
    <row r="775" spans="2:18">
      <c r="B775" s="2" t="s">
        <v>2812</v>
      </c>
      <c r="C775" s="2" t="s">
        <v>1216</v>
      </c>
      <c r="D775" s="1">
        <v>4</v>
      </c>
      <c r="E775" s="2" t="s">
        <v>2813</v>
      </c>
      <c r="F775" s="2" t="s">
        <v>1292</v>
      </c>
      <c r="G775" s="45" t="s">
        <v>702</v>
      </c>
      <c r="H775" s="1">
        <v>1</v>
      </c>
      <c r="I775" s="43" t="s">
        <v>702</v>
      </c>
      <c r="J775" s="43" t="s">
        <v>702</v>
      </c>
      <c r="K775" s="30">
        <v>50000</v>
      </c>
      <c r="L775" s="43" t="s">
        <v>702</v>
      </c>
      <c r="M775" s="3">
        <v>46213.636805555601</v>
      </c>
      <c r="N775" s="2" t="s">
        <v>722</v>
      </c>
      <c r="O775" s="3">
        <v>46233.636805555601</v>
      </c>
      <c r="P775" s="2" t="s">
        <v>722</v>
      </c>
      <c r="Q775" s="34"/>
      <c r="R775" s="1" t="s">
        <v>31</v>
      </c>
    </row>
    <row r="776" spans="2:18">
      <c r="B776" s="2" t="s">
        <v>2814</v>
      </c>
      <c r="C776" s="2" t="s">
        <v>1218</v>
      </c>
      <c r="D776" s="1">
        <v>1</v>
      </c>
      <c r="E776" s="2" t="s">
        <v>2815</v>
      </c>
      <c r="F776" s="2" t="s">
        <v>1295</v>
      </c>
      <c r="G776" s="45" t="s">
        <v>702</v>
      </c>
      <c r="H776" s="45">
        <v>2</v>
      </c>
      <c r="I776" s="43" t="s">
        <v>702</v>
      </c>
      <c r="J776" s="43" t="s">
        <v>702</v>
      </c>
      <c r="K776" s="30">
        <v>30000</v>
      </c>
      <c r="L776" s="43" t="s">
        <v>702</v>
      </c>
      <c r="M776" s="3">
        <v>46214.398611111101</v>
      </c>
      <c r="N776" s="2" t="s">
        <v>725</v>
      </c>
      <c r="O776" s="3">
        <v>46234.398611111101</v>
      </c>
      <c r="P776" s="2" t="s">
        <v>725</v>
      </c>
      <c r="Q776" s="34"/>
      <c r="R776" s="1" t="s">
        <v>31</v>
      </c>
    </row>
    <row r="777" spans="2:18">
      <c r="B777" s="2" t="s">
        <v>2816</v>
      </c>
      <c r="C777" s="2" t="s">
        <v>1218</v>
      </c>
      <c r="D777" s="1">
        <v>2</v>
      </c>
      <c r="E777" s="2" t="s">
        <v>2817</v>
      </c>
      <c r="F777" s="2" t="s">
        <v>1298</v>
      </c>
      <c r="G777" s="45">
        <v>5</v>
      </c>
      <c r="H777" s="45" t="s">
        <v>702</v>
      </c>
      <c r="I777" s="43" t="s">
        <v>702</v>
      </c>
      <c r="J777" s="43" t="s">
        <v>702</v>
      </c>
      <c r="K777" s="30">
        <v>25000</v>
      </c>
      <c r="L777" s="43" t="s">
        <v>702</v>
      </c>
      <c r="M777" s="3">
        <v>46214.398611111101</v>
      </c>
      <c r="N777" s="2" t="s">
        <v>725</v>
      </c>
      <c r="O777" s="3">
        <v>46234.398611111101</v>
      </c>
      <c r="P777" s="2" t="s">
        <v>725</v>
      </c>
      <c r="Q777" s="34"/>
      <c r="R777" s="1" t="s">
        <v>31</v>
      </c>
    </row>
    <row r="778" spans="2:18">
      <c r="B778" s="2" t="s">
        <v>2818</v>
      </c>
      <c r="C778" s="2" t="s">
        <v>1218</v>
      </c>
      <c r="D778" s="1">
        <v>3</v>
      </c>
      <c r="E778" s="2" t="s">
        <v>2819</v>
      </c>
      <c r="F778" s="2" t="s">
        <v>1301</v>
      </c>
      <c r="G778" s="45" t="s">
        <v>702</v>
      </c>
      <c r="H778" s="1">
        <v>1</v>
      </c>
      <c r="I778" s="43" t="s">
        <v>702</v>
      </c>
      <c r="J778" s="43" t="s">
        <v>702</v>
      </c>
      <c r="K778" s="30">
        <v>25000</v>
      </c>
      <c r="L778" s="43" t="s">
        <v>702</v>
      </c>
      <c r="M778" s="3">
        <v>46214.398611111101</v>
      </c>
      <c r="N778" s="2" t="s">
        <v>725</v>
      </c>
      <c r="O778" s="3">
        <v>46234.398611111101</v>
      </c>
      <c r="P778" s="2" t="s">
        <v>725</v>
      </c>
      <c r="Q778" s="34"/>
      <c r="R778" s="1" t="s">
        <v>31</v>
      </c>
    </row>
    <row r="779" spans="2:18">
      <c r="B779" s="2" t="s">
        <v>2820</v>
      </c>
      <c r="C779" s="2" t="s">
        <v>1218</v>
      </c>
      <c r="D779" s="1">
        <v>4</v>
      </c>
      <c r="E779" s="2" t="s">
        <v>2821</v>
      </c>
      <c r="F779" s="2" t="s">
        <v>1304</v>
      </c>
      <c r="G779" s="1">
        <v>9</v>
      </c>
      <c r="H779" s="45" t="s">
        <v>702</v>
      </c>
      <c r="I779" s="43" t="s">
        <v>702</v>
      </c>
      <c r="J779" s="43" t="s">
        <v>702</v>
      </c>
      <c r="K779" s="30">
        <v>54000</v>
      </c>
      <c r="L779" s="43" t="s">
        <v>702</v>
      </c>
      <c r="M779" s="3">
        <v>46214.398611111101</v>
      </c>
      <c r="N779" s="2" t="s">
        <v>725</v>
      </c>
      <c r="O779" s="3">
        <v>46234.398611111101</v>
      </c>
      <c r="P779" s="2" t="s">
        <v>725</v>
      </c>
      <c r="Q779" s="34"/>
      <c r="R779" s="1" t="s">
        <v>31</v>
      </c>
    </row>
    <row r="780" spans="2:18">
      <c r="B780" s="2" t="s">
        <v>2822</v>
      </c>
      <c r="C780" s="2" t="s">
        <v>1220</v>
      </c>
      <c r="D780" s="1">
        <v>1</v>
      </c>
      <c r="E780" s="2" t="s">
        <v>2823</v>
      </c>
      <c r="F780" s="2" t="s">
        <v>1307</v>
      </c>
      <c r="G780" s="1">
        <v>4</v>
      </c>
      <c r="H780" s="45" t="s">
        <v>702</v>
      </c>
      <c r="I780" s="43" t="s">
        <v>702</v>
      </c>
      <c r="J780" s="43" t="s">
        <v>702</v>
      </c>
      <c r="K780" s="30">
        <v>32000</v>
      </c>
      <c r="L780" s="43" t="s">
        <v>702</v>
      </c>
      <c r="M780" s="3">
        <v>46214.535416666702</v>
      </c>
      <c r="N780" s="2" t="s">
        <v>728</v>
      </c>
      <c r="O780" s="3">
        <v>46234.535416666702</v>
      </c>
      <c r="P780" s="2" t="s">
        <v>728</v>
      </c>
      <c r="Q780" s="34"/>
      <c r="R780" s="1" t="s">
        <v>31</v>
      </c>
    </row>
    <row r="781" spans="2:18">
      <c r="B781" s="2" t="s">
        <v>2824</v>
      </c>
      <c r="C781" s="2" t="s">
        <v>1220</v>
      </c>
      <c r="D781" s="1">
        <v>2</v>
      </c>
      <c r="E781" s="2" t="s">
        <v>2825</v>
      </c>
      <c r="F781" s="2" t="s">
        <v>1310</v>
      </c>
      <c r="G781" s="45" t="s">
        <v>702</v>
      </c>
      <c r="H781" s="1">
        <v>1</v>
      </c>
      <c r="I781" s="43" t="s">
        <v>702</v>
      </c>
      <c r="J781" s="43" t="s">
        <v>702</v>
      </c>
      <c r="K781" s="30">
        <v>40000</v>
      </c>
      <c r="L781" s="43" t="s">
        <v>702</v>
      </c>
      <c r="M781" s="3">
        <v>46214.535416666702</v>
      </c>
      <c r="N781" s="2" t="s">
        <v>728</v>
      </c>
      <c r="O781" s="3">
        <v>46234.535416666702</v>
      </c>
      <c r="P781" s="2" t="s">
        <v>728</v>
      </c>
      <c r="Q781" s="34"/>
      <c r="R781" s="1" t="s">
        <v>31</v>
      </c>
    </row>
    <row r="782" spans="2:18">
      <c r="B782" s="2" t="s">
        <v>2826</v>
      </c>
      <c r="C782" s="2" t="s">
        <v>1220</v>
      </c>
      <c r="D782" s="1">
        <v>3</v>
      </c>
      <c r="E782" s="2" t="s">
        <v>2827</v>
      </c>
      <c r="F782" s="2" t="s">
        <v>1313</v>
      </c>
      <c r="G782" s="1">
        <v>8</v>
      </c>
      <c r="H782" s="45" t="s">
        <v>702</v>
      </c>
      <c r="I782" s="43" t="s">
        <v>702</v>
      </c>
      <c r="J782" s="43" t="s">
        <v>702</v>
      </c>
      <c r="K782" s="30">
        <v>100000</v>
      </c>
      <c r="L782" s="43" t="s">
        <v>702</v>
      </c>
      <c r="M782" s="3">
        <v>46214.535416666702</v>
      </c>
      <c r="N782" s="2" t="s">
        <v>728</v>
      </c>
      <c r="O782" s="3">
        <v>46234.535416666702</v>
      </c>
      <c r="P782" s="2" t="s">
        <v>728</v>
      </c>
      <c r="Q782" s="34"/>
      <c r="R782" s="1" t="s">
        <v>31</v>
      </c>
    </row>
    <row r="783" spans="2:18">
      <c r="B783" s="2" t="s">
        <v>2828</v>
      </c>
      <c r="C783" s="2" t="s">
        <v>1220</v>
      </c>
      <c r="D783" s="1">
        <v>4</v>
      </c>
      <c r="E783" s="2" t="s">
        <v>2829</v>
      </c>
      <c r="F783" s="2" t="s">
        <v>1316</v>
      </c>
      <c r="G783" s="45" t="s">
        <v>702</v>
      </c>
      <c r="H783" s="1">
        <v>3</v>
      </c>
      <c r="I783" s="43" t="s">
        <v>702</v>
      </c>
      <c r="J783" s="43" t="s">
        <v>702</v>
      </c>
      <c r="K783" s="30">
        <v>150000</v>
      </c>
      <c r="L783" s="43" t="s">
        <v>702</v>
      </c>
      <c r="M783" s="3">
        <v>46214.535416666702</v>
      </c>
      <c r="N783" s="2" t="s">
        <v>728</v>
      </c>
      <c r="O783" s="3">
        <v>46234.535416666702</v>
      </c>
      <c r="P783" s="2" t="s">
        <v>728</v>
      </c>
      <c r="Q783" s="34"/>
      <c r="R783" s="1" t="s">
        <v>31</v>
      </c>
    </row>
    <row r="784" spans="2:18">
      <c r="B784" s="2" t="s">
        <v>2830</v>
      </c>
      <c r="C784" s="2" t="s">
        <v>1222</v>
      </c>
      <c r="D784" s="1">
        <v>1</v>
      </c>
      <c r="E784" s="2" t="s">
        <v>2831</v>
      </c>
      <c r="F784" s="2" t="s">
        <v>1319</v>
      </c>
      <c r="G784" s="45" t="s">
        <v>702</v>
      </c>
      <c r="H784" s="45">
        <v>1</v>
      </c>
      <c r="I784" s="43" t="s">
        <v>702</v>
      </c>
      <c r="J784" s="43" t="s">
        <v>702</v>
      </c>
      <c r="K784" s="30">
        <v>60000</v>
      </c>
      <c r="L784" s="43" t="s">
        <v>702</v>
      </c>
      <c r="M784" s="3">
        <v>46215.672222222202</v>
      </c>
      <c r="N784" s="2" t="s">
        <v>731</v>
      </c>
      <c r="O784" s="3">
        <v>46235.672222222202</v>
      </c>
      <c r="P784" s="2" t="s">
        <v>731</v>
      </c>
      <c r="Q784" s="34"/>
      <c r="R784" s="1" t="s">
        <v>31</v>
      </c>
    </row>
    <row r="785" spans="2:18">
      <c r="B785" s="2" t="s">
        <v>2832</v>
      </c>
      <c r="C785" s="2" t="s">
        <v>1222</v>
      </c>
      <c r="D785" s="1">
        <v>2</v>
      </c>
      <c r="E785" s="2" t="s">
        <v>2833</v>
      </c>
      <c r="F785" s="2" t="s">
        <v>1259</v>
      </c>
      <c r="G785" s="45">
        <v>7</v>
      </c>
      <c r="H785" s="45" t="s">
        <v>702</v>
      </c>
      <c r="I785" s="43" t="s">
        <v>702</v>
      </c>
      <c r="J785" s="43" t="s">
        <v>702</v>
      </c>
      <c r="K785" s="30">
        <v>87500</v>
      </c>
      <c r="L785" s="43" t="s">
        <v>702</v>
      </c>
      <c r="M785" s="3">
        <v>46215.672222222202</v>
      </c>
      <c r="N785" s="2" t="s">
        <v>731</v>
      </c>
      <c r="O785" s="3">
        <v>46235.672222222202</v>
      </c>
      <c r="P785" s="2" t="s">
        <v>731</v>
      </c>
      <c r="Q785" s="34"/>
      <c r="R785" s="1" t="s">
        <v>31</v>
      </c>
    </row>
    <row r="786" spans="2:18">
      <c r="B786" s="2" t="s">
        <v>2834</v>
      </c>
      <c r="C786" s="2" t="s">
        <v>1222</v>
      </c>
      <c r="D786" s="1">
        <v>3</v>
      </c>
      <c r="E786" s="2" t="s">
        <v>2835</v>
      </c>
      <c r="F786" s="2" t="s">
        <v>1262</v>
      </c>
      <c r="G786" s="45" t="s">
        <v>702</v>
      </c>
      <c r="H786" s="45">
        <v>3</v>
      </c>
      <c r="I786" s="43" t="s">
        <v>702</v>
      </c>
      <c r="J786" s="43" t="s">
        <v>702</v>
      </c>
      <c r="K786" s="30">
        <v>127500</v>
      </c>
      <c r="L786" s="43" t="s">
        <v>702</v>
      </c>
      <c r="M786" s="3">
        <v>46215.672222222202</v>
      </c>
      <c r="N786" s="2" t="s">
        <v>731</v>
      </c>
      <c r="O786" s="3">
        <v>46235.672222222202</v>
      </c>
      <c r="P786" s="2" t="s">
        <v>731</v>
      </c>
      <c r="Q786" s="34"/>
      <c r="R786" s="1" t="s">
        <v>31</v>
      </c>
    </row>
    <row r="787" spans="2:18">
      <c r="B787" s="2" t="s">
        <v>2836</v>
      </c>
      <c r="C787" s="2" t="s">
        <v>1222</v>
      </c>
      <c r="D787" s="1">
        <v>4</v>
      </c>
      <c r="E787" s="2" t="s">
        <v>2837</v>
      </c>
      <c r="F787" s="2" t="s">
        <v>1265</v>
      </c>
      <c r="G787" s="1">
        <v>11</v>
      </c>
      <c r="H787" s="45" t="s">
        <v>702</v>
      </c>
      <c r="I787" s="43" t="s">
        <v>702</v>
      </c>
      <c r="J787" s="43" t="s">
        <v>702</v>
      </c>
      <c r="K787" s="30">
        <v>192500</v>
      </c>
      <c r="L787" s="43" t="s">
        <v>702</v>
      </c>
      <c r="M787" s="3">
        <v>46215.672222222202</v>
      </c>
      <c r="N787" s="2" t="s">
        <v>731</v>
      </c>
      <c r="O787" s="3">
        <v>46235.672222222202</v>
      </c>
      <c r="P787" s="2" t="s">
        <v>731</v>
      </c>
      <c r="Q787" s="34"/>
      <c r="R787" s="1" t="s">
        <v>31</v>
      </c>
    </row>
    <row r="788" spans="2:18">
      <c r="B788" s="2" t="s">
        <v>2838</v>
      </c>
      <c r="C788" s="2" t="s">
        <v>1224</v>
      </c>
      <c r="D788" s="1">
        <v>1</v>
      </c>
      <c r="E788" s="2" t="s">
        <v>2839</v>
      </c>
      <c r="F788" s="2" t="s">
        <v>1268</v>
      </c>
      <c r="G788" s="45">
        <v>6</v>
      </c>
      <c r="H788" s="45" t="s">
        <v>702</v>
      </c>
      <c r="I788" s="43" t="s">
        <v>702</v>
      </c>
      <c r="J788" s="43" t="s">
        <v>702</v>
      </c>
      <c r="K788" s="30">
        <v>45000</v>
      </c>
      <c r="L788" s="43" t="s">
        <v>702</v>
      </c>
      <c r="M788" s="3">
        <v>46215.392361111102</v>
      </c>
      <c r="N788" s="2" t="s">
        <v>734</v>
      </c>
      <c r="O788" s="3">
        <v>46235.392361111102</v>
      </c>
      <c r="P788" s="2" t="s">
        <v>734</v>
      </c>
      <c r="Q788" s="34"/>
      <c r="R788" s="1" t="s">
        <v>31</v>
      </c>
    </row>
    <row r="789" spans="2:18">
      <c r="B789" s="2" t="s">
        <v>2840</v>
      </c>
      <c r="C789" s="2" t="s">
        <v>1224</v>
      </c>
      <c r="D789" s="1">
        <v>2</v>
      </c>
      <c r="E789" s="2" t="s">
        <v>2841</v>
      </c>
      <c r="F789" s="2" t="s">
        <v>1271</v>
      </c>
      <c r="G789" s="45" t="s">
        <v>702</v>
      </c>
      <c r="H789" s="45">
        <v>3</v>
      </c>
      <c r="I789" s="43" t="s">
        <v>702</v>
      </c>
      <c r="J789" s="43" t="s">
        <v>702</v>
      </c>
      <c r="K789" s="30">
        <v>96000</v>
      </c>
      <c r="L789" s="43" t="s">
        <v>702</v>
      </c>
      <c r="M789" s="3">
        <v>46215.392361111102</v>
      </c>
      <c r="N789" s="2" t="s">
        <v>734</v>
      </c>
      <c r="O789" s="3">
        <v>46235.392361111102</v>
      </c>
      <c r="P789" s="2" t="s">
        <v>734</v>
      </c>
      <c r="Q789" s="34"/>
      <c r="R789" s="1" t="s">
        <v>31</v>
      </c>
    </row>
    <row r="790" spans="2:18">
      <c r="B790" s="2" t="s">
        <v>2842</v>
      </c>
      <c r="C790" s="2" t="s">
        <v>1224</v>
      </c>
      <c r="D790" s="1">
        <v>3</v>
      </c>
      <c r="E790" s="2" t="s">
        <v>2843</v>
      </c>
      <c r="F790" s="2" t="s">
        <v>1274</v>
      </c>
      <c r="G790" s="45">
        <v>10</v>
      </c>
      <c r="H790" s="45" t="s">
        <v>702</v>
      </c>
      <c r="I790" s="43" t="s">
        <v>702</v>
      </c>
      <c r="J790" s="43" t="s">
        <v>702</v>
      </c>
      <c r="K790" s="30">
        <v>125000</v>
      </c>
      <c r="L790" s="43" t="s">
        <v>702</v>
      </c>
      <c r="M790" s="3">
        <v>46215.392361111102</v>
      </c>
      <c r="N790" s="2" t="s">
        <v>734</v>
      </c>
      <c r="O790" s="3">
        <v>46235.392361111102</v>
      </c>
      <c r="P790" s="2" t="s">
        <v>734</v>
      </c>
      <c r="Q790" s="34"/>
      <c r="R790" s="1" t="s">
        <v>31</v>
      </c>
    </row>
    <row r="791" spans="2:18" ht="29" customHeight="1">
      <c r="B791" s="2" t="s">
        <v>2844</v>
      </c>
      <c r="C791" s="2" t="s">
        <v>1224</v>
      </c>
      <c r="D791" s="1">
        <v>4</v>
      </c>
      <c r="E791" s="2" t="s">
        <v>2845</v>
      </c>
      <c r="F791" s="2" t="s">
        <v>1277</v>
      </c>
      <c r="G791" s="45" t="s">
        <v>702</v>
      </c>
      <c r="H791" s="45">
        <v>2</v>
      </c>
      <c r="I791" s="43" t="s">
        <v>702</v>
      </c>
      <c r="J791" s="43" t="s">
        <v>702</v>
      </c>
      <c r="K791" s="30">
        <v>70000</v>
      </c>
      <c r="L791" s="43" t="s">
        <v>702</v>
      </c>
      <c r="M791" s="3">
        <v>46215.392361111102</v>
      </c>
      <c r="N791" s="2" t="s">
        <v>734</v>
      </c>
      <c r="O791" s="3">
        <v>46235.392361111102</v>
      </c>
      <c r="P791" s="2" t="s">
        <v>734</v>
      </c>
      <c r="Q791" s="34"/>
      <c r="R791" s="1" t="s">
        <v>31</v>
      </c>
    </row>
    <row r="792" spans="2:18">
      <c r="B792" s="2" t="s">
        <v>2846</v>
      </c>
      <c r="C792" s="2" t="s">
        <v>1226</v>
      </c>
      <c r="D792" s="1">
        <v>1</v>
      </c>
      <c r="E792" s="2" t="s">
        <v>2847</v>
      </c>
      <c r="F792" s="2" t="s">
        <v>1280</v>
      </c>
      <c r="G792" s="45" t="s">
        <v>702</v>
      </c>
      <c r="H792" s="1">
        <v>3</v>
      </c>
      <c r="I792" s="43" t="s">
        <v>702</v>
      </c>
      <c r="J792" s="43" t="s">
        <v>702</v>
      </c>
      <c r="K792" s="30">
        <v>127500</v>
      </c>
      <c r="L792" s="43" t="s">
        <v>702</v>
      </c>
      <c r="M792" s="3">
        <v>46216.529166666704</v>
      </c>
      <c r="N792" s="2" t="s">
        <v>737</v>
      </c>
      <c r="O792" s="3">
        <v>46236.529166666704</v>
      </c>
      <c r="P792" s="2" t="s">
        <v>737</v>
      </c>
      <c r="Q792" s="34"/>
      <c r="R792" s="1" t="s">
        <v>31</v>
      </c>
    </row>
    <row r="793" spans="2:18">
      <c r="B793" s="2" t="s">
        <v>2848</v>
      </c>
      <c r="C793" s="2" t="s">
        <v>1226</v>
      </c>
      <c r="D793" s="1">
        <v>2</v>
      </c>
      <c r="E793" s="2" t="s">
        <v>2849</v>
      </c>
      <c r="F793" s="2" t="s">
        <v>1283</v>
      </c>
      <c r="G793" s="1">
        <v>9</v>
      </c>
      <c r="H793" s="45" t="s">
        <v>702</v>
      </c>
      <c r="I793" s="43" t="s">
        <v>702</v>
      </c>
      <c r="J793" s="43" t="s">
        <v>702</v>
      </c>
      <c r="K793" s="30">
        <v>157500</v>
      </c>
      <c r="L793" s="43" t="s">
        <v>702</v>
      </c>
      <c r="M793" s="3">
        <v>46216.529166666704</v>
      </c>
      <c r="N793" s="2" t="s">
        <v>737</v>
      </c>
      <c r="O793" s="3">
        <v>46236.529166666704</v>
      </c>
      <c r="P793" s="2" t="s">
        <v>737</v>
      </c>
      <c r="Q793" s="34"/>
      <c r="R793" s="1" t="s">
        <v>31</v>
      </c>
    </row>
    <row r="794" spans="2:18" ht="29" customHeight="1">
      <c r="B794" s="2" t="s">
        <v>2850</v>
      </c>
      <c r="C794" s="2" t="s">
        <v>1226</v>
      </c>
      <c r="D794" s="1">
        <v>3</v>
      </c>
      <c r="E794" s="2" t="s">
        <v>2851</v>
      </c>
      <c r="F794" s="2" t="s">
        <v>1286</v>
      </c>
      <c r="G794" s="45" t="s">
        <v>702</v>
      </c>
      <c r="H794" s="1">
        <v>2</v>
      </c>
      <c r="I794" s="43" t="s">
        <v>702</v>
      </c>
      <c r="J794" s="43" t="s">
        <v>702</v>
      </c>
      <c r="K794" s="30">
        <v>60000</v>
      </c>
      <c r="L794" s="43" t="s">
        <v>702</v>
      </c>
      <c r="M794" s="3">
        <v>46216.529166666704</v>
      </c>
      <c r="N794" s="2" t="s">
        <v>737</v>
      </c>
      <c r="O794" s="3">
        <v>46236.529166666704</v>
      </c>
      <c r="P794" s="2" t="s">
        <v>737</v>
      </c>
      <c r="Q794" s="34"/>
      <c r="R794" s="1" t="s">
        <v>31</v>
      </c>
    </row>
    <row r="795" spans="2:18">
      <c r="B795" s="2" t="s">
        <v>2852</v>
      </c>
      <c r="C795" s="2" t="s">
        <v>1226</v>
      </c>
      <c r="D795" s="1">
        <v>4</v>
      </c>
      <c r="E795" s="2" t="s">
        <v>2853</v>
      </c>
      <c r="F795" s="2" t="s">
        <v>1289</v>
      </c>
      <c r="G795" s="1">
        <v>1</v>
      </c>
      <c r="H795" s="45" t="s">
        <v>702</v>
      </c>
      <c r="I795" s="43" t="s">
        <v>702</v>
      </c>
      <c r="J795" s="43" t="s">
        <v>702</v>
      </c>
      <c r="K795" s="30">
        <v>12500</v>
      </c>
      <c r="L795" s="43" t="s">
        <v>702</v>
      </c>
      <c r="M795" s="3">
        <v>46216.529166666704</v>
      </c>
      <c r="N795" s="2" t="s">
        <v>737</v>
      </c>
      <c r="O795" s="3">
        <v>46236.529166666704</v>
      </c>
      <c r="P795" s="2" t="s">
        <v>737</v>
      </c>
      <c r="Q795" s="34"/>
      <c r="R795" s="1" t="s">
        <v>31</v>
      </c>
    </row>
    <row r="796" spans="2:18">
      <c r="B796" s="2" t="s">
        <v>2854</v>
      </c>
      <c r="C796" s="2" t="s">
        <v>1228</v>
      </c>
      <c r="D796" s="1">
        <v>1</v>
      </c>
      <c r="E796" s="2" t="s">
        <v>2855</v>
      </c>
      <c r="F796" s="2" t="s">
        <v>1292</v>
      </c>
      <c r="G796" s="45">
        <v>8</v>
      </c>
      <c r="H796" s="45" t="s">
        <v>702</v>
      </c>
      <c r="I796" s="43" t="s">
        <v>702</v>
      </c>
      <c r="J796" s="43" t="s">
        <v>702</v>
      </c>
      <c r="K796" s="30">
        <v>120000</v>
      </c>
      <c r="L796" s="43" t="s">
        <v>702</v>
      </c>
      <c r="M796" s="3">
        <v>46216.665972222203</v>
      </c>
      <c r="N796" s="2" t="s">
        <v>92</v>
      </c>
      <c r="O796" s="3">
        <v>46236.665972222203</v>
      </c>
      <c r="P796" s="2" t="s">
        <v>92</v>
      </c>
      <c r="Q796" s="34"/>
      <c r="R796" s="1" t="s">
        <v>31</v>
      </c>
    </row>
    <row r="797" spans="2:18" ht="29" customHeight="1">
      <c r="B797" s="2" t="s">
        <v>2856</v>
      </c>
      <c r="C797" s="2" t="s">
        <v>1228</v>
      </c>
      <c r="D797" s="1">
        <v>2</v>
      </c>
      <c r="E797" s="2" t="s">
        <v>2857</v>
      </c>
      <c r="F797" s="2" t="s">
        <v>1295</v>
      </c>
      <c r="G797" s="45" t="s">
        <v>702</v>
      </c>
      <c r="H797" s="45">
        <v>2</v>
      </c>
      <c r="I797" s="43" t="s">
        <v>702</v>
      </c>
      <c r="J797" s="43" t="s">
        <v>702</v>
      </c>
      <c r="K797" s="30">
        <v>30000</v>
      </c>
      <c r="L797" s="43" t="s">
        <v>702</v>
      </c>
      <c r="M797" s="3">
        <v>46216.665972222203</v>
      </c>
      <c r="N797" s="2" t="s">
        <v>92</v>
      </c>
      <c r="O797" s="3">
        <v>46236.665972222203</v>
      </c>
      <c r="P797" s="2" t="s">
        <v>92</v>
      </c>
      <c r="Q797" s="34"/>
      <c r="R797" s="1" t="s">
        <v>31</v>
      </c>
    </row>
    <row r="798" spans="2:18">
      <c r="B798" s="2" t="s">
        <v>2858</v>
      </c>
      <c r="C798" s="2" t="s">
        <v>1228</v>
      </c>
      <c r="D798" s="1">
        <v>3</v>
      </c>
      <c r="E798" s="2" t="s">
        <v>2859</v>
      </c>
      <c r="F798" s="2" t="s">
        <v>1298</v>
      </c>
      <c r="G798" s="1">
        <v>12</v>
      </c>
      <c r="H798" s="45" t="s">
        <v>702</v>
      </c>
      <c r="I798" s="43" t="s">
        <v>702</v>
      </c>
      <c r="J798" s="43" t="s">
        <v>702</v>
      </c>
      <c r="K798" s="30">
        <v>60000</v>
      </c>
      <c r="L798" s="43" t="s">
        <v>702</v>
      </c>
      <c r="M798" s="3">
        <v>46216.665972222203</v>
      </c>
      <c r="N798" s="2" t="s">
        <v>92</v>
      </c>
      <c r="O798" s="3">
        <v>46236.665972222203</v>
      </c>
      <c r="P798" s="2" t="s">
        <v>92</v>
      </c>
      <c r="Q798" s="34"/>
      <c r="R798" s="1" t="s">
        <v>31</v>
      </c>
    </row>
    <row r="799" spans="2:18">
      <c r="B799" s="2" t="s">
        <v>2860</v>
      </c>
      <c r="C799" s="2" t="s">
        <v>1228</v>
      </c>
      <c r="D799" s="1">
        <v>4</v>
      </c>
      <c r="E799" s="2" t="s">
        <v>2861</v>
      </c>
      <c r="F799" s="2" t="s">
        <v>1301</v>
      </c>
      <c r="G799" s="45" t="s">
        <v>702</v>
      </c>
      <c r="H799" s="1">
        <v>1</v>
      </c>
      <c r="I799" s="43" t="s">
        <v>702</v>
      </c>
      <c r="J799" s="43" t="s">
        <v>702</v>
      </c>
      <c r="K799" s="30">
        <v>25000</v>
      </c>
      <c r="L799" s="43" t="s">
        <v>702</v>
      </c>
      <c r="M799" s="3">
        <v>46216.665972222203</v>
      </c>
      <c r="N799" s="2" t="s">
        <v>92</v>
      </c>
      <c r="O799" s="3">
        <v>46236.665972222203</v>
      </c>
      <c r="P799" s="2" t="s">
        <v>92</v>
      </c>
      <c r="Q799" s="34"/>
      <c r="R799" s="1" t="s">
        <v>31</v>
      </c>
    </row>
    <row r="800" spans="2:18" ht="29" customHeight="1">
      <c r="B800" s="2" t="s">
        <v>2862</v>
      </c>
      <c r="C800" s="2" t="s">
        <v>1230</v>
      </c>
      <c r="D800" s="1">
        <v>1</v>
      </c>
      <c r="E800" s="2" t="s">
        <v>2863</v>
      </c>
      <c r="F800" s="2" t="s">
        <v>1304</v>
      </c>
      <c r="G800" s="45" t="s">
        <v>702</v>
      </c>
      <c r="H800" s="45">
        <v>2</v>
      </c>
      <c r="I800" s="43" t="s">
        <v>702</v>
      </c>
      <c r="J800" s="43" t="s">
        <v>702</v>
      </c>
      <c r="K800" s="30">
        <v>40000</v>
      </c>
      <c r="L800" s="43" t="s">
        <v>702</v>
      </c>
      <c r="M800" s="3">
        <v>46217.386111111096</v>
      </c>
      <c r="N800" s="2" t="s">
        <v>742</v>
      </c>
      <c r="O800" s="3">
        <v>46237.386111111096</v>
      </c>
      <c r="P800" s="2" t="s">
        <v>742</v>
      </c>
      <c r="Q800" s="34"/>
      <c r="R800" s="1" t="s">
        <v>31</v>
      </c>
    </row>
    <row r="801" spans="2:18">
      <c r="B801" s="2" t="s">
        <v>2864</v>
      </c>
      <c r="C801" s="2" t="s">
        <v>1230</v>
      </c>
      <c r="D801" s="1">
        <v>2</v>
      </c>
      <c r="E801" s="2" t="s">
        <v>2865</v>
      </c>
      <c r="F801" s="2" t="s">
        <v>1307</v>
      </c>
      <c r="G801" s="45">
        <v>11</v>
      </c>
      <c r="H801" s="45" t="s">
        <v>702</v>
      </c>
      <c r="I801" s="43" t="s">
        <v>702</v>
      </c>
      <c r="J801" s="43" t="s">
        <v>702</v>
      </c>
      <c r="K801" s="30">
        <v>88000</v>
      </c>
      <c r="L801" s="43" t="s">
        <v>702</v>
      </c>
      <c r="M801" s="3">
        <v>46217.386111111096</v>
      </c>
      <c r="N801" s="2" t="s">
        <v>742</v>
      </c>
      <c r="O801" s="3">
        <v>46237.386111111096</v>
      </c>
      <c r="P801" s="2" t="s">
        <v>742</v>
      </c>
      <c r="Q801" s="34"/>
      <c r="R801" s="1" t="s">
        <v>31</v>
      </c>
    </row>
    <row r="802" spans="2:18">
      <c r="B802" s="2" t="s">
        <v>2866</v>
      </c>
      <c r="C802" s="2" t="s">
        <v>1230</v>
      </c>
      <c r="D802" s="1">
        <v>3</v>
      </c>
      <c r="E802" s="2" t="s">
        <v>2867</v>
      </c>
      <c r="F802" s="2" t="s">
        <v>1310</v>
      </c>
      <c r="G802" s="45" t="s">
        <v>702</v>
      </c>
      <c r="H802" s="45">
        <v>1</v>
      </c>
      <c r="I802" s="43" t="s">
        <v>702</v>
      </c>
      <c r="J802" s="43" t="s">
        <v>702</v>
      </c>
      <c r="K802" s="30">
        <v>40000</v>
      </c>
      <c r="L802" s="43" t="s">
        <v>702</v>
      </c>
      <c r="M802" s="3">
        <v>46217.386111111096</v>
      </c>
      <c r="N802" s="2" t="s">
        <v>742</v>
      </c>
      <c r="O802" s="3">
        <v>46237.386111111096</v>
      </c>
      <c r="P802" s="2" t="s">
        <v>742</v>
      </c>
      <c r="Q802" s="34"/>
      <c r="R802" s="1" t="s">
        <v>31</v>
      </c>
    </row>
    <row r="803" spans="2:18">
      <c r="B803" s="2" t="s">
        <v>2868</v>
      </c>
      <c r="C803" s="2" t="s">
        <v>1230</v>
      </c>
      <c r="D803" s="1">
        <v>4</v>
      </c>
      <c r="E803" s="2" t="s">
        <v>2869</v>
      </c>
      <c r="F803" s="2" t="s">
        <v>1313</v>
      </c>
      <c r="G803" s="45">
        <v>3</v>
      </c>
      <c r="H803" s="45" t="s">
        <v>702</v>
      </c>
      <c r="I803" s="43" t="s">
        <v>702</v>
      </c>
      <c r="J803" s="43" t="s">
        <v>702</v>
      </c>
      <c r="K803" s="30">
        <v>37500</v>
      </c>
      <c r="L803" s="43" t="s">
        <v>702</v>
      </c>
      <c r="M803" s="3">
        <v>46217.386111111096</v>
      </c>
      <c r="N803" s="2" t="s">
        <v>742</v>
      </c>
      <c r="O803" s="3">
        <v>46237.386111111096</v>
      </c>
      <c r="P803" s="2" t="s">
        <v>742</v>
      </c>
      <c r="Q803" s="34"/>
      <c r="R803" s="1" t="s">
        <v>31</v>
      </c>
    </row>
    <row r="804" spans="2:18">
      <c r="B804" s="2" t="s">
        <v>2870</v>
      </c>
      <c r="C804" s="2" t="s">
        <v>1232</v>
      </c>
      <c r="D804" s="1">
        <v>1</v>
      </c>
      <c r="E804" s="2" t="s">
        <v>2871</v>
      </c>
      <c r="F804" s="2" t="s">
        <v>1316</v>
      </c>
      <c r="G804" s="1">
        <v>10</v>
      </c>
      <c r="H804" s="45" t="s">
        <v>702</v>
      </c>
      <c r="I804" s="43" t="s">
        <v>702</v>
      </c>
      <c r="J804" s="43" t="s">
        <v>702</v>
      </c>
      <c r="K804" s="30">
        <v>150000</v>
      </c>
      <c r="L804" s="43" t="s">
        <v>702</v>
      </c>
      <c r="M804" s="3">
        <v>46217.522916666698</v>
      </c>
      <c r="N804" s="2" t="s">
        <v>745</v>
      </c>
      <c r="O804" s="3">
        <v>46237.522916666698</v>
      </c>
      <c r="P804" s="2" t="s">
        <v>745</v>
      </c>
      <c r="Q804" s="34"/>
      <c r="R804" s="1" t="s">
        <v>31</v>
      </c>
    </row>
    <row r="805" spans="2:18">
      <c r="B805" s="2" t="s">
        <v>2872</v>
      </c>
      <c r="C805" s="2" t="s">
        <v>1232</v>
      </c>
      <c r="D805" s="1">
        <v>2</v>
      </c>
      <c r="E805" s="2" t="s">
        <v>2873</v>
      </c>
      <c r="F805" s="2" t="s">
        <v>1319</v>
      </c>
      <c r="G805" s="45" t="s">
        <v>702</v>
      </c>
      <c r="H805" s="1">
        <v>1</v>
      </c>
      <c r="I805" s="43" t="s">
        <v>702</v>
      </c>
      <c r="J805" s="43" t="s">
        <v>702</v>
      </c>
      <c r="K805" s="30">
        <v>60000</v>
      </c>
      <c r="L805" s="43" t="s">
        <v>702</v>
      </c>
      <c r="M805" s="3">
        <v>46217.522916666698</v>
      </c>
      <c r="N805" s="2" t="s">
        <v>745</v>
      </c>
      <c r="O805" s="3">
        <v>46237.522916666698</v>
      </c>
      <c r="P805" s="2" t="s">
        <v>745</v>
      </c>
      <c r="Q805" s="34"/>
      <c r="R805" s="1" t="s">
        <v>31</v>
      </c>
    </row>
    <row r="806" spans="2:18">
      <c r="B806" s="2" t="s">
        <v>2874</v>
      </c>
      <c r="C806" s="2" t="s">
        <v>1232</v>
      </c>
      <c r="D806" s="1">
        <v>3</v>
      </c>
      <c r="E806" s="2" t="s">
        <v>2875</v>
      </c>
      <c r="F806" s="2" t="s">
        <v>1259</v>
      </c>
      <c r="G806" s="1">
        <v>2</v>
      </c>
      <c r="H806" s="45" t="s">
        <v>702</v>
      </c>
      <c r="I806" s="43" t="s">
        <v>702</v>
      </c>
      <c r="J806" s="43" t="s">
        <v>702</v>
      </c>
      <c r="K806" s="30">
        <v>25000</v>
      </c>
      <c r="L806" s="43" t="s">
        <v>702</v>
      </c>
      <c r="M806" s="3">
        <v>46217.522916666698</v>
      </c>
      <c r="N806" s="2" t="s">
        <v>745</v>
      </c>
      <c r="O806" s="3">
        <v>46237.522916666698</v>
      </c>
      <c r="P806" s="2" t="s">
        <v>745</v>
      </c>
      <c r="Q806" s="34"/>
      <c r="R806" s="1" t="s">
        <v>31</v>
      </c>
    </row>
    <row r="807" spans="2:18" ht="29" customHeight="1">
      <c r="B807" s="2" t="s">
        <v>2876</v>
      </c>
      <c r="C807" s="2" t="s">
        <v>1232</v>
      </c>
      <c r="D807" s="1">
        <v>4</v>
      </c>
      <c r="E807" s="2" t="s">
        <v>2877</v>
      </c>
      <c r="F807" s="2" t="s">
        <v>1262</v>
      </c>
      <c r="G807" s="45" t="s">
        <v>702</v>
      </c>
      <c r="H807" s="1">
        <v>3</v>
      </c>
      <c r="I807" s="43" t="s">
        <v>702</v>
      </c>
      <c r="J807" s="43" t="s">
        <v>702</v>
      </c>
      <c r="K807" s="30">
        <v>127500</v>
      </c>
      <c r="L807" s="43" t="s">
        <v>702</v>
      </c>
      <c r="M807" s="3">
        <v>46217.522916666698</v>
      </c>
      <c r="N807" s="2" t="s">
        <v>745</v>
      </c>
      <c r="O807" s="3">
        <v>46237.522916666698</v>
      </c>
      <c r="P807" s="2" t="s">
        <v>745</v>
      </c>
      <c r="Q807" s="34"/>
      <c r="R807" s="1" t="s">
        <v>31</v>
      </c>
    </row>
    <row r="808" spans="2:18">
      <c r="H808" s="45"/>
      <c r="I808" s="43"/>
      <c r="J808" s="43"/>
      <c r="L808" s="43"/>
      <c r="Q808" s="34"/>
    </row>
    <row r="809" spans="2:18">
      <c r="G809" s="45"/>
      <c r="I809" s="43"/>
      <c r="J809" s="43"/>
      <c r="L809" s="43"/>
      <c r="Q809" s="46"/>
      <c r="R809" s="47"/>
    </row>
    <row r="810" spans="2:18">
      <c r="H810" s="45"/>
      <c r="I810" s="43"/>
      <c r="J810" s="43"/>
      <c r="L810" s="43"/>
      <c r="Q810" s="34"/>
    </row>
    <row r="811" spans="2:18">
      <c r="G811" s="45"/>
      <c r="I811" s="43"/>
      <c r="J811" s="43"/>
      <c r="L811" s="43"/>
      <c r="Q811" s="34"/>
    </row>
    <row r="812" spans="2:18">
      <c r="H812" s="45"/>
      <c r="I812" s="43"/>
      <c r="J812" s="43"/>
      <c r="L812" s="43"/>
      <c r="Q812" s="34"/>
    </row>
    <row r="813" spans="2:18">
      <c r="H813" s="45"/>
      <c r="I813" s="43"/>
      <c r="J813" s="43"/>
      <c r="L813" s="43"/>
      <c r="Q813" s="34"/>
    </row>
    <row r="814" spans="2:18">
      <c r="G814" s="45"/>
      <c r="I814" s="43"/>
      <c r="J814" s="43"/>
      <c r="L814" s="43"/>
      <c r="Q814" s="34"/>
    </row>
    <row r="815" spans="2:18">
      <c r="G815" s="45"/>
      <c r="I815" s="43"/>
      <c r="J815" s="43"/>
      <c r="L815" s="43"/>
      <c r="Q815" s="34"/>
    </row>
    <row r="816" spans="2:18">
      <c r="H816" s="45"/>
      <c r="I816" s="43"/>
      <c r="J816" s="43"/>
      <c r="L816" s="43"/>
      <c r="Q816" s="34"/>
    </row>
    <row r="817" spans="7:18">
      <c r="G817" s="45"/>
      <c r="I817" s="43"/>
      <c r="J817" s="43"/>
      <c r="L817" s="43"/>
      <c r="Q817" s="34"/>
    </row>
    <row r="818" spans="7:18">
      <c r="H818" s="45"/>
      <c r="I818" s="43"/>
      <c r="J818" s="43"/>
      <c r="L818" s="43"/>
      <c r="Q818" s="34"/>
    </row>
    <row r="819" spans="7:18">
      <c r="G819" s="45"/>
      <c r="I819" s="43"/>
      <c r="J819" s="43"/>
      <c r="L819" s="43"/>
      <c r="Q819" s="34"/>
    </row>
    <row r="820" spans="7:18">
      <c r="H820" s="45"/>
      <c r="I820" s="43"/>
      <c r="J820" s="43"/>
      <c r="L820" s="43"/>
      <c r="Q820" s="46"/>
      <c r="R820" s="47"/>
    </row>
    <row r="821" spans="7:18">
      <c r="G821" s="45"/>
      <c r="I821" s="43"/>
      <c r="J821" s="43"/>
      <c r="L821" s="43"/>
      <c r="Q821" s="46"/>
      <c r="R821" s="47"/>
    </row>
    <row r="822" spans="7:18">
      <c r="G822" s="45"/>
      <c r="I822" s="43"/>
      <c r="J822" s="43"/>
      <c r="L822" s="43"/>
      <c r="Q822" s="34"/>
    </row>
    <row r="823" spans="7:18">
      <c r="H823" s="45"/>
      <c r="I823" s="43"/>
      <c r="J823" s="43"/>
      <c r="L823" s="43"/>
      <c r="Q823" s="34"/>
    </row>
    <row r="824" spans="7:18">
      <c r="G824" s="45"/>
      <c r="I824" s="43"/>
      <c r="J824" s="43"/>
      <c r="L824" s="43"/>
      <c r="Q824" s="46"/>
      <c r="R824" s="47"/>
    </row>
    <row r="825" spans="7:18">
      <c r="H825" s="45"/>
      <c r="I825" s="43"/>
      <c r="J825" s="43"/>
      <c r="L825" s="43"/>
      <c r="Q825" s="34"/>
    </row>
    <row r="826" spans="7:18">
      <c r="G826" s="45"/>
      <c r="I826" s="43"/>
      <c r="J826" s="43"/>
      <c r="L826" s="43"/>
      <c r="Q826" s="34"/>
    </row>
    <row r="827" spans="7:18">
      <c r="H827" s="45"/>
      <c r="I827" s="43"/>
      <c r="J827" s="43"/>
      <c r="L827" s="43"/>
      <c r="Q827" s="34"/>
    </row>
    <row r="828" spans="7:18">
      <c r="G828" s="45"/>
      <c r="I828" s="43"/>
      <c r="J828" s="43"/>
      <c r="L828" s="43"/>
      <c r="Q828" s="46"/>
      <c r="R828" s="47"/>
    </row>
    <row r="829" spans="7:18">
      <c r="H829" s="45"/>
      <c r="I829" s="43"/>
      <c r="J829" s="43"/>
      <c r="L829" s="43"/>
      <c r="Q829" s="34"/>
    </row>
    <row r="830" spans="7:18">
      <c r="G830" s="45"/>
      <c r="I830" s="43"/>
      <c r="J830" s="43"/>
      <c r="L830" s="43"/>
      <c r="Q830" s="34"/>
    </row>
    <row r="831" spans="7:18">
      <c r="H831" s="45"/>
      <c r="I831" s="43"/>
      <c r="J831" s="43"/>
      <c r="L831" s="43"/>
      <c r="Q831" s="34"/>
    </row>
    <row r="832" spans="7:18">
      <c r="G832" s="45"/>
      <c r="I832" s="43"/>
      <c r="J832" s="43"/>
      <c r="L832" s="43"/>
      <c r="Q832" s="34"/>
    </row>
    <row r="833" spans="7:18">
      <c r="G833" s="45"/>
      <c r="I833" s="43"/>
      <c r="J833" s="43"/>
      <c r="L833" s="43"/>
      <c r="Q833" s="34"/>
    </row>
    <row r="834" spans="7:18">
      <c r="H834" s="45"/>
      <c r="I834" s="43"/>
      <c r="J834" s="43"/>
      <c r="L834" s="43"/>
      <c r="Q834" s="46"/>
      <c r="R834" s="47"/>
    </row>
    <row r="835" spans="7:18">
      <c r="G835" s="45"/>
      <c r="I835" s="43"/>
      <c r="J835" s="43"/>
      <c r="L835" s="43"/>
      <c r="Q835" s="34"/>
    </row>
    <row r="836" spans="7:18">
      <c r="H836" s="45"/>
      <c r="I836" s="43"/>
      <c r="J836" s="43"/>
      <c r="L836" s="43"/>
      <c r="Q836" s="34"/>
    </row>
    <row r="837" spans="7:18">
      <c r="G837" s="45"/>
      <c r="I837" s="43"/>
      <c r="J837" s="43"/>
      <c r="L837" s="43"/>
      <c r="Q837" s="34"/>
    </row>
    <row r="838" spans="7:18">
      <c r="H838" s="45"/>
      <c r="I838" s="43"/>
      <c r="J838" s="43"/>
      <c r="L838" s="43"/>
      <c r="Q838" s="34"/>
    </row>
    <row r="839" spans="7:18">
      <c r="G839" s="45"/>
      <c r="I839" s="43"/>
      <c r="J839" s="43"/>
      <c r="L839" s="43"/>
      <c r="Q839" s="34"/>
    </row>
    <row r="840" spans="7:18">
      <c r="H840" s="45"/>
      <c r="I840" s="43"/>
      <c r="J840" s="43"/>
      <c r="L840" s="43"/>
      <c r="Q840" s="46"/>
      <c r="R840" s="47"/>
    </row>
    <row r="841" spans="7:18">
      <c r="G841" s="45"/>
      <c r="I841" s="43"/>
      <c r="J841" s="43"/>
      <c r="L841" s="43"/>
      <c r="Q841" s="34"/>
    </row>
    <row r="842" spans="7:18">
      <c r="H842" s="45"/>
      <c r="I842" s="43"/>
      <c r="J842" s="43"/>
      <c r="L842" s="43"/>
      <c r="Q842" s="34"/>
    </row>
    <row r="843" spans="7:18">
      <c r="G843" s="45"/>
      <c r="I843" s="43"/>
      <c r="J843" s="43"/>
      <c r="L843" s="43"/>
      <c r="Q843" s="34"/>
    </row>
    <row r="844" spans="7:18">
      <c r="H844" s="45"/>
      <c r="I844" s="43"/>
      <c r="J844" s="43"/>
      <c r="L844" s="43"/>
      <c r="Q844" s="34"/>
    </row>
    <row r="845" spans="7:18">
      <c r="G845" s="45"/>
      <c r="I845" s="43"/>
      <c r="J845" s="43"/>
      <c r="L845" s="43"/>
      <c r="Q845" s="34"/>
    </row>
    <row r="846" spans="7:18">
      <c r="H846" s="45"/>
      <c r="I846" s="43"/>
      <c r="J846" s="43"/>
      <c r="L846" s="43"/>
      <c r="Q846" s="46"/>
      <c r="R846" s="47"/>
    </row>
    <row r="847" spans="7:18">
      <c r="G847" s="45"/>
      <c r="I847" s="43"/>
      <c r="J847" s="43"/>
      <c r="L847" s="43"/>
      <c r="Q847" s="34"/>
    </row>
    <row r="848" spans="7:18">
      <c r="G848" s="45"/>
      <c r="I848" s="43"/>
      <c r="J848" s="43"/>
      <c r="L848" s="43"/>
      <c r="Q848" s="46"/>
      <c r="R848" s="47"/>
    </row>
    <row r="849" spans="7:18">
      <c r="H849" s="45"/>
      <c r="I849" s="43"/>
      <c r="J849" s="43"/>
      <c r="L849" s="43"/>
      <c r="Q849" s="34"/>
    </row>
    <row r="850" spans="7:18">
      <c r="H850" s="45"/>
      <c r="I850" s="43"/>
      <c r="J850" s="43"/>
      <c r="L850" s="43"/>
      <c r="Q850" s="34"/>
    </row>
    <row r="851" spans="7:18">
      <c r="G851" s="45"/>
      <c r="I851" s="43"/>
      <c r="J851" s="43"/>
      <c r="L851" s="43"/>
      <c r="Q851" s="34"/>
    </row>
    <row r="852" spans="7:18">
      <c r="H852" s="45"/>
      <c r="I852" s="43"/>
      <c r="J852" s="43"/>
      <c r="L852" s="43"/>
      <c r="Q852" s="34"/>
    </row>
    <row r="853" spans="7:18">
      <c r="G853" s="45"/>
      <c r="I853" s="43"/>
      <c r="J853" s="43"/>
      <c r="L853" s="43"/>
      <c r="Q853" s="34"/>
    </row>
    <row r="854" spans="7:18">
      <c r="H854" s="45"/>
      <c r="I854" s="43"/>
      <c r="J854" s="43"/>
      <c r="L854" s="43"/>
      <c r="Q854" s="34"/>
    </row>
    <row r="855" spans="7:18">
      <c r="G855" s="45"/>
      <c r="I855" s="43"/>
      <c r="J855" s="43"/>
      <c r="L855" s="43"/>
      <c r="Q855" s="34"/>
    </row>
    <row r="856" spans="7:18">
      <c r="H856" s="45"/>
      <c r="I856" s="43"/>
      <c r="J856" s="43"/>
      <c r="L856" s="43"/>
      <c r="Q856" s="34"/>
    </row>
    <row r="857" spans="7:18">
      <c r="H857" s="45"/>
      <c r="I857" s="43"/>
      <c r="J857" s="43"/>
      <c r="L857" s="43"/>
      <c r="Q857" s="34"/>
    </row>
    <row r="858" spans="7:18">
      <c r="G858" s="45"/>
      <c r="I858" s="43"/>
      <c r="J858" s="43"/>
      <c r="L858" s="43"/>
      <c r="Q858" s="34"/>
    </row>
    <row r="859" spans="7:18">
      <c r="H859" s="45"/>
      <c r="I859" s="43"/>
      <c r="J859" s="43"/>
      <c r="L859" s="43"/>
      <c r="Q859" s="34"/>
    </row>
    <row r="860" spans="7:18">
      <c r="G860" s="45"/>
      <c r="I860" s="43"/>
      <c r="J860" s="43"/>
      <c r="L860" s="43"/>
      <c r="Q860" s="34"/>
    </row>
    <row r="861" spans="7:18">
      <c r="H861" s="45"/>
      <c r="I861" s="43"/>
      <c r="J861" s="43"/>
      <c r="L861" s="43"/>
      <c r="Q861" s="46"/>
      <c r="R861" s="47"/>
    </row>
    <row r="862" spans="7:18">
      <c r="G862" s="45"/>
      <c r="I862" s="43"/>
      <c r="J862" s="43"/>
      <c r="L862" s="43"/>
      <c r="Q862" s="34"/>
    </row>
    <row r="863" spans="7:18">
      <c r="H863" s="45"/>
      <c r="I863" s="43"/>
      <c r="J863" s="43"/>
      <c r="L863" s="43"/>
      <c r="Q863" s="34"/>
    </row>
    <row r="864" spans="7:18">
      <c r="G864" s="45"/>
      <c r="I864" s="43"/>
      <c r="J864" s="43"/>
      <c r="L864" s="43"/>
      <c r="Q864" s="34"/>
    </row>
    <row r="865" spans="7:18">
      <c r="H865" s="45"/>
      <c r="I865" s="43"/>
      <c r="J865" s="43"/>
      <c r="L865" s="43"/>
      <c r="Q865" s="46"/>
      <c r="R865" s="47"/>
    </row>
    <row r="866" spans="7:18">
      <c r="G866" s="45"/>
      <c r="I866" s="43"/>
      <c r="J866" s="43"/>
      <c r="L866" s="43"/>
      <c r="Q866" s="34"/>
    </row>
    <row r="867" spans="7:18">
      <c r="H867" s="45"/>
      <c r="I867" s="43"/>
      <c r="J867" s="43"/>
      <c r="L867" s="43"/>
      <c r="Q867" s="34"/>
    </row>
    <row r="868" spans="7:18">
      <c r="H868" s="45"/>
      <c r="I868" s="43"/>
      <c r="J868" s="43"/>
      <c r="L868" s="43"/>
      <c r="Q868" s="34"/>
    </row>
    <row r="869" spans="7:18">
      <c r="G869" s="45"/>
      <c r="I869" s="43"/>
      <c r="J869" s="43"/>
      <c r="L869" s="43"/>
      <c r="Q869" s="34"/>
    </row>
    <row r="870" spans="7:18">
      <c r="H870" s="45"/>
      <c r="I870" s="43"/>
      <c r="J870" s="43"/>
      <c r="L870" s="43"/>
      <c r="Q870" s="46"/>
      <c r="R870" s="47"/>
    </row>
    <row r="871" spans="7:18">
      <c r="G871" s="45"/>
      <c r="I871" s="43"/>
      <c r="J871" s="43"/>
      <c r="L871" s="43"/>
      <c r="Q871" s="46"/>
      <c r="R871" s="47"/>
    </row>
    <row r="872" spans="7:18">
      <c r="H872" s="45"/>
      <c r="I872" s="43"/>
      <c r="J872" s="43"/>
      <c r="L872" s="43"/>
      <c r="Q872" s="34"/>
    </row>
    <row r="873" spans="7:18">
      <c r="G873" s="45"/>
      <c r="I873" s="43"/>
      <c r="J873" s="43"/>
      <c r="L873" s="43"/>
      <c r="Q873" s="34"/>
    </row>
    <row r="874" spans="7:18">
      <c r="H874" s="45"/>
      <c r="I874" s="43"/>
      <c r="J874" s="43"/>
      <c r="L874" s="43"/>
      <c r="Q874" s="34"/>
    </row>
    <row r="875" spans="7:18">
      <c r="G875" s="45"/>
      <c r="I875" s="43"/>
      <c r="J875" s="43"/>
      <c r="L875" s="43"/>
      <c r="Q875" s="34"/>
    </row>
    <row r="876" spans="7:18">
      <c r="H876" s="45"/>
      <c r="I876" s="43"/>
      <c r="J876" s="43"/>
      <c r="L876" s="43"/>
      <c r="Q876" s="34"/>
    </row>
    <row r="877" spans="7:18">
      <c r="G877" s="45"/>
      <c r="I877" s="43"/>
      <c r="J877" s="43"/>
      <c r="L877" s="43"/>
      <c r="Q877" s="46"/>
      <c r="R877" s="47"/>
    </row>
    <row r="878" spans="7:18">
      <c r="H878" s="45"/>
      <c r="I878" s="43"/>
      <c r="J878" s="43"/>
      <c r="L878" s="43"/>
      <c r="Q878" s="34"/>
    </row>
    <row r="879" spans="7:18">
      <c r="G879" s="45"/>
      <c r="I879" s="43"/>
      <c r="J879" s="43"/>
      <c r="L879" s="43"/>
      <c r="Q879" s="34"/>
    </row>
    <row r="880" spans="7:18">
      <c r="H880" s="45"/>
      <c r="I880" s="43"/>
      <c r="J880" s="43"/>
      <c r="L880" s="43"/>
      <c r="Q880" s="34"/>
    </row>
    <row r="881" spans="7:18">
      <c r="G881" s="45"/>
      <c r="I881" s="43"/>
      <c r="J881" s="43"/>
      <c r="L881" s="43"/>
      <c r="Q881" s="34"/>
    </row>
    <row r="882" spans="7:18">
      <c r="H882" s="45"/>
      <c r="I882" s="43"/>
      <c r="J882" s="43"/>
      <c r="L882" s="43"/>
      <c r="Q882" s="34"/>
    </row>
    <row r="883" spans="7:18">
      <c r="H883" s="45"/>
      <c r="I883" s="43"/>
      <c r="J883" s="43"/>
      <c r="L883" s="43"/>
      <c r="Q883" s="34"/>
    </row>
    <row r="884" spans="7:18">
      <c r="G884" s="45"/>
      <c r="I884" s="43"/>
      <c r="J884" s="43"/>
      <c r="L884" s="43"/>
      <c r="Q884" s="46"/>
      <c r="R884" s="47"/>
    </row>
    <row r="885" spans="7:18">
      <c r="G885" s="45"/>
      <c r="I885" s="43"/>
      <c r="J885" s="43"/>
      <c r="L885" s="43"/>
      <c r="Q885" s="34"/>
    </row>
    <row r="886" spans="7:18">
      <c r="H886" s="45"/>
      <c r="I886" s="43"/>
      <c r="J886" s="43"/>
      <c r="L886" s="43"/>
      <c r="Q886" s="46"/>
      <c r="R886" s="47"/>
    </row>
    <row r="887" spans="7:18">
      <c r="G887" s="45"/>
      <c r="I887" s="43"/>
      <c r="J887" s="43"/>
      <c r="L887" s="43"/>
      <c r="Q887" s="34"/>
    </row>
    <row r="888" spans="7:18">
      <c r="H888" s="45"/>
      <c r="I888" s="43"/>
      <c r="J888" s="43"/>
      <c r="L888" s="43"/>
      <c r="Q888" s="46"/>
      <c r="R888" s="47"/>
    </row>
    <row r="889" spans="7:18">
      <c r="G889" s="45"/>
      <c r="I889" s="43"/>
      <c r="J889" s="43"/>
      <c r="L889" s="43"/>
      <c r="Q889" s="34"/>
    </row>
    <row r="890" spans="7:18">
      <c r="H890" s="45"/>
      <c r="I890" s="43"/>
      <c r="J890" s="43"/>
      <c r="L890" s="43"/>
      <c r="Q890" s="34"/>
    </row>
    <row r="891" spans="7:18">
      <c r="G891" s="45"/>
      <c r="I891" s="43"/>
      <c r="J891" s="43"/>
      <c r="L891" s="43"/>
      <c r="Q891" s="34"/>
    </row>
    <row r="892" spans="7:18">
      <c r="G892" s="45"/>
      <c r="I892" s="43"/>
      <c r="J892" s="43"/>
      <c r="L892" s="43"/>
      <c r="Q892" s="46"/>
      <c r="R892" s="47"/>
    </row>
    <row r="893" spans="7:18">
      <c r="H893" s="45"/>
      <c r="I893" s="43"/>
      <c r="J893" s="43"/>
      <c r="L893" s="43"/>
      <c r="Q893" s="34"/>
    </row>
    <row r="894" spans="7:18">
      <c r="G894" s="45"/>
      <c r="I894" s="43"/>
      <c r="J894" s="43"/>
      <c r="L894" s="43"/>
      <c r="Q894" s="34"/>
    </row>
    <row r="895" spans="7:18">
      <c r="H895" s="45"/>
      <c r="I895" s="43"/>
      <c r="J895" s="43"/>
      <c r="L895" s="43"/>
      <c r="Q895" s="34"/>
    </row>
    <row r="896" spans="7:18">
      <c r="G896" s="45"/>
      <c r="I896" s="43"/>
      <c r="J896" s="43"/>
      <c r="L896" s="43"/>
      <c r="Q896" s="34"/>
    </row>
    <row r="897" spans="7:18">
      <c r="H897" s="45"/>
      <c r="I897" s="43"/>
      <c r="J897" s="43"/>
      <c r="L897" s="43"/>
      <c r="Q897" s="34"/>
    </row>
    <row r="898" spans="7:18">
      <c r="G898" s="45"/>
      <c r="I898" s="43"/>
      <c r="J898" s="43"/>
      <c r="L898" s="43"/>
      <c r="Q898" s="34"/>
    </row>
    <row r="899" spans="7:18">
      <c r="H899" s="45"/>
      <c r="I899" s="43"/>
      <c r="J899" s="43"/>
      <c r="L899" s="43"/>
      <c r="Q899" s="34"/>
    </row>
    <row r="900" spans="7:18">
      <c r="G900" s="45"/>
      <c r="I900" s="43"/>
      <c r="J900" s="43"/>
      <c r="L900" s="43"/>
      <c r="Q900" s="34"/>
    </row>
    <row r="901" spans="7:18">
      <c r="H901" s="45"/>
      <c r="I901" s="43"/>
      <c r="J901" s="43"/>
      <c r="L901" s="43"/>
      <c r="Q901" s="34"/>
    </row>
    <row r="902" spans="7:18">
      <c r="G902" s="45"/>
      <c r="I902" s="43"/>
      <c r="J902" s="43"/>
      <c r="L902" s="43"/>
      <c r="Q902" s="46"/>
      <c r="R902" s="47"/>
    </row>
    <row r="903" spans="7:18">
      <c r="G903" s="45"/>
      <c r="I903" s="43"/>
      <c r="J903" s="43"/>
      <c r="L903" s="43"/>
      <c r="Q903" s="34"/>
    </row>
    <row r="904" spans="7:18">
      <c r="H904" s="45"/>
      <c r="I904" s="43"/>
      <c r="J904" s="43"/>
      <c r="L904" s="43"/>
      <c r="Q904" s="34"/>
    </row>
    <row r="905" spans="7:18">
      <c r="G905" s="45"/>
      <c r="I905" s="43"/>
      <c r="J905" s="43"/>
      <c r="L905" s="43"/>
      <c r="Q905" s="34"/>
    </row>
    <row r="906" spans="7:18">
      <c r="H906" s="45"/>
      <c r="I906" s="43"/>
      <c r="J906" s="43"/>
      <c r="L906" s="43"/>
      <c r="Q906" s="34"/>
    </row>
    <row r="907" spans="7:18">
      <c r="G907" s="45"/>
      <c r="I907" s="43"/>
      <c r="J907" s="43"/>
      <c r="L907" s="43"/>
      <c r="Q907" s="46"/>
      <c r="R907" s="47"/>
    </row>
    <row r="908" spans="7:18">
      <c r="H908" s="45"/>
      <c r="I908" s="43"/>
      <c r="J908" s="43"/>
      <c r="L908" s="43"/>
      <c r="Q908" s="34"/>
    </row>
    <row r="909" spans="7:18">
      <c r="G909" s="45"/>
      <c r="I909" s="43"/>
      <c r="J909" s="43"/>
      <c r="L909" s="43"/>
      <c r="Q909" s="34"/>
    </row>
    <row r="910" spans="7:18">
      <c r="H910" s="45"/>
      <c r="I910" s="43"/>
      <c r="J910" s="43"/>
      <c r="L910" s="43"/>
      <c r="Q910" s="34"/>
    </row>
    <row r="911" spans="7:18">
      <c r="G911" s="45"/>
      <c r="I911" s="43"/>
      <c r="J911" s="43"/>
      <c r="L911" s="43"/>
      <c r="Q911" s="34"/>
    </row>
    <row r="912" spans="7:18">
      <c r="H912" s="45"/>
      <c r="I912" s="43"/>
      <c r="J912" s="43"/>
      <c r="L912" s="43"/>
      <c r="Q912" s="34"/>
    </row>
    <row r="913" spans="7:18">
      <c r="G913" s="45"/>
      <c r="I913" s="43"/>
      <c r="J913" s="43"/>
      <c r="L913" s="43"/>
      <c r="Q913" s="34"/>
    </row>
    <row r="914" spans="7:18">
      <c r="H914" s="45"/>
      <c r="I914" s="43"/>
      <c r="J914" s="43"/>
      <c r="L914" s="43"/>
      <c r="Q914" s="46"/>
      <c r="R914" s="47"/>
    </row>
    <row r="915" spans="7:18">
      <c r="G915" s="45"/>
      <c r="I915" s="43"/>
      <c r="J915" s="43"/>
      <c r="L915" s="43"/>
      <c r="Q915" s="34"/>
    </row>
    <row r="916" spans="7:18">
      <c r="H916" s="45"/>
      <c r="I916" s="43"/>
      <c r="J916" s="43"/>
      <c r="L916" s="43"/>
      <c r="Q916" s="34"/>
    </row>
    <row r="917" spans="7:18">
      <c r="G917" s="45"/>
      <c r="I917" s="43"/>
      <c r="J917" s="43"/>
      <c r="L917" s="43"/>
      <c r="Q917" s="34"/>
    </row>
    <row r="918" spans="7:18">
      <c r="G918" s="45"/>
      <c r="I918" s="43"/>
      <c r="J918" s="43"/>
      <c r="L918" s="43"/>
      <c r="Q918" s="34"/>
    </row>
    <row r="919" spans="7:18">
      <c r="H919" s="45"/>
      <c r="I919" s="43"/>
      <c r="J919" s="43"/>
      <c r="L919" s="43"/>
      <c r="Q919" s="34"/>
    </row>
    <row r="920" spans="7:18">
      <c r="H920" s="45"/>
      <c r="I920" s="43"/>
      <c r="J920" s="43"/>
      <c r="L920" s="43"/>
      <c r="Q920" s="34"/>
    </row>
    <row r="921" spans="7:18">
      <c r="G921" s="45"/>
      <c r="I921" s="43"/>
      <c r="J921" s="43"/>
      <c r="L921" s="43"/>
      <c r="Q921" s="34"/>
    </row>
    <row r="922" spans="7:18">
      <c r="H922" s="45"/>
      <c r="I922" s="43"/>
      <c r="J922" s="43"/>
      <c r="L922" s="43"/>
      <c r="Q922" s="46"/>
      <c r="R922" s="47"/>
    </row>
    <row r="923" spans="7:18">
      <c r="G923" s="45"/>
      <c r="I923" s="43"/>
      <c r="J923" s="43"/>
      <c r="L923" s="43"/>
      <c r="Q923" s="34"/>
    </row>
    <row r="924" spans="7:18">
      <c r="H924" s="45"/>
      <c r="I924" s="43"/>
      <c r="J924" s="43"/>
      <c r="L924" s="43"/>
      <c r="Q924" s="34"/>
    </row>
    <row r="925" spans="7:18">
      <c r="G925" s="45"/>
      <c r="I925" s="43"/>
      <c r="J925" s="43"/>
      <c r="L925" s="43"/>
      <c r="Q925" s="46"/>
      <c r="R925" s="47"/>
    </row>
    <row r="926" spans="7:18">
      <c r="H926" s="45"/>
      <c r="I926" s="43"/>
      <c r="J926" s="43"/>
      <c r="L926" s="43"/>
      <c r="Q926" s="34"/>
    </row>
    <row r="927" spans="7:18">
      <c r="H927" s="45"/>
      <c r="I927" s="43"/>
      <c r="J927" s="43"/>
      <c r="L927" s="43"/>
      <c r="Q927" s="34"/>
    </row>
    <row r="928" spans="7:18">
      <c r="G928" s="45"/>
      <c r="I928" s="43"/>
      <c r="J928" s="43"/>
      <c r="L928" s="43"/>
      <c r="Q928" s="46"/>
      <c r="R928" s="47"/>
    </row>
    <row r="929" spans="7:18">
      <c r="H929" s="45"/>
      <c r="I929" s="43"/>
      <c r="J929" s="43"/>
      <c r="L929" s="43"/>
      <c r="Q929" s="34"/>
    </row>
    <row r="930" spans="7:18">
      <c r="G930" s="45"/>
      <c r="I930" s="43"/>
      <c r="J930" s="43"/>
      <c r="L930" s="43"/>
      <c r="Q930" s="34"/>
    </row>
    <row r="931" spans="7:18">
      <c r="H931" s="45"/>
      <c r="I931" s="43"/>
      <c r="J931" s="43"/>
      <c r="L931" s="43"/>
      <c r="Q931" s="34"/>
    </row>
    <row r="932" spans="7:18">
      <c r="G932" s="45"/>
      <c r="I932" s="43"/>
      <c r="J932" s="43"/>
      <c r="L932" s="43"/>
      <c r="Q932" s="34"/>
    </row>
    <row r="933" spans="7:18">
      <c r="H933" s="45"/>
      <c r="I933" s="43"/>
      <c r="J933" s="43"/>
      <c r="L933" s="43"/>
      <c r="Q933" s="46"/>
      <c r="R933" s="47"/>
    </row>
    <row r="934" spans="7:18">
      <c r="G934" s="45"/>
      <c r="I934" s="43"/>
      <c r="J934" s="43"/>
      <c r="L934" s="43"/>
      <c r="Q934" s="34"/>
    </row>
    <row r="935" spans="7:18">
      <c r="H935" s="45"/>
      <c r="I935" s="43"/>
      <c r="J935" s="43"/>
      <c r="L935" s="43"/>
      <c r="Q935" s="34"/>
    </row>
    <row r="936" spans="7:18">
      <c r="G936" s="45"/>
      <c r="I936" s="43"/>
      <c r="J936" s="43"/>
      <c r="L936" s="43"/>
      <c r="Q936" s="34"/>
    </row>
    <row r="937" spans="7:18">
      <c r="H937" s="45"/>
      <c r="I937" s="43"/>
      <c r="J937" s="43"/>
      <c r="L937" s="43"/>
      <c r="Q937" s="34"/>
    </row>
    <row r="938" spans="7:18">
      <c r="H938" s="45"/>
      <c r="I938" s="43"/>
      <c r="J938" s="43"/>
      <c r="L938" s="43"/>
      <c r="Q938" s="46"/>
      <c r="R938" s="47"/>
    </row>
    <row r="939" spans="7:18">
      <c r="G939" s="45"/>
      <c r="I939" s="43"/>
      <c r="J939" s="43"/>
      <c r="L939" s="43"/>
      <c r="Q939" s="34"/>
    </row>
    <row r="940" spans="7:18">
      <c r="H940" s="45"/>
      <c r="I940" s="43"/>
      <c r="J940" s="43"/>
      <c r="L940" s="43"/>
      <c r="Q940" s="34"/>
    </row>
    <row r="941" spans="7:18">
      <c r="G941" s="45"/>
      <c r="I941" s="43"/>
      <c r="J941" s="43"/>
      <c r="L941" s="43"/>
      <c r="Q941" s="34"/>
    </row>
    <row r="942" spans="7:18">
      <c r="H942" s="45"/>
      <c r="I942" s="43"/>
      <c r="J942" s="43"/>
      <c r="L942" s="43"/>
      <c r="Q942" s="34"/>
    </row>
    <row r="943" spans="7:18">
      <c r="G943" s="45"/>
      <c r="I943" s="43"/>
      <c r="J943" s="43"/>
      <c r="L943" s="43"/>
      <c r="Q943" s="34"/>
    </row>
    <row r="944" spans="7:18">
      <c r="H944" s="45"/>
      <c r="I944" s="43"/>
      <c r="J944" s="43"/>
      <c r="L944" s="43"/>
      <c r="Q944" s="46"/>
      <c r="R944" s="47"/>
    </row>
    <row r="945" spans="7:18">
      <c r="G945" s="45"/>
      <c r="I945" s="43"/>
      <c r="J945" s="43"/>
      <c r="L945" s="43"/>
      <c r="Q945" s="46"/>
      <c r="R945" s="47"/>
    </row>
    <row r="946" spans="7:18">
      <c r="H946" s="45"/>
      <c r="I946" s="43"/>
      <c r="J946" s="43"/>
      <c r="L946" s="43"/>
      <c r="Q946" s="34"/>
    </row>
    <row r="947" spans="7:18">
      <c r="G947" s="45"/>
      <c r="I947" s="43"/>
      <c r="J947" s="43"/>
      <c r="L947" s="43"/>
      <c r="Q947" s="34"/>
    </row>
    <row r="948" spans="7:18">
      <c r="H948" s="45"/>
      <c r="I948" s="43"/>
      <c r="J948" s="43"/>
      <c r="L948" s="43"/>
      <c r="Q948" s="34"/>
    </row>
    <row r="949" spans="7:18">
      <c r="G949" s="45"/>
      <c r="I949" s="43"/>
      <c r="J949" s="43"/>
      <c r="L949" s="43"/>
      <c r="Q949" s="34"/>
    </row>
    <row r="950" spans="7:18">
      <c r="H950" s="45"/>
      <c r="I950" s="43"/>
      <c r="J950" s="43"/>
      <c r="L950" s="43"/>
      <c r="Q950" s="46"/>
      <c r="R950" s="47"/>
    </row>
    <row r="951" spans="7:18">
      <c r="G951" s="45"/>
      <c r="I951" s="43"/>
      <c r="J951" s="43"/>
      <c r="L951" s="43"/>
      <c r="Q951" s="46"/>
      <c r="R951" s="47"/>
    </row>
    <row r="952" spans="7:18">
      <c r="H952" s="45"/>
      <c r="I952" s="43"/>
      <c r="J952" s="43"/>
      <c r="L952" s="43"/>
      <c r="Q952" s="34"/>
    </row>
    <row r="953" spans="7:18">
      <c r="H953" s="45"/>
      <c r="I953" s="43"/>
      <c r="J953" s="43"/>
      <c r="L953" s="43"/>
      <c r="Q953" s="34"/>
    </row>
    <row r="954" spans="7:18">
      <c r="G954" s="45"/>
      <c r="I954" s="43"/>
      <c r="J954" s="43"/>
      <c r="L954" s="43"/>
      <c r="Q954" s="34"/>
    </row>
    <row r="955" spans="7:18">
      <c r="G955" s="45"/>
      <c r="I955" s="43"/>
      <c r="J955" s="43"/>
      <c r="L955" s="43"/>
      <c r="Q955" s="34"/>
    </row>
    <row r="956" spans="7:18">
      <c r="H956" s="45"/>
      <c r="I956" s="43"/>
      <c r="J956" s="43"/>
      <c r="L956" s="43"/>
      <c r="Q956" s="34"/>
    </row>
    <row r="957" spans="7:18">
      <c r="G957" s="45"/>
      <c r="I957" s="43"/>
      <c r="J957" s="43"/>
      <c r="L957" s="43"/>
      <c r="Q957" s="34"/>
    </row>
    <row r="958" spans="7:18">
      <c r="H958" s="45"/>
      <c r="I958" s="43"/>
      <c r="J958" s="43"/>
      <c r="L958" s="43"/>
      <c r="Q958" s="34"/>
    </row>
    <row r="959" spans="7:18">
      <c r="G959" s="45"/>
      <c r="I959" s="43"/>
      <c r="J959" s="43"/>
      <c r="L959" s="43"/>
      <c r="Q959" s="34"/>
    </row>
    <row r="960" spans="7:18">
      <c r="H960" s="45"/>
      <c r="I960" s="43"/>
      <c r="J960" s="43"/>
      <c r="L960" s="43"/>
      <c r="Q960" s="34"/>
    </row>
    <row r="961" spans="7:18">
      <c r="G961" s="45"/>
      <c r="I961" s="43"/>
      <c r="J961" s="43"/>
      <c r="L961" s="43"/>
      <c r="Q961" s="34"/>
    </row>
    <row r="962" spans="7:18">
      <c r="G962" s="45"/>
      <c r="I962" s="43"/>
      <c r="J962" s="43"/>
      <c r="L962" s="43"/>
      <c r="Q962" s="34"/>
    </row>
    <row r="963" spans="7:18">
      <c r="H963" s="45"/>
      <c r="I963" s="43"/>
      <c r="J963" s="43"/>
      <c r="L963" s="43"/>
      <c r="Q963" s="34"/>
    </row>
    <row r="964" spans="7:18">
      <c r="G964" s="45"/>
      <c r="I964" s="43"/>
      <c r="J964" s="43"/>
      <c r="L964" s="43"/>
      <c r="Q964" s="34"/>
    </row>
    <row r="965" spans="7:18">
      <c r="H965" s="45"/>
      <c r="I965" s="43"/>
      <c r="J965" s="43"/>
      <c r="L965" s="43"/>
      <c r="Q965" s="46"/>
      <c r="R965" s="47"/>
    </row>
    <row r="966" spans="7:18">
      <c r="G966" s="45"/>
      <c r="I966" s="43"/>
      <c r="J966" s="43"/>
      <c r="L966" s="43"/>
      <c r="Q966" s="34"/>
    </row>
    <row r="967" spans="7:18">
      <c r="H967" s="45"/>
      <c r="I967" s="43"/>
      <c r="J967" s="43"/>
      <c r="L967" s="43"/>
      <c r="Q967" s="34"/>
    </row>
    <row r="968" spans="7:18">
      <c r="G968" s="45"/>
      <c r="I968" s="43"/>
      <c r="J968" s="43"/>
      <c r="L968" s="43"/>
      <c r="Q968" s="34"/>
    </row>
    <row r="969" spans="7:18">
      <c r="H969" s="45"/>
      <c r="I969" s="43"/>
      <c r="J969" s="43"/>
      <c r="L969" s="43"/>
      <c r="Q969" s="46"/>
      <c r="R969" s="47"/>
    </row>
    <row r="970" spans="7:18">
      <c r="G970" s="45"/>
      <c r="I970" s="43"/>
      <c r="J970" s="43"/>
      <c r="L970" s="43"/>
      <c r="Q970" s="46"/>
      <c r="R970" s="47"/>
    </row>
    <row r="971" spans="7:18">
      <c r="H971" s="45"/>
      <c r="I971" s="43"/>
      <c r="J971" s="43"/>
      <c r="L971" s="43"/>
      <c r="Q971" s="34"/>
    </row>
    <row r="972" spans="7:18">
      <c r="G972" s="45"/>
      <c r="I972" s="43"/>
      <c r="J972" s="43"/>
      <c r="L972" s="43"/>
      <c r="Q972" s="34"/>
    </row>
    <row r="973" spans="7:18">
      <c r="G973" s="45"/>
      <c r="I973" s="43"/>
      <c r="J973" s="43"/>
      <c r="L973" s="43"/>
      <c r="Q973" s="34"/>
    </row>
    <row r="974" spans="7:18">
      <c r="H974" s="45"/>
      <c r="I974" s="43"/>
      <c r="J974" s="43"/>
      <c r="L974" s="43"/>
      <c r="Q974" s="34"/>
    </row>
    <row r="975" spans="7:18">
      <c r="G975" s="45"/>
      <c r="I975" s="43"/>
      <c r="J975" s="43"/>
      <c r="L975" s="43"/>
      <c r="Q975" s="46"/>
      <c r="R975" s="47"/>
    </row>
    <row r="976" spans="7:18">
      <c r="H976" s="45"/>
      <c r="I976" s="43"/>
      <c r="J976" s="43"/>
      <c r="L976" s="43"/>
      <c r="Q976" s="34"/>
    </row>
    <row r="977" spans="7:18">
      <c r="G977" s="45"/>
      <c r="I977" s="43"/>
      <c r="J977" s="43"/>
      <c r="L977" s="43"/>
      <c r="Q977" s="34"/>
    </row>
    <row r="978" spans="7:18">
      <c r="H978" s="45"/>
      <c r="I978" s="43"/>
      <c r="J978" s="43"/>
      <c r="L978" s="43"/>
      <c r="Q978" s="34"/>
    </row>
    <row r="979" spans="7:18">
      <c r="G979" s="45"/>
      <c r="I979" s="43"/>
      <c r="J979" s="43"/>
      <c r="L979" s="43"/>
      <c r="Q979" s="34"/>
    </row>
    <row r="980" spans="7:18">
      <c r="H980" s="45"/>
      <c r="I980" s="43"/>
      <c r="J980" s="43"/>
      <c r="L980" s="43"/>
      <c r="Q980" s="34"/>
    </row>
    <row r="981" spans="7:18">
      <c r="G981" s="45"/>
      <c r="I981" s="43"/>
      <c r="J981" s="43"/>
      <c r="L981" s="43"/>
      <c r="Q981" s="46"/>
      <c r="R981" s="47"/>
    </row>
    <row r="982" spans="7:18">
      <c r="H982" s="45"/>
      <c r="I982" s="43"/>
      <c r="J982" s="43"/>
      <c r="L982" s="43"/>
      <c r="Q982" s="34"/>
    </row>
    <row r="983" spans="7:18">
      <c r="G983" s="45"/>
      <c r="I983" s="43"/>
      <c r="J983" s="43"/>
      <c r="L983" s="43"/>
      <c r="Q983" s="34"/>
    </row>
    <row r="984" spans="7:18">
      <c r="H984" s="45"/>
      <c r="I984" s="43"/>
      <c r="J984" s="43"/>
      <c r="L984" s="43"/>
      <c r="Q984" s="34"/>
    </row>
    <row r="985" spans="7:18">
      <c r="G985" s="45"/>
      <c r="I985" s="43"/>
      <c r="J985" s="43"/>
      <c r="L985" s="43"/>
      <c r="Q985" s="34"/>
    </row>
    <row r="986" spans="7:18">
      <c r="H986" s="45"/>
      <c r="I986" s="43"/>
      <c r="J986" s="43"/>
      <c r="L986" s="43"/>
      <c r="Q986" s="34"/>
    </row>
    <row r="987" spans="7:18">
      <c r="G987" s="45"/>
      <c r="I987" s="43"/>
      <c r="J987" s="43"/>
      <c r="L987" s="43"/>
      <c r="Q987" s="46"/>
      <c r="R987" s="47"/>
    </row>
    <row r="988" spans="7:18">
      <c r="G988" s="45"/>
      <c r="I988" s="43"/>
      <c r="J988" s="43"/>
      <c r="L988" s="43"/>
      <c r="Q988" s="34"/>
    </row>
    <row r="989" spans="7:18">
      <c r="H989" s="45"/>
      <c r="I989" s="43"/>
      <c r="J989" s="43"/>
      <c r="L989" s="43"/>
      <c r="Q989" s="46"/>
      <c r="R989" s="47"/>
    </row>
    <row r="990" spans="7:18">
      <c r="H990" s="45"/>
      <c r="I990" s="43"/>
      <c r="J990" s="43"/>
      <c r="L990" s="43"/>
      <c r="Q990" s="46"/>
      <c r="R990" s="47"/>
    </row>
    <row r="991" spans="7:18">
      <c r="G991" s="45"/>
      <c r="I991" s="43"/>
      <c r="J991" s="43"/>
      <c r="L991" s="43"/>
      <c r="Q991" s="34"/>
    </row>
    <row r="992" spans="7:18">
      <c r="H992" s="45"/>
      <c r="I992" s="43"/>
      <c r="J992" s="43"/>
      <c r="L992" s="43"/>
      <c r="Q992" s="34"/>
    </row>
    <row r="993" spans="7:18">
      <c r="G993" s="45"/>
      <c r="I993" s="43"/>
      <c r="J993" s="43"/>
      <c r="L993" s="43"/>
      <c r="Q993" s="46"/>
      <c r="R993" s="47"/>
    </row>
    <row r="994" spans="7:18">
      <c r="H994" s="45"/>
      <c r="I994" s="43"/>
      <c r="J994" s="43"/>
      <c r="L994" s="43"/>
      <c r="Q994" s="34"/>
    </row>
    <row r="995" spans="7:18">
      <c r="G995" s="45"/>
      <c r="I995" s="43"/>
      <c r="J995" s="43"/>
      <c r="L995" s="43"/>
      <c r="Q995" s="34"/>
    </row>
    <row r="996" spans="7:18">
      <c r="H996" s="45"/>
      <c r="I996" s="43"/>
      <c r="J996" s="43"/>
      <c r="L996" s="43"/>
      <c r="Q996" s="34"/>
    </row>
    <row r="997" spans="7:18">
      <c r="H997" s="45"/>
      <c r="I997" s="43"/>
      <c r="J997" s="43"/>
      <c r="L997" s="43"/>
      <c r="Q997" s="34"/>
    </row>
    <row r="998" spans="7:18">
      <c r="G998" s="45"/>
      <c r="I998" s="43"/>
      <c r="J998" s="43"/>
      <c r="L998" s="43"/>
      <c r="Q998" s="34"/>
    </row>
    <row r="999" spans="7:18">
      <c r="H999" s="45"/>
      <c r="I999" s="43"/>
      <c r="J999" s="43"/>
      <c r="L999" s="43"/>
      <c r="Q999" s="34"/>
    </row>
    <row r="1000" spans="7:18">
      <c r="G1000" s="45"/>
      <c r="I1000" s="43"/>
      <c r="J1000" s="43"/>
      <c r="L1000" s="43"/>
      <c r="Q1000" s="34"/>
    </row>
    <row r="1001" spans="7:18">
      <c r="H1001" s="45"/>
      <c r="I1001" s="43"/>
      <c r="J1001" s="43"/>
      <c r="L1001" s="43"/>
      <c r="Q1001" s="34"/>
    </row>
  </sheetData>
  <phoneticPr fontId="2"/>
  <conditionalFormatting sqref="B7:P7">
    <cfRule type="expression" dxfId="11" priority="1">
      <formula>AND(ISNUMBER(FIND("K",B6)),B7="*")</formula>
    </cfRule>
    <cfRule type="expression" dxfId="10" priority="2">
      <formula>AND(ISNUMBER(FIND("N",B6)),B7="*")</formula>
    </cfRule>
    <cfRule type="expression" dxfId="9" priority="3">
      <formula>B7="*"</formula>
    </cfRule>
    <cfRule type="expression" dxfId="8" priority="4">
      <formula>B7=""</formula>
    </cfRule>
  </conditionalFormatting>
  <dataValidations count="1">
    <dataValidation type="list" allowBlank="1" showInputMessage="1" showErrorMessage="1" sqref="B7:P7" xr:uid="{00000000-0002-0000-0600-000000000000}">
      <formula1>"*,"</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F65DF-BDF4-4A46-A0A9-A1A65E7C2FAE}">
  <dimension ref="A1:V52"/>
  <sheetViews>
    <sheetView workbookViewId="0">
      <selection activeCell="B1" sqref="B1"/>
    </sheetView>
  </sheetViews>
  <sheetFormatPr defaultColWidth="9.1796875" defaultRowHeight="14.5"/>
  <cols>
    <col min="1" max="1" width="18.7265625" style="1" customWidth="1"/>
    <col min="2" max="2" width="24.7265625" style="2" customWidth="1"/>
    <col min="3" max="3" width="18.7265625" style="2" customWidth="1"/>
    <col min="4" max="5" width="16.7265625" style="2" customWidth="1"/>
    <col min="6" max="7" width="14.7265625" style="42" customWidth="1"/>
    <col min="8" max="8" width="50.7265625" style="2" customWidth="1"/>
    <col min="9" max="10" width="16.7265625" style="2" customWidth="1"/>
    <col min="11" max="13" width="28.7265625" style="30" customWidth="1"/>
    <col min="14" max="15" width="16.7265625" style="2" customWidth="1"/>
    <col min="16" max="16" width="50.7265625" style="2" customWidth="1"/>
    <col min="17" max="17" width="22.7265625" style="3" customWidth="1"/>
    <col min="18" max="18" width="30.7265625" style="2" customWidth="1"/>
    <col min="19" max="19" width="22.7265625" style="3" customWidth="1"/>
    <col min="20" max="20" width="30.7265625" style="2" customWidth="1"/>
    <col min="21" max="21" width="10.7265625" style="1" customWidth="1"/>
    <col min="22" max="22" width="48.7265625" style="1" customWidth="1"/>
    <col min="23" max="23" width="9.1796875" style="1" customWidth="1"/>
    <col min="24" max="16384" width="9.1796875" style="1"/>
  </cols>
  <sheetData>
    <row r="1" spans="1:22" s="4" customFormat="1">
      <c r="A1" s="5" t="s">
        <v>0</v>
      </c>
      <c r="B1" s="6" t="s">
        <v>2879</v>
      </c>
      <c r="C1" s="7" t="s">
        <v>2</v>
      </c>
      <c r="D1" s="6" t="s">
        <v>2878</v>
      </c>
      <c r="E1" s="9"/>
      <c r="F1" s="37"/>
      <c r="G1" s="37"/>
      <c r="H1" s="9"/>
      <c r="I1" s="9"/>
      <c r="J1" s="9"/>
      <c r="K1" s="26"/>
      <c r="L1" s="26"/>
      <c r="M1" s="26"/>
      <c r="N1" s="9"/>
      <c r="O1" s="9"/>
      <c r="P1" s="9"/>
      <c r="Q1" s="8"/>
      <c r="R1" s="9"/>
      <c r="S1" s="8"/>
      <c r="T1" s="9"/>
    </row>
    <row r="2" spans="1:22" s="4" customFormat="1">
      <c r="A2" s="5" t="s">
        <v>4</v>
      </c>
      <c r="B2" s="33"/>
      <c r="C2" s="9"/>
      <c r="D2" s="9"/>
      <c r="E2" s="9"/>
      <c r="F2" s="37"/>
      <c r="G2" s="37"/>
      <c r="H2" s="9"/>
      <c r="I2" s="9"/>
      <c r="J2" s="9"/>
      <c r="K2" s="26"/>
      <c r="L2" s="26"/>
      <c r="M2" s="26"/>
      <c r="N2" s="9"/>
      <c r="O2" s="9"/>
      <c r="P2" s="9"/>
      <c r="Q2" s="8"/>
      <c r="R2" s="9"/>
      <c r="S2" s="8"/>
      <c r="T2" s="9"/>
    </row>
    <row r="3" spans="1:22" s="4" customFormat="1" ht="29" customHeight="1">
      <c r="A3" s="10" t="s">
        <v>6</v>
      </c>
      <c r="B3" s="11" t="s">
        <v>2880</v>
      </c>
      <c r="C3" s="12" t="s">
        <v>669</v>
      </c>
      <c r="D3" s="12" t="s">
        <v>173</v>
      </c>
      <c r="E3" s="12" t="s">
        <v>670</v>
      </c>
      <c r="F3" s="38" t="s">
        <v>671</v>
      </c>
      <c r="G3" s="38" t="s">
        <v>672</v>
      </c>
      <c r="H3" s="12" t="s">
        <v>673</v>
      </c>
      <c r="I3" s="12" t="s">
        <v>632</v>
      </c>
      <c r="J3" s="12" t="s">
        <v>499</v>
      </c>
      <c r="K3" s="27" t="s">
        <v>674</v>
      </c>
      <c r="L3" s="27" t="s">
        <v>675</v>
      </c>
      <c r="M3" s="27" t="s">
        <v>676</v>
      </c>
      <c r="N3" s="12" t="s">
        <v>65</v>
      </c>
      <c r="O3" s="12" t="s">
        <v>677</v>
      </c>
      <c r="P3" s="12" t="s">
        <v>678</v>
      </c>
      <c r="Q3" s="13" t="s">
        <v>10</v>
      </c>
      <c r="R3" s="12" t="s">
        <v>11</v>
      </c>
      <c r="S3" s="13" t="s">
        <v>12</v>
      </c>
      <c r="T3" s="12" t="s">
        <v>13</v>
      </c>
      <c r="U3" s="14" t="s">
        <v>14</v>
      </c>
      <c r="V3" s="14" t="s">
        <v>15</v>
      </c>
    </row>
    <row r="4" spans="1:22" s="4" customFormat="1">
      <c r="A4" s="10" t="s">
        <v>16</v>
      </c>
      <c r="B4" s="11" t="s">
        <v>2881</v>
      </c>
      <c r="C4" s="12" t="s">
        <v>2882</v>
      </c>
      <c r="D4" s="12" t="s">
        <v>184</v>
      </c>
      <c r="E4" s="12" t="s">
        <v>2883</v>
      </c>
      <c r="F4" s="39" t="s">
        <v>682</v>
      </c>
      <c r="G4" s="39" t="s">
        <v>683</v>
      </c>
      <c r="H4" s="12" t="s">
        <v>684</v>
      </c>
      <c r="I4" s="12" t="s">
        <v>685</v>
      </c>
      <c r="J4" s="12" t="s">
        <v>686</v>
      </c>
      <c r="K4" s="28" t="s">
        <v>2884</v>
      </c>
      <c r="L4" s="28" t="s">
        <v>2885</v>
      </c>
      <c r="M4" s="28" t="s">
        <v>689</v>
      </c>
      <c r="N4" s="12" t="s">
        <v>690</v>
      </c>
      <c r="O4" s="12" t="s">
        <v>2886</v>
      </c>
      <c r="P4" s="12" t="s">
        <v>692</v>
      </c>
      <c r="Q4" s="15" t="s">
        <v>20</v>
      </c>
      <c r="R4" s="12" t="s">
        <v>21</v>
      </c>
      <c r="S4" s="15" t="s">
        <v>22</v>
      </c>
      <c r="T4" s="12" t="s">
        <v>23</v>
      </c>
      <c r="U4" s="16"/>
      <c r="V4" s="16"/>
    </row>
    <row r="5" spans="1:22" s="4" customFormat="1">
      <c r="A5" s="10" t="s">
        <v>24</v>
      </c>
      <c r="B5" s="11" t="s">
        <v>693</v>
      </c>
      <c r="C5" s="12" t="s">
        <v>693</v>
      </c>
      <c r="D5" s="12" t="s">
        <v>75</v>
      </c>
      <c r="E5" s="12" t="s">
        <v>75</v>
      </c>
      <c r="F5" s="38" t="s">
        <v>694</v>
      </c>
      <c r="G5" s="38" t="s">
        <v>694</v>
      </c>
      <c r="H5" s="12" t="s">
        <v>695</v>
      </c>
      <c r="I5" s="12" t="s">
        <v>519</v>
      </c>
      <c r="J5" s="12" t="s">
        <v>522</v>
      </c>
      <c r="K5" s="27" t="s">
        <v>696</v>
      </c>
      <c r="L5" s="27" t="s">
        <v>696</v>
      </c>
      <c r="M5" s="27" t="s">
        <v>696</v>
      </c>
      <c r="N5" s="12" t="s">
        <v>75</v>
      </c>
      <c r="O5" s="12" t="s">
        <v>519</v>
      </c>
      <c r="P5" s="12" t="s">
        <v>697</v>
      </c>
      <c r="Q5" s="13" t="s">
        <v>27</v>
      </c>
      <c r="R5" s="12" t="s">
        <v>28</v>
      </c>
      <c r="S5" s="13" t="s">
        <v>27</v>
      </c>
      <c r="T5" s="12" t="s">
        <v>28</v>
      </c>
      <c r="U5" s="16"/>
      <c r="V5" s="16"/>
    </row>
    <row r="6" spans="1:22" s="4" customFormat="1">
      <c r="A6" s="5" t="s">
        <v>29</v>
      </c>
      <c r="B6" s="11" t="s">
        <v>30</v>
      </c>
      <c r="C6" s="12" t="s">
        <v>31</v>
      </c>
      <c r="D6" s="12" t="s">
        <v>31</v>
      </c>
      <c r="E6" s="12" t="s">
        <v>31</v>
      </c>
      <c r="F6" s="38" t="s">
        <v>31</v>
      </c>
      <c r="G6" s="38" t="s">
        <v>31</v>
      </c>
      <c r="H6" s="12" t="s">
        <v>32</v>
      </c>
      <c r="I6" s="12" t="s">
        <v>33</v>
      </c>
      <c r="J6" s="12" t="s">
        <v>33</v>
      </c>
      <c r="K6" s="27" t="s">
        <v>32</v>
      </c>
      <c r="L6" s="27" t="s">
        <v>32</v>
      </c>
      <c r="M6" s="27" t="s">
        <v>32</v>
      </c>
      <c r="N6" s="12" t="s">
        <v>31</v>
      </c>
      <c r="O6" s="12" t="s">
        <v>33</v>
      </c>
      <c r="P6" s="12" t="s">
        <v>32</v>
      </c>
      <c r="Q6" s="13" t="s">
        <v>33</v>
      </c>
      <c r="R6" s="12" t="s">
        <v>31</v>
      </c>
      <c r="S6" s="13" t="s">
        <v>33</v>
      </c>
      <c r="T6" s="12" t="s">
        <v>31</v>
      </c>
      <c r="U6" s="16"/>
      <c r="V6" s="16"/>
    </row>
    <row r="7" spans="1:22">
      <c r="A7" s="17" t="s">
        <v>34</v>
      </c>
      <c r="B7" s="18" t="s">
        <v>35</v>
      </c>
      <c r="C7" s="19" t="s">
        <v>35</v>
      </c>
      <c r="D7" s="19" t="s">
        <v>35</v>
      </c>
      <c r="E7" s="19" t="s">
        <v>35</v>
      </c>
      <c r="F7" s="40" t="s">
        <v>35</v>
      </c>
      <c r="G7" s="40" t="s">
        <v>35</v>
      </c>
      <c r="H7" s="19" t="s">
        <v>35</v>
      </c>
      <c r="I7" s="19" t="s">
        <v>35</v>
      </c>
      <c r="J7" s="19" t="s">
        <v>35</v>
      </c>
      <c r="K7" s="29" t="s">
        <v>35</v>
      </c>
      <c r="L7" s="29" t="s">
        <v>35</v>
      </c>
      <c r="M7" s="29" t="s">
        <v>35</v>
      </c>
      <c r="N7" s="19" t="s">
        <v>35</v>
      </c>
      <c r="O7" s="19" t="s">
        <v>35</v>
      </c>
      <c r="P7" s="19" t="s">
        <v>35</v>
      </c>
      <c r="Q7" s="20" t="s">
        <v>35</v>
      </c>
      <c r="R7" s="19" t="s">
        <v>35</v>
      </c>
      <c r="S7" s="20" t="s">
        <v>35</v>
      </c>
      <c r="T7" s="19" t="s">
        <v>35</v>
      </c>
      <c r="U7" s="21"/>
      <c r="V7" s="21"/>
    </row>
    <row r="8" spans="1:22" ht="43.5" customHeight="1">
      <c r="B8" s="2" t="s">
        <v>2887</v>
      </c>
      <c r="C8" s="2" t="s">
        <v>1143</v>
      </c>
      <c r="D8" s="2" t="s">
        <v>892</v>
      </c>
      <c r="E8" s="2" t="s">
        <v>892</v>
      </c>
      <c r="F8" s="42">
        <v>1</v>
      </c>
      <c r="G8" s="42">
        <v>1</v>
      </c>
      <c r="H8" s="2" t="s">
        <v>714</v>
      </c>
      <c r="I8" s="2" t="s">
        <v>700</v>
      </c>
      <c r="J8" s="2" t="s">
        <v>701</v>
      </c>
      <c r="K8" s="43" t="s">
        <v>702</v>
      </c>
      <c r="L8" s="30">
        <v>115000</v>
      </c>
      <c r="M8" s="43" t="s">
        <v>702</v>
      </c>
      <c r="N8" s="2" t="s">
        <v>799</v>
      </c>
      <c r="O8" s="2" t="s">
        <v>1144</v>
      </c>
      <c r="P8" s="2" t="s">
        <v>1145</v>
      </c>
      <c r="Q8" s="3">
        <v>46207.663194444402</v>
      </c>
      <c r="R8" s="2" t="s">
        <v>799</v>
      </c>
      <c r="S8" s="3">
        <v>46207.663194444402</v>
      </c>
      <c r="T8" s="2" t="s">
        <v>799</v>
      </c>
      <c r="U8" s="34"/>
      <c r="V8" s="1" t="s">
        <v>31</v>
      </c>
    </row>
    <row r="9" spans="1:22" ht="43.5" customHeight="1">
      <c r="B9" s="2" t="s">
        <v>2888</v>
      </c>
      <c r="C9" s="2" t="s">
        <v>1146</v>
      </c>
      <c r="D9" s="2" t="s">
        <v>896</v>
      </c>
      <c r="E9" s="2" t="s">
        <v>896</v>
      </c>
      <c r="F9" s="42">
        <v>1</v>
      </c>
      <c r="G9" s="42">
        <v>1</v>
      </c>
      <c r="H9" s="2" t="s">
        <v>699</v>
      </c>
      <c r="I9" s="2" t="s">
        <v>700</v>
      </c>
      <c r="J9" s="2" t="s">
        <v>701</v>
      </c>
      <c r="K9" s="43" t="s">
        <v>702</v>
      </c>
      <c r="L9" s="30">
        <v>232500</v>
      </c>
      <c r="M9" s="43" t="s">
        <v>702</v>
      </c>
      <c r="N9" s="2" t="s">
        <v>803</v>
      </c>
      <c r="O9" s="2" t="s">
        <v>1144</v>
      </c>
      <c r="P9" s="2" t="s">
        <v>1147</v>
      </c>
      <c r="Q9" s="3">
        <v>46207.383333333302</v>
      </c>
      <c r="R9" s="2" t="s">
        <v>803</v>
      </c>
      <c r="S9" s="3">
        <v>46207.383333333302</v>
      </c>
      <c r="T9" s="2" t="s">
        <v>803</v>
      </c>
      <c r="U9" s="34"/>
      <c r="V9" s="1" t="s">
        <v>31</v>
      </c>
    </row>
    <row r="10" spans="1:22" ht="43.5" customHeight="1">
      <c r="B10" s="2" t="s">
        <v>2889</v>
      </c>
      <c r="C10" s="2" t="s">
        <v>1148</v>
      </c>
      <c r="D10" s="2" t="s">
        <v>900</v>
      </c>
      <c r="E10" s="2" t="s">
        <v>900</v>
      </c>
      <c r="F10" s="42">
        <v>1</v>
      </c>
      <c r="G10" s="42">
        <v>1</v>
      </c>
      <c r="H10" s="2" t="s">
        <v>706</v>
      </c>
      <c r="I10" s="2" t="s">
        <v>623</v>
      </c>
      <c r="J10" s="2" t="s">
        <v>701</v>
      </c>
      <c r="K10" s="43" t="s">
        <v>702</v>
      </c>
      <c r="L10" s="30">
        <v>347500</v>
      </c>
      <c r="M10" s="43" t="s">
        <v>702</v>
      </c>
      <c r="N10" s="2" t="s">
        <v>807</v>
      </c>
      <c r="O10" s="2" t="s">
        <v>1144</v>
      </c>
      <c r="P10" s="2" t="s">
        <v>1149</v>
      </c>
      <c r="Q10" s="3">
        <v>46208.520138888904</v>
      </c>
      <c r="R10" s="2" t="s">
        <v>807</v>
      </c>
      <c r="S10" s="3">
        <v>46208.520138888904</v>
      </c>
      <c r="T10" s="2" t="s">
        <v>807</v>
      </c>
      <c r="U10" s="34"/>
      <c r="V10" s="1" t="s">
        <v>31</v>
      </c>
    </row>
    <row r="11" spans="1:22" ht="43.5" customHeight="1">
      <c r="B11" s="2" t="s">
        <v>2890</v>
      </c>
      <c r="C11" s="2" t="s">
        <v>1150</v>
      </c>
      <c r="D11" s="2" t="s">
        <v>904</v>
      </c>
      <c r="E11" s="2" t="s">
        <v>904</v>
      </c>
      <c r="F11" s="42">
        <v>1</v>
      </c>
      <c r="G11" s="42">
        <v>1</v>
      </c>
      <c r="H11" s="2" t="s">
        <v>710</v>
      </c>
      <c r="I11" s="2" t="s">
        <v>623</v>
      </c>
      <c r="J11" s="2" t="s">
        <v>701</v>
      </c>
      <c r="K11" s="43" t="s">
        <v>702</v>
      </c>
      <c r="L11" s="30">
        <v>336000</v>
      </c>
      <c r="M11" s="43" t="s">
        <v>702</v>
      </c>
      <c r="N11" s="2" t="s">
        <v>811</v>
      </c>
      <c r="O11" s="2" t="s">
        <v>1144</v>
      </c>
      <c r="P11" s="2" t="s">
        <v>1151</v>
      </c>
      <c r="Q11" s="3">
        <v>46208.656944444403</v>
      </c>
      <c r="R11" s="2" t="s">
        <v>811</v>
      </c>
      <c r="S11" s="3">
        <v>46208.656944444403</v>
      </c>
      <c r="T11" s="2" t="s">
        <v>811</v>
      </c>
      <c r="U11" s="34"/>
      <c r="V11" s="1" t="s">
        <v>31</v>
      </c>
    </row>
    <row r="12" spans="1:22" ht="29" customHeight="1">
      <c r="B12" s="2" t="s">
        <v>2891</v>
      </c>
      <c r="C12" s="2" t="s">
        <v>1152</v>
      </c>
      <c r="D12" s="2" t="s">
        <v>908</v>
      </c>
      <c r="E12" s="2" t="s">
        <v>908</v>
      </c>
      <c r="F12" s="42">
        <v>1</v>
      </c>
      <c r="G12" s="42">
        <v>1</v>
      </c>
      <c r="H12" s="2" t="s">
        <v>714</v>
      </c>
      <c r="I12" s="2" t="s">
        <v>700</v>
      </c>
      <c r="J12" s="2" t="s">
        <v>701</v>
      </c>
      <c r="K12" s="43" t="s">
        <v>702</v>
      </c>
      <c r="L12" s="30">
        <v>437500</v>
      </c>
      <c r="M12" s="43" t="s">
        <v>702</v>
      </c>
      <c r="N12" s="2" t="s">
        <v>815</v>
      </c>
      <c r="O12" s="2" t="s">
        <v>1144</v>
      </c>
      <c r="P12" s="2" t="s">
        <v>1153</v>
      </c>
      <c r="Q12" s="3">
        <v>46209.377083333296</v>
      </c>
      <c r="R12" s="2" t="s">
        <v>815</v>
      </c>
      <c r="S12" s="3">
        <v>46209.377083333296</v>
      </c>
      <c r="T12" s="2" t="s">
        <v>815</v>
      </c>
      <c r="U12" s="34"/>
      <c r="V12" s="1" t="s">
        <v>31</v>
      </c>
    </row>
    <row r="13" spans="1:22" ht="43.5" customHeight="1">
      <c r="B13" s="2" t="s">
        <v>2892</v>
      </c>
      <c r="C13" s="2" t="s">
        <v>1154</v>
      </c>
      <c r="D13" s="2" t="s">
        <v>912</v>
      </c>
      <c r="E13" s="2" t="s">
        <v>912</v>
      </c>
      <c r="F13" s="42">
        <v>1</v>
      </c>
      <c r="G13" s="42">
        <v>1</v>
      </c>
      <c r="H13" s="2" t="s">
        <v>699</v>
      </c>
      <c r="I13" s="2" t="s">
        <v>700</v>
      </c>
      <c r="J13" s="2" t="s">
        <v>701</v>
      </c>
      <c r="K13" s="43" t="s">
        <v>702</v>
      </c>
      <c r="L13" s="30">
        <v>290000</v>
      </c>
      <c r="M13" s="43" t="s">
        <v>702</v>
      </c>
      <c r="N13" s="2" t="s">
        <v>86</v>
      </c>
      <c r="O13" s="2" t="s">
        <v>1144</v>
      </c>
      <c r="P13" s="2" t="s">
        <v>1155</v>
      </c>
      <c r="Q13" s="3">
        <v>46209.513888888898</v>
      </c>
      <c r="R13" s="2" t="s">
        <v>86</v>
      </c>
      <c r="S13" s="3">
        <v>46209.513888888898</v>
      </c>
      <c r="T13" s="2" t="s">
        <v>86</v>
      </c>
      <c r="U13" s="34"/>
      <c r="V13" s="1" t="s">
        <v>31</v>
      </c>
    </row>
    <row r="14" spans="1:22" ht="43.5" customHeight="1">
      <c r="B14" s="2" t="s">
        <v>2893</v>
      </c>
      <c r="C14" s="2" t="s">
        <v>1156</v>
      </c>
      <c r="D14" s="2" t="s">
        <v>916</v>
      </c>
      <c r="E14" s="2" t="s">
        <v>916</v>
      </c>
      <c r="F14" s="42">
        <v>1</v>
      </c>
      <c r="G14" s="42">
        <v>1</v>
      </c>
      <c r="H14" s="2" t="s">
        <v>706</v>
      </c>
      <c r="I14" s="2" t="s">
        <v>623</v>
      </c>
      <c r="J14" s="2" t="s">
        <v>701</v>
      </c>
      <c r="K14" s="43" t="s">
        <v>702</v>
      </c>
      <c r="L14" s="30">
        <v>232000</v>
      </c>
      <c r="M14" s="43" t="s">
        <v>702</v>
      </c>
      <c r="N14" s="2" t="s">
        <v>822</v>
      </c>
      <c r="O14" s="2" t="s">
        <v>1144</v>
      </c>
      <c r="P14" s="2" t="s">
        <v>1157</v>
      </c>
      <c r="Q14" s="3">
        <v>46210.650694444397</v>
      </c>
      <c r="R14" s="2" t="s">
        <v>822</v>
      </c>
      <c r="S14" s="3">
        <v>46210.650694444397</v>
      </c>
      <c r="T14" s="2" t="s">
        <v>822</v>
      </c>
      <c r="U14" s="34"/>
      <c r="V14" s="1" t="s">
        <v>31</v>
      </c>
    </row>
    <row r="15" spans="1:22" ht="43.5" customHeight="1">
      <c r="B15" s="2" t="s">
        <v>2894</v>
      </c>
      <c r="C15" s="2" t="s">
        <v>1158</v>
      </c>
      <c r="D15" s="2" t="s">
        <v>920</v>
      </c>
      <c r="E15" s="2" t="s">
        <v>920</v>
      </c>
      <c r="F15" s="42">
        <v>1</v>
      </c>
      <c r="G15" s="42">
        <v>1</v>
      </c>
      <c r="H15" s="2" t="s">
        <v>710</v>
      </c>
      <c r="I15" s="2" t="s">
        <v>623</v>
      </c>
      <c r="J15" s="2" t="s">
        <v>701</v>
      </c>
      <c r="K15" s="43" t="s">
        <v>702</v>
      </c>
      <c r="L15" s="30">
        <v>342500</v>
      </c>
      <c r="M15" s="43" t="s">
        <v>702</v>
      </c>
      <c r="N15" s="2" t="s">
        <v>826</v>
      </c>
      <c r="O15" s="2" t="s">
        <v>1144</v>
      </c>
      <c r="P15" s="2" t="s">
        <v>1159</v>
      </c>
      <c r="Q15" s="3">
        <v>46210.412499999999</v>
      </c>
      <c r="R15" s="2" t="s">
        <v>826</v>
      </c>
      <c r="S15" s="3">
        <v>46210.412499999999</v>
      </c>
      <c r="T15" s="2" t="s">
        <v>826</v>
      </c>
      <c r="U15" s="34"/>
      <c r="V15" s="1" t="s">
        <v>31</v>
      </c>
    </row>
    <row r="16" spans="1:22" ht="43.5" customHeight="1">
      <c r="B16" s="2" t="s">
        <v>2895</v>
      </c>
      <c r="C16" s="2" t="s">
        <v>1160</v>
      </c>
      <c r="D16" s="2" t="s">
        <v>923</v>
      </c>
      <c r="E16" s="2" t="s">
        <v>923</v>
      </c>
      <c r="F16" s="42">
        <v>1</v>
      </c>
      <c r="G16" s="42">
        <v>1</v>
      </c>
      <c r="H16" s="2" t="s">
        <v>714</v>
      </c>
      <c r="I16" s="2" t="s">
        <v>700</v>
      </c>
      <c r="J16" s="2" t="s">
        <v>701</v>
      </c>
      <c r="K16" s="43" t="s">
        <v>702</v>
      </c>
      <c r="L16" s="30">
        <v>311000</v>
      </c>
      <c r="M16" s="43" t="s">
        <v>702</v>
      </c>
      <c r="N16" s="2" t="s">
        <v>830</v>
      </c>
      <c r="O16" s="2" t="s">
        <v>1144</v>
      </c>
      <c r="P16" s="2" t="s">
        <v>1161</v>
      </c>
      <c r="Q16" s="3">
        <v>46211.507638888899</v>
      </c>
      <c r="R16" s="2" t="s">
        <v>830</v>
      </c>
      <c r="S16" s="3">
        <v>46211.507638888899</v>
      </c>
      <c r="T16" s="2" t="s">
        <v>830</v>
      </c>
      <c r="U16" s="34"/>
      <c r="V16" s="1" t="s">
        <v>31</v>
      </c>
    </row>
    <row r="17" spans="2:22" ht="43.5" customHeight="1">
      <c r="B17" s="2" t="s">
        <v>2896</v>
      </c>
      <c r="C17" s="2" t="s">
        <v>1162</v>
      </c>
      <c r="D17" s="2" t="s">
        <v>926</v>
      </c>
      <c r="E17" s="2" t="s">
        <v>926</v>
      </c>
      <c r="F17" s="42">
        <v>1</v>
      </c>
      <c r="G17" s="42">
        <v>1</v>
      </c>
      <c r="H17" s="2" t="s">
        <v>699</v>
      </c>
      <c r="I17" s="2" t="s">
        <v>700</v>
      </c>
      <c r="J17" s="2" t="s">
        <v>701</v>
      </c>
      <c r="K17" s="43" t="s">
        <v>702</v>
      </c>
      <c r="L17" s="30">
        <v>267500</v>
      </c>
      <c r="M17" s="43" t="s">
        <v>702</v>
      </c>
      <c r="N17" s="2" t="s">
        <v>834</v>
      </c>
      <c r="O17" s="2" t="s">
        <v>1144</v>
      </c>
      <c r="P17" s="2" t="s">
        <v>1163</v>
      </c>
      <c r="Q17" s="3">
        <v>46211.644444444399</v>
      </c>
      <c r="R17" s="2" t="s">
        <v>834</v>
      </c>
      <c r="S17" s="3">
        <v>46211.644444444399</v>
      </c>
      <c r="T17" s="2" t="s">
        <v>834</v>
      </c>
      <c r="U17" s="34"/>
      <c r="V17" s="1" t="s">
        <v>31</v>
      </c>
    </row>
    <row r="18" spans="2:22" ht="43.5" customHeight="1">
      <c r="B18" s="2" t="s">
        <v>2897</v>
      </c>
      <c r="C18" s="2" t="s">
        <v>1164</v>
      </c>
      <c r="D18" s="2" t="s">
        <v>929</v>
      </c>
      <c r="E18" s="2" t="s">
        <v>929</v>
      </c>
      <c r="F18" s="42">
        <v>1</v>
      </c>
      <c r="G18" s="42">
        <v>1</v>
      </c>
      <c r="H18" s="2" t="s">
        <v>706</v>
      </c>
      <c r="I18" s="2" t="s">
        <v>623</v>
      </c>
      <c r="J18" s="2" t="s">
        <v>701</v>
      </c>
      <c r="K18" s="43" t="s">
        <v>702</v>
      </c>
      <c r="L18" s="30">
        <v>330000</v>
      </c>
      <c r="M18" s="43" t="s">
        <v>702</v>
      </c>
      <c r="N18" s="2" t="s">
        <v>838</v>
      </c>
      <c r="O18" s="2" t="s">
        <v>1144</v>
      </c>
      <c r="P18" s="2" t="s">
        <v>1165</v>
      </c>
      <c r="Q18" s="3">
        <v>46212.40625</v>
      </c>
      <c r="R18" s="2" t="s">
        <v>838</v>
      </c>
      <c r="S18" s="3">
        <v>46212.40625</v>
      </c>
      <c r="T18" s="2" t="s">
        <v>838</v>
      </c>
      <c r="U18" s="34"/>
      <c r="V18" s="1" t="s">
        <v>31</v>
      </c>
    </row>
    <row r="19" spans="2:22" ht="29" customHeight="1">
      <c r="B19" s="2" t="s">
        <v>2898</v>
      </c>
      <c r="C19" s="2" t="s">
        <v>1166</v>
      </c>
      <c r="D19" s="2" t="s">
        <v>932</v>
      </c>
      <c r="E19" s="2" t="s">
        <v>932</v>
      </c>
      <c r="F19" s="42">
        <v>1</v>
      </c>
      <c r="G19" s="42">
        <v>1</v>
      </c>
      <c r="H19" s="2" t="s">
        <v>710</v>
      </c>
      <c r="I19" s="2" t="s">
        <v>623</v>
      </c>
      <c r="J19" s="2" t="s">
        <v>701</v>
      </c>
      <c r="K19" s="43" t="s">
        <v>702</v>
      </c>
      <c r="L19" s="30">
        <v>177000</v>
      </c>
      <c r="M19" s="43" t="s">
        <v>702</v>
      </c>
      <c r="N19" s="2" t="s">
        <v>842</v>
      </c>
      <c r="O19" s="2" t="s">
        <v>1144</v>
      </c>
      <c r="P19" s="2" t="s">
        <v>1167</v>
      </c>
      <c r="Q19" s="3">
        <v>46212.501388888901</v>
      </c>
      <c r="R19" s="2" t="s">
        <v>842</v>
      </c>
      <c r="S19" s="3">
        <v>46212.501388888901</v>
      </c>
      <c r="T19" s="2" t="s">
        <v>842</v>
      </c>
      <c r="U19" s="34"/>
      <c r="V19" s="1" t="s">
        <v>31</v>
      </c>
    </row>
    <row r="20" spans="2:22" ht="43.5" customHeight="1">
      <c r="B20" s="2" t="s">
        <v>2899</v>
      </c>
      <c r="C20" s="2" t="s">
        <v>1168</v>
      </c>
      <c r="D20" s="2" t="s">
        <v>935</v>
      </c>
      <c r="E20" s="2" t="s">
        <v>935</v>
      </c>
      <c r="F20" s="42">
        <v>1</v>
      </c>
      <c r="G20" s="42">
        <v>1</v>
      </c>
      <c r="H20" s="2" t="s">
        <v>714</v>
      </c>
      <c r="I20" s="2" t="s">
        <v>700</v>
      </c>
      <c r="J20" s="2" t="s">
        <v>701</v>
      </c>
      <c r="K20" s="43" t="s">
        <v>702</v>
      </c>
      <c r="L20" s="30">
        <v>254000</v>
      </c>
      <c r="M20" s="43" t="s">
        <v>702</v>
      </c>
      <c r="N20" s="2" t="s">
        <v>846</v>
      </c>
      <c r="O20" s="2" t="s">
        <v>1144</v>
      </c>
      <c r="P20" s="2" t="s">
        <v>1169</v>
      </c>
      <c r="Q20" s="3">
        <v>46212.6381944444</v>
      </c>
      <c r="R20" s="2" t="s">
        <v>846</v>
      </c>
      <c r="S20" s="3">
        <v>46212.6381944444</v>
      </c>
      <c r="T20" s="2" t="s">
        <v>846</v>
      </c>
      <c r="U20" s="34"/>
      <c r="V20" s="1" t="s">
        <v>31</v>
      </c>
    </row>
    <row r="21" spans="2:22" ht="43.5" customHeight="1">
      <c r="B21" s="2" t="s">
        <v>2900</v>
      </c>
      <c r="C21" s="2" t="s">
        <v>1170</v>
      </c>
      <c r="D21" s="2" t="s">
        <v>938</v>
      </c>
      <c r="E21" s="2" t="s">
        <v>938</v>
      </c>
      <c r="F21" s="42">
        <v>1</v>
      </c>
      <c r="G21" s="42">
        <v>1</v>
      </c>
      <c r="H21" s="2" t="s">
        <v>699</v>
      </c>
      <c r="I21" s="2" t="s">
        <v>700</v>
      </c>
      <c r="J21" s="2" t="s">
        <v>701</v>
      </c>
      <c r="K21" s="43" t="s">
        <v>702</v>
      </c>
      <c r="L21" s="30">
        <v>262500</v>
      </c>
      <c r="M21" s="43" t="s">
        <v>702</v>
      </c>
      <c r="N21" s="2" t="s">
        <v>850</v>
      </c>
      <c r="O21" s="2" t="s">
        <v>1144</v>
      </c>
      <c r="P21" s="2" t="s">
        <v>1171</v>
      </c>
      <c r="Q21" s="3">
        <v>46213.4</v>
      </c>
      <c r="R21" s="2" t="s">
        <v>850</v>
      </c>
      <c r="S21" s="3">
        <v>46213.4</v>
      </c>
      <c r="T21" s="2" t="s">
        <v>850</v>
      </c>
      <c r="U21" s="34"/>
      <c r="V21" s="1" t="s">
        <v>31</v>
      </c>
    </row>
    <row r="22" spans="2:22" ht="43.5" customHeight="1">
      <c r="B22" s="2" t="s">
        <v>2901</v>
      </c>
      <c r="C22" s="2" t="s">
        <v>1172</v>
      </c>
      <c r="D22" s="2" t="s">
        <v>941</v>
      </c>
      <c r="E22" s="2" t="s">
        <v>941</v>
      </c>
      <c r="F22" s="42">
        <v>1</v>
      </c>
      <c r="G22" s="42">
        <v>1</v>
      </c>
      <c r="H22" s="2" t="s">
        <v>706</v>
      </c>
      <c r="I22" s="2" t="s">
        <v>623</v>
      </c>
      <c r="J22" s="2" t="s">
        <v>701</v>
      </c>
      <c r="K22" s="43" t="s">
        <v>702</v>
      </c>
      <c r="L22" s="30">
        <v>307500</v>
      </c>
      <c r="M22" s="43" t="s">
        <v>702</v>
      </c>
      <c r="N22" s="2" t="s">
        <v>854</v>
      </c>
      <c r="O22" s="2" t="s">
        <v>1144</v>
      </c>
      <c r="P22" s="2" t="s">
        <v>1173</v>
      </c>
      <c r="Q22" s="3">
        <v>46213.536805555603</v>
      </c>
      <c r="R22" s="2" t="s">
        <v>854</v>
      </c>
      <c r="S22" s="3">
        <v>46213.536805555603</v>
      </c>
      <c r="T22" s="2" t="s">
        <v>854</v>
      </c>
      <c r="U22" s="34"/>
      <c r="V22" s="1" t="s">
        <v>31</v>
      </c>
    </row>
    <row r="23" spans="2:22" ht="29" customHeight="1">
      <c r="B23" s="2" t="s">
        <v>2902</v>
      </c>
      <c r="C23" s="2" t="s">
        <v>1174</v>
      </c>
      <c r="D23" s="2" t="s">
        <v>944</v>
      </c>
      <c r="E23" s="2" t="s">
        <v>944</v>
      </c>
      <c r="F23" s="42">
        <v>1</v>
      </c>
      <c r="G23" s="42">
        <v>1</v>
      </c>
      <c r="H23" s="2" t="s">
        <v>710</v>
      </c>
      <c r="I23" s="2" t="s">
        <v>623</v>
      </c>
      <c r="J23" s="2" t="s">
        <v>701</v>
      </c>
      <c r="K23" s="43" t="s">
        <v>702</v>
      </c>
      <c r="L23" s="30">
        <v>405000</v>
      </c>
      <c r="M23" s="43" t="s">
        <v>702</v>
      </c>
      <c r="N23" s="2" t="s">
        <v>858</v>
      </c>
      <c r="O23" s="2" t="s">
        <v>1144</v>
      </c>
      <c r="P23" s="2" t="s">
        <v>1175</v>
      </c>
      <c r="Q23" s="3">
        <v>46214.631944444402</v>
      </c>
      <c r="R23" s="2" t="s">
        <v>858</v>
      </c>
      <c r="S23" s="3">
        <v>46214.631944444402</v>
      </c>
      <c r="T23" s="2" t="s">
        <v>858</v>
      </c>
      <c r="U23" s="34"/>
      <c r="V23" s="1" t="s">
        <v>31</v>
      </c>
    </row>
    <row r="24" spans="2:22" ht="43.5" customHeight="1">
      <c r="B24" s="2" t="s">
        <v>2903</v>
      </c>
      <c r="C24" s="2" t="s">
        <v>1176</v>
      </c>
      <c r="D24" s="2" t="s">
        <v>947</v>
      </c>
      <c r="E24" s="2" t="s">
        <v>947</v>
      </c>
      <c r="F24" s="42">
        <v>1</v>
      </c>
      <c r="G24" s="42">
        <v>1</v>
      </c>
      <c r="H24" s="2" t="s">
        <v>714</v>
      </c>
      <c r="I24" s="2" t="s">
        <v>700</v>
      </c>
      <c r="J24" s="2" t="s">
        <v>701</v>
      </c>
      <c r="K24" s="43" t="s">
        <v>702</v>
      </c>
      <c r="L24" s="30">
        <v>188000</v>
      </c>
      <c r="M24" s="43" t="s">
        <v>702</v>
      </c>
      <c r="N24" s="2" t="s">
        <v>862</v>
      </c>
      <c r="O24" s="2" t="s">
        <v>1144</v>
      </c>
      <c r="P24" s="2" t="s">
        <v>1177</v>
      </c>
      <c r="Q24" s="3">
        <v>46214.393750000003</v>
      </c>
      <c r="R24" s="2" t="s">
        <v>862</v>
      </c>
      <c r="S24" s="3">
        <v>46214.393750000003</v>
      </c>
      <c r="T24" s="2" t="s">
        <v>862</v>
      </c>
      <c r="U24" s="34"/>
      <c r="V24" s="1" t="s">
        <v>31</v>
      </c>
    </row>
    <row r="25" spans="2:22" ht="43.5" customHeight="1">
      <c r="B25" s="2" t="s">
        <v>2904</v>
      </c>
      <c r="C25" s="2" t="s">
        <v>1178</v>
      </c>
      <c r="D25" s="2" t="s">
        <v>950</v>
      </c>
      <c r="E25" s="2" t="s">
        <v>950</v>
      </c>
      <c r="F25" s="42">
        <v>1</v>
      </c>
      <c r="G25" s="42">
        <v>1</v>
      </c>
      <c r="H25" s="2" t="s">
        <v>699</v>
      </c>
      <c r="I25" s="2" t="s">
        <v>700</v>
      </c>
      <c r="J25" s="2" t="s">
        <v>701</v>
      </c>
      <c r="K25" s="43" t="s">
        <v>702</v>
      </c>
      <c r="L25" s="30">
        <v>293000</v>
      </c>
      <c r="M25" s="43" t="s">
        <v>702</v>
      </c>
      <c r="N25" s="2" t="s">
        <v>97</v>
      </c>
      <c r="O25" s="2" t="s">
        <v>1144</v>
      </c>
      <c r="P25" s="2" t="s">
        <v>1179</v>
      </c>
      <c r="Q25" s="3">
        <v>46215.530555555597</v>
      </c>
      <c r="R25" s="2" t="s">
        <v>97</v>
      </c>
      <c r="S25" s="3">
        <v>46215.530555555597</v>
      </c>
      <c r="T25" s="2" t="s">
        <v>97</v>
      </c>
      <c r="U25" s="34"/>
      <c r="V25" s="1" t="s">
        <v>31</v>
      </c>
    </row>
    <row r="26" spans="2:22" ht="43.5" customHeight="1">
      <c r="B26" s="2" t="s">
        <v>2905</v>
      </c>
      <c r="C26" s="2" t="s">
        <v>1180</v>
      </c>
      <c r="D26" s="2" t="s">
        <v>953</v>
      </c>
      <c r="E26" s="2" t="s">
        <v>953</v>
      </c>
      <c r="F26" s="42">
        <v>1</v>
      </c>
      <c r="G26" s="42">
        <v>1</v>
      </c>
      <c r="H26" s="2" t="s">
        <v>706</v>
      </c>
      <c r="I26" s="2" t="s">
        <v>623</v>
      </c>
      <c r="J26" s="2" t="s">
        <v>701</v>
      </c>
      <c r="K26" s="43" t="s">
        <v>702</v>
      </c>
      <c r="L26" s="30">
        <v>440000</v>
      </c>
      <c r="M26" s="43" t="s">
        <v>702</v>
      </c>
      <c r="N26" s="2" t="s">
        <v>869</v>
      </c>
      <c r="O26" s="2" t="s">
        <v>1144</v>
      </c>
      <c r="P26" s="2" t="s">
        <v>1181</v>
      </c>
      <c r="Q26" s="3">
        <v>46215.625694444403</v>
      </c>
      <c r="R26" s="2" t="s">
        <v>869</v>
      </c>
      <c r="S26" s="3">
        <v>46215.625694444403</v>
      </c>
      <c r="T26" s="2" t="s">
        <v>869</v>
      </c>
      <c r="U26" s="34"/>
      <c r="V26" s="1" t="s">
        <v>31</v>
      </c>
    </row>
    <row r="27" spans="2:22" ht="43.5" customHeight="1">
      <c r="B27" s="2" t="s">
        <v>2906</v>
      </c>
      <c r="C27" s="2" t="s">
        <v>1182</v>
      </c>
      <c r="D27" s="2" t="s">
        <v>956</v>
      </c>
      <c r="E27" s="2" t="s">
        <v>956</v>
      </c>
      <c r="F27" s="42">
        <v>1</v>
      </c>
      <c r="G27" s="42">
        <v>1</v>
      </c>
      <c r="H27" s="2" t="s">
        <v>710</v>
      </c>
      <c r="I27" s="2" t="s">
        <v>623</v>
      </c>
      <c r="J27" s="2" t="s">
        <v>701</v>
      </c>
      <c r="K27" s="43" t="s">
        <v>702</v>
      </c>
      <c r="L27" s="30">
        <v>237500</v>
      </c>
      <c r="M27" s="43" t="s">
        <v>702</v>
      </c>
      <c r="N27" s="2" t="s">
        <v>873</v>
      </c>
      <c r="O27" s="2" t="s">
        <v>1144</v>
      </c>
      <c r="P27" s="2" t="s">
        <v>1183</v>
      </c>
      <c r="Q27" s="3">
        <v>46216.387499999997</v>
      </c>
      <c r="R27" s="2" t="s">
        <v>873</v>
      </c>
      <c r="S27" s="3">
        <v>46216.387499999997</v>
      </c>
      <c r="T27" s="2" t="s">
        <v>873</v>
      </c>
      <c r="U27" s="34"/>
      <c r="V27" s="1" t="s">
        <v>31</v>
      </c>
    </row>
    <row r="28" spans="2:22" ht="43.5" customHeight="1">
      <c r="B28" s="2" t="s">
        <v>2907</v>
      </c>
      <c r="C28" s="2" t="s">
        <v>1184</v>
      </c>
      <c r="D28" s="2" t="s">
        <v>959</v>
      </c>
      <c r="E28" s="2" t="s">
        <v>959</v>
      </c>
      <c r="F28" s="42">
        <v>1</v>
      </c>
      <c r="G28" s="42">
        <v>1</v>
      </c>
      <c r="H28" s="2" t="s">
        <v>714</v>
      </c>
      <c r="I28" s="2" t="s">
        <v>700</v>
      </c>
      <c r="J28" s="2" t="s">
        <v>701</v>
      </c>
      <c r="K28" s="43" t="s">
        <v>702</v>
      </c>
      <c r="L28" s="30">
        <v>340000</v>
      </c>
      <c r="M28" s="43" t="s">
        <v>702</v>
      </c>
      <c r="N28" s="2" t="s">
        <v>877</v>
      </c>
      <c r="O28" s="2" t="s">
        <v>1144</v>
      </c>
      <c r="P28" s="2" t="s">
        <v>1185</v>
      </c>
      <c r="Q28" s="3">
        <v>46216.524305555598</v>
      </c>
      <c r="R28" s="2" t="s">
        <v>877</v>
      </c>
      <c r="S28" s="3">
        <v>46216.524305555598</v>
      </c>
      <c r="T28" s="2" t="s">
        <v>877</v>
      </c>
      <c r="U28" s="34"/>
      <c r="V28" s="1" t="s">
        <v>31</v>
      </c>
    </row>
    <row r="29" spans="2:22" ht="43.5" customHeight="1">
      <c r="B29" s="2" t="s">
        <v>2908</v>
      </c>
      <c r="C29" s="2" t="s">
        <v>1186</v>
      </c>
      <c r="D29" s="2" t="s">
        <v>962</v>
      </c>
      <c r="E29" s="2" t="s">
        <v>962</v>
      </c>
      <c r="F29" s="42">
        <v>1</v>
      </c>
      <c r="G29" s="42">
        <v>1</v>
      </c>
      <c r="H29" s="2" t="s">
        <v>699</v>
      </c>
      <c r="I29" s="2" t="s">
        <v>700</v>
      </c>
      <c r="J29" s="2" t="s">
        <v>701</v>
      </c>
      <c r="K29" s="43" t="s">
        <v>702</v>
      </c>
      <c r="L29" s="30">
        <v>148000</v>
      </c>
      <c r="M29" s="43" t="s">
        <v>702</v>
      </c>
      <c r="N29" s="2" t="s">
        <v>881</v>
      </c>
      <c r="O29" s="2" t="s">
        <v>1144</v>
      </c>
      <c r="P29" s="2" t="s">
        <v>1187</v>
      </c>
      <c r="Q29" s="3">
        <v>46217.661111111098</v>
      </c>
      <c r="R29" s="2" t="s">
        <v>881</v>
      </c>
      <c r="S29" s="3">
        <v>46217.661111111098</v>
      </c>
      <c r="T29" s="2" t="s">
        <v>881</v>
      </c>
      <c r="U29" s="34"/>
      <c r="V29" s="1" t="s">
        <v>31</v>
      </c>
    </row>
    <row r="30" spans="2:22" ht="43.5" customHeight="1">
      <c r="B30" s="2" t="s">
        <v>2909</v>
      </c>
      <c r="C30" s="2" t="s">
        <v>1188</v>
      </c>
      <c r="D30" s="2" t="s">
        <v>965</v>
      </c>
      <c r="E30" s="2" t="s">
        <v>965</v>
      </c>
      <c r="F30" s="42">
        <v>1</v>
      </c>
      <c r="G30" s="42">
        <v>1</v>
      </c>
      <c r="H30" s="2" t="s">
        <v>706</v>
      </c>
      <c r="I30" s="2" t="s">
        <v>623</v>
      </c>
      <c r="J30" s="2" t="s">
        <v>701</v>
      </c>
      <c r="K30" s="43" t="s">
        <v>702</v>
      </c>
      <c r="L30" s="30">
        <v>290000</v>
      </c>
      <c r="M30" s="43" t="s">
        <v>702</v>
      </c>
      <c r="N30" s="2" t="s">
        <v>885</v>
      </c>
      <c r="O30" s="2" t="s">
        <v>1144</v>
      </c>
      <c r="P30" s="2" t="s">
        <v>1189</v>
      </c>
      <c r="Q30" s="3">
        <v>46217.381249999999</v>
      </c>
      <c r="R30" s="2" t="s">
        <v>885</v>
      </c>
      <c r="S30" s="3">
        <v>46217.381249999999</v>
      </c>
      <c r="T30" s="2" t="s">
        <v>885</v>
      </c>
      <c r="U30" s="34"/>
      <c r="V30" s="1" t="s">
        <v>31</v>
      </c>
    </row>
    <row r="31" spans="2:22" ht="43.5" customHeight="1">
      <c r="B31" s="2" t="s">
        <v>2910</v>
      </c>
      <c r="C31" s="2" t="s">
        <v>1190</v>
      </c>
      <c r="D31" s="2" t="s">
        <v>968</v>
      </c>
      <c r="E31" s="2" t="s">
        <v>968</v>
      </c>
      <c r="F31" s="42">
        <v>1</v>
      </c>
      <c r="G31" s="42">
        <v>1</v>
      </c>
      <c r="H31" s="2" t="s">
        <v>710</v>
      </c>
      <c r="I31" s="2" t="s">
        <v>623</v>
      </c>
      <c r="J31" s="2" t="s">
        <v>701</v>
      </c>
      <c r="K31" s="43" t="s">
        <v>702</v>
      </c>
      <c r="L31" s="30">
        <v>377500</v>
      </c>
      <c r="M31" s="43" t="s">
        <v>702</v>
      </c>
      <c r="N31" s="2" t="s">
        <v>889</v>
      </c>
      <c r="O31" s="2" t="s">
        <v>1144</v>
      </c>
      <c r="P31" s="2" t="s">
        <v>1191</v>
      </c>
      <c r="Q31" s="3">
        <v>46217.5180555556</v>
      </c>
      <c r="R31" s="2" t="s">
        <v>889</v>
      </c>
      <c r="S31" s="3">
        <v>46217.5180555556</v>
      </c>
      <c r="T31" s="2" t="s">
        <v>889</v>
      </c>
      <c r="U31" s="34"/>
      <c r="V31" s="1" t="s">
        <v>31</v>
      </c>
    </row>
    <row r="32" spans="2:22" ht="43.5" customHeight="1">
      <c r="B32" s="2" t="s">
        <v>2911</v>
      </c>
      <c r="C32" s="2" t="s">
        <v>1192</v>
      </c>
      <c r="D32" s="2" t="s">
        <v>971</v>
      </c>
      <c r="E32" s="2" t="s">
        <v>971</v>
      </c>
      <c r="F32" s="42">
        <v>1</v>
      </c>
      <c r="G32" s="42">
        <v>1</v>
      </c>
      <c r="H32" s="2" t="s">
        <v>714</v>
      </c>
      <c r="I32" s="2" t="s">
        <v>700</v>
      </c>
      <c r="J32" s="2" t="s">
        <v>701</v>
      </c>
      <c r="K32" s="43" t="s">
        <v>702</v>
      </c>
      <c r="L32" s="30">
        <v>185000</v>
      </c>
      <c r="M32" s="43" t="s">
        <v>702</v>
      </c>
      <c r="N32" s="2" t="s">
        <v>893</v>
      </c>
      <c r="O32" s="2" t="s">
        <v>1144</v>
      </c>
      <c r="P32" s="2" t="s">
        <v>1193</v>
      </c>
      <c r="Q32" s="3">
        <v>46218.654861111099</v>
      </c>
      <c r="R32" s="2" t="s">
        <v>893</v>
      </c>
      <c r="S32" s="3">
        <v>46218.654861111099</v>
      </c>
      <c r="T32" s="2" t="s">
        <v>893</v>
      </c>
      <c r="U32" s="34"/>
      <c r="V32" s="1" t="s">
        <v>31</v>
      </c>
    </row>
    <row r="33" spans="2:22" ht="43.5" customHeight="1">
      <c r="B33" s="2" t="s">
        <v>2912</v>
      </c>
      <c r="C33" s="2" t="s">
        <v>1194</v>
      </c>
      <c r="D33" s="2" t="s">
        <v>974</v>
      </c>
      <c r="E33" s="2" t="s">
        <v>974</v>
      </c>
      <c r="F33" s="42">
        <v>1</v>
      </c>
      <c r="G33" s="42">
        <v>1</v>
      </c>
      <c r="H33" s="2" t="s">
        <v>699</v>
      </c>
      <c r="I33" s="2" t="s">
        <v>700</v>
      </c>
      <c r="J33" s="2" t="s">
        <v>701</v>
      </c>
      <c r="K33" s="43" t="s">
        <v>702</v>
      </c>
      <c r="L33" s="30">
        <v>285000</v>
      </c>
      <c r="M33" s="43" t="s">
        <v>702</v>
      </c>
      <c r="N33" s="2" t="s">
        <v>897</v>
      </c>
      <c r="O33" s="2" t="s">
        <v>1144</v>
      </c>
      <c r="P33" s="2" t="s">
        <v>1195</v>
      </c>
      <c r="Q33" s="3">
        <v>46218.375</v>
      </c>
      <c r="R33" s="2" t="s">
        <v>897</v>
      </c>
      <c r="S33" s="3">
        <v>46218.375</v>
      </c>
      <c r="T33" s="2" t="s">
        <v>897</v>
      </c>
      <c r="U33" s="34"/>
      <c r="V33" s="1" t="s">
        <v>31</v>
      </c>
    </row>
    <row r="34" spans="2:22" ht="43.5" customHeight="1">
      <c r="B34" s="2" t="s">
        <v>2913</v>
      </c>
      <c r="C34" s="2" t="s">
        <v>1196</v>
      </c>
      <c r="D34" s="2" t="s">
        <v>977</v>
      </c>
      <c r="E34" s="2" t="s">
        <v>977</v>
      </c>
      <c r="F34" s="42">
        <v>1</v>
      </c>
      <c r="G34" s="42">
        <v>1</v>
      </c>
      <c r="H34" s="2" t="s">
        <v>706</v>
      </c>
      <c r="I34" s="2" t="s">
        <v>623</v>
      </c>
      <c r="J34" s="2" t="s">
        <v>701</v>
      </c>
      <c r="K34" s="43" t="s">
        <v>702</v>
      </c>
      <c r="L34" s="30">
        <v>184000</v>
      </c>
      <c r="M34" s="43" t="s">
        <v>702</v>
      </c>
      <c r="N34" s="2" t="s">
        <v>901</v>
      </c>
      <c r="O34" s="2" t="s">
        <v>1144</v>
      </c>
      <c r="P34" s="2" t="s">
        <v>1197</v>
      </c>
      <c r="Q34" s="3">
        <v>46219.511805555601</v>
      </c>
      <c r="R34" s="2" t="s">
        <v>901</v>
      </c>
      <c r="S34" s="3">
        <v>46219.511805555601</v>
      </c>
      <c r="T34" s="2" t="s">
        <v>901</v>
      </c>
      <c r="U34" s="34"/>
      <c r="V34" s="1" t="s">
        <v>31</v>
      </c>
    </row>
    <row r="35" spans="2:22" ht="43.5" customHeight="1">
      <c r="B35" s="2" t="s">
        <v>2914</v>
      </c>
      <c r="C35" s="2" t="s">
        <v>1198</v>
      </c>
      <c r="D35" s="2" t="s">
        <v>980</v>
      </c>
      <c r="E35" s="2" t="s">
        <v>980</v>
      </c>
      <c r="F35" s="42">
        <v>1</v>
      </c>
      <c r="G35" s="42">
        <v>1</v>
      </c>
      <c r="H35" s="2" t="s">
        <v>710</v>
      </c>
      <c r="I35" s="2" t="s">
        <v>623</v>
      </c>
      <c r="J35" s="2" t="s">
        <v>701</v>
      </c>
      <c r="K35" s="43" t="s">
        <v>702</v>
      </c>
      <c r="L35" s="30">
        <v>289000</v>
      </c>
      <c r="M35" s="43" t="s">
        <v>702</v>
      </c>
      <c r="N35" s="2" t="s">
        <v>905</v>
      </c>
      <c r="O35" s="2" t="s">
        <v>1144</v>
      </c>
      <c r="P35" s="2" t="s">
        <v>1199</v>
      </c>
      <c r="Q35" s="3">
        <v>46219.648611111101</v>
      </c>
      <c r="R35" s="2" t="s">
        <v>905</v>
      </c>
      <c r="S35" s="3">
        <v>46219.648611111101</v>
      </c>
      <c r="T35" s="2" t="s">
        <v>905</v>
      </c>
      <c r="U35" s="34"/>
      <c r="V35" s="1" t="s">
        <v>31</v>
      </c>
    </row>
    <row r="36" spans="2:22" ht="43.5" customHeight="1">
      <c r="B36" s="2" t="s">
        <v>2915</v>
      </c>
      <c r="C36" s="2" t="s">
        <v>1200</v>
      </c>
      <c r="D36" s="2" t="s">
        <v>983</v>
      </c>
      <c r="E36" s="2" t="s">
        <v>983</v>
      </c>
      <c r="F36" s="42">
        <v>1</v>
      </c>
      <c r="G36" s="42">
        <v>1</v>
      </c>
      <c r="H36" s="2" t="s">
        <v>714</v>
      </c>
      <c r="I36" s="2" t="s">
        <v>700</v>
      </c>
      <c r="J36" s="2" t="s">
        <v>701</v>
      </c>
      <c r="K36" s="43" t="s">
        <v>702</v>
      </c>
      <c r="L36" s="30">
        <v>470000</v>
      </c>
      <c r="M36" s="43" t="s">
        <v>702</v>
      </c>
      <c r="N36" s="2" t="s">
        <v>909</v>
      </c>
      <c r="O36" s="2" t="s">
        <v>1144</v>
      </c>
      <c r="P36" s="2" t="s">
        <v>1201</v>
      </c>
      <c r="Q36" s="3">
        <v>46220.410416666702</v>
      </c>
      <c r="R36" s="2" t="s">
        <v>909</v>
      </c>
      <c r="S36" s="3">
        <v>46220.410416666702</v>
      </c>
      <c r="T36" s="2" t="s">
        <v>909</v>
      </c>
      <c r="U36" s="34"/>
      <c r="V36" s="1" t="s">
        <v>31</v>
      </c>
    </row>
    <row r="37" spans="2:22" ht="43.5" customHeight="1">
      <c r="B37" s="2" t="s">
        <v>2916</v>
      </c>
      <c r="C37" s="2" t="s">
        <v>1202</v>
      </c>
      <c r="D37" s="2" t="s">
        <v>986</v>
      </c>
      <c r="E37" s="2" t="s">
        <v>986</v>
      </c>
      <c r="F37" s="42">
        <v>1</v>
      </c>
      <c r="G37" s="42">
        <v>1</v>
      </c>
      <c r="H37" s="2" t="s">
        <v>699</v>
      </c>
      <c r="I37" s="2" t="s">
        <v>700</v>
      </c>
      <c r="J37" s="2" t="s">
        <v>701</v>
      </c>
      <c r="K37" s="43" t="s">
        <v>702</v>
      </c>
      <c r="L37" s="30">
        <v>345000</v>
      </c>
      <c r="M37" s="43" t="s">
        <v>702</v>
      </c>
      <c r="N37" s="2" t="s">
        <v>913</v>
      </c>
      <c r="O37" s="2" t="s">
        <v>1144</v>
      </c>
      <c r="P37" s="2" t="s">
        <v>1203</v>
      </c>
      <c r="Q37" s="3">
        <v>46220.505555555603</v>
      </c>
      <c r="R37" s="2" t="s">
        <v>913</v>
      </c>
      <c r="S37" s="3">
        <v>46220.505555555603</v>
      </c>
      <c r="T37" s="2" t="s">
        <v>913</v>
      </c>
      <c r="U37" s="34"/>
      <c r="V37" s="1" t="s">
        <v>31</v>
      </c>
    </row>
    <row r="38" spans="2:22" ht="43.5" customHeight="1">
      <c r="B38" s="2" t="s">
        <v>2917</v>
      </c>
      <c r="C38" s="2" t="s">
        <v>1204</v>
      </c>
      <c r="D38" s="2" t="s">
        <v>989</v>
      </c>
      <c r="E38" s="2" t="s">
        <v>989</v>
      </c>
      <c r="F38" s="42">
        <v>1</v>
      </c>
      <c r="G38" s="42">
        <v>1</v>
      </c>
      <c r="H38" s="2" t="s">
        <v>706</v>
      </c>
      <c r="I38" s="2" t="s">
        <v>623</v>
      </c>
      <c r="J38" s="2" t="s">
        <v>701</v>
      </c>
      <c r="K38" s="43" t="s">
        <v>702</v>
      </c>
      <c r="L38" s="30">
        <v>400000</v>
      </c>
      <c r="M38" s="43" t="s">
        <v>702</v>
      </c>
      <c r="N38" s="2" t="s">
        <v>917</v>
      </c>
      <c r="O38" s="2" t="s">
        <v>1144</v>
      </c>
      <c r="P38" s="2" t="s">
        <v>1205</v>
      </c>
      <c r="Q38" s="3">
        <v>46221.642361111102</v>
      </c>
      <c r="R38" s="2" t="s">
        <v>917</v>
      </c>
      <c r="S38" s="3">
        <v>46221.642361111102</v>
      </c>
      <c r="T38" s="2" t="s">
        <v>917</v>
      </c>
      <c r="U38" s="34"/>
      <c r="V38" s="1" t="s">
        <v>31</v>
      </c>
    </row>
    <row r="39" spans="2:22" ht="29" customHeight="1">
      <c r="B39" s="2" t="s">
        <v>2918</v>
      </c>
      <c r="C39" s="2" t="s">
        <v>1206</v>
      </c>
      <c r="D39" s="2" t="s">
        <v>992</v>
      </c>
      <c r="E39" s="2" t="s">
        <v>992</v>
      </c>
      <c r="F39" s="42">
        <v>1</v>
      </c>
      <c r="G39" s="42">
        <v>1</v>
      </c>
      <c r="H39" s="2" t="s">
        <v>710</v>
      </c>
      <c r="I39" s="2" t="s">
        <v>623</v>
      </c>
      <c r="J39" s="2" t="s">
        <v>701</v>
      </c>
      <c r="K39" s="43" t="s">
        <v>702</v>
      </c>
      <c r="L39" s="30">
        <v>256500</v>
      </c>
      <c r="M39" s="43" t="s">
        <v>702</v>
      </c>
      <c r="N39" s="2" t="s">
        <v>703</v>
      </c>
      <c r="O39" s="2" t="s">
        <v>1144</v>
      </c>
      <c r="P39" s="2" t="s">
        <v>1207</v>
      </c>
      <c r="Q39" s="3">
        <v>46221.404166666704</v>
      </c>
      <c r="R39" s="2" t="s">
        <v>703</v>
      </c>
      <c r="S39" s="3">
        <v>46221.404166666704</v>
      </c>
      <c r="T39" s="2" t="s">
        <v>703</v>
      </c>
      <c r="U39" s="34"/>
      <c r="V39" s="1" t="s">
        <v>31</v>
      </c>
    </row>
    <row r="40" spans="2:22" ht="43.5" customHeight="1">
      <c r="B40" s="2" t="s">
        <v>2919</v>
      </c>
      <c r="C40" s="2" t="s">
        <v>1208</v>
      </c>
      <c r="D40" s="2" t="s">
        <v>995</v>
      </c>
      <c r="E40" s="2" t="s">
        <v>995</v>
      </c>
      <c r="F40" s="42">
        <v>1</v>
      </c>
      <c r="G40" s="42">
        <v>1</v>
      </c>
      <c r="H40" s="2" t="s">
        <v>714</v>
      </c>
      <c r="I40" s="2" t="s">
        <v>700</v>
      </c>
      <c r="J40" s="2" t="s">
        <v>701</v>
      </c>
      <c r="K40" s="43" t="s">
        <v>702</v>
      </c>
      <c r="L40" s="30">
        <v>177000</v>
      </c>
      <c r="M40" s="43" t="s">
        <v>702</v>
      </c>
      <c r="N40" s="2" t="s">
        <v>707</v>
      </c>
      <c r="O40" s="2" t="s">
        <v>1144</v>
      </c>
      <c r="P40" s="2" t="s">
        <v>1209</v>
      </c>
      <c r="Q40" s="3">
        <v>46222.540972222203</v>
      </c>
      <c r="R40" s="2" t="s">
        <v>707</v>
      </c>
      <c r="S40" s="3">
        <v>46222.540972222203</v>
      </c>
      <c r="T40" s="2" t="s">
        <v>707</v>
      </c>
      <c r="U40" s="34"/>
      <c r="V40" s="1" t="s">
        <v>31</v>
      </c>
    </row>
    <row r="41" spans="2:22" ht="43.5" customHeight="1">
      <c r="B41" s="2" t="s">
        <v>2920</v>
      </c>
      <c r="C41" s="2" t="s">
        <v>1210</v>
      </c>
      <c r="D41" s="2" t="s">
        <v>998</v>
      </c>
      <c r="E41" s="2" t="s">
        <v>998</v>
      </c>
      <c r="F41" s="42">
        <v>1</v>
      </c>
      <c r="G41" s="42">
        <v>1</v>
      </c>
      <c r="H41" s="2" t="s">
        <v>699</v>
      </c>
      <c r="I41" s="2" t="s">
        <v>700</v>
      </c>
      <c r="J41" s="2" t="s">
        <v>701</v>
      </c>
      <c r="K41" s="43" t="s">
        <v>702</v>
      </c>
      <c r="L41" s="30">
        <v>290000</v>
      </c>
      <c r="M41" s="43" t="s">
        <v>702</v>
      </c>
      <c r="N41" s="2" t="s">
        <v>711</v>
      </c>
      <c r="O41" s="2" t="s">
        <v>1144</v>
      </c>
      <c r="P41" s="2" t="s">
        <v>1211</v>
      </c>
      <c r="Q41" s="3">
        <v>46222.636111111096</v>
      </c>
      <c r="R41" s="2" t="s">
        <v>711</v>
      </c>
      <c r="S41" s="3">
        <v>46222.636111111096</v>
      </c>
      <c r="T41" s="2" t="s">
        <v>711</v>
      </c>
      <c r="U41" s="34"/>
      <c r="V41" s="1" t="s">
        <v>31</v>
      </c>
    </row>
    <row r="42" spans="2:22" ht="43.5" customHeight="1">
      <c r="B42" s="2" t="s">
        <v>2921</v>
      </c>
      <c r="C42" s="2" t="s">
        <v>1212</v>
      </c>
      <c r="D42" s="2" t="s">
        <v>1001</v>
      </c>
      <c r="E42" s="2" t="s">
        <v>1001</v>
      </c>
      <c r="F42" s="42">
        <v>1</v>
      </c>
      <c r="G42" s="42">
        <v>1</v>
      </c>
      <c r="H42" s="2" t="s">
        <v>706</v>
      </c>
      <c r="I42" s="2" t="s">
        <v>623</v>
      </c>
      <c r="J42" s="2" t="s">
        <v>701</v>
      </c>
      <c r="K42" s="43" t="s">
        <v>702</v>
      </c>
      <c r="L42" s="30">
        <v>397500</v>
      </c>
      <c r="M42" s="43" t="s">
        <v>702</v>
      </c>
      <c r="N42" s="2" t="s">
        <v>715</v>
      </c>
      <c r="O42" s="2" t="s">
        <v>1144</v>
      </c>
      <c r="P42" s="2" t="s">
        <v>1213</v>
      </c>
      <c r="Q42" s="3">
        <v>46223.397916666698</v>
      </c>
      <c r="R42" s="2" t="s">
        <v>715</v>
      </c>
      <c r="S42" s="3">
        <v>46223.397916666698</v>
      </c>
      <c r="T42" s="2" t="s">
        <v>715</v>
      </c>
      <c r="U42" s="34"/>
      <c r="V42" s="1" t="s">
        <v>31</v>
      </c>
    </row>
    <row r="43" spans="2:22" ht="43.5" customHeight="1">
      <c r="B43" s="2" t="s">
        <v>2922</v>
      </c>
      <c r="C43" s="2" t="s">
        <v>1214</v>
      </c>
      <c r="D43" s="2" t="s">
        <v>1004</v>
      </c>
      <c r="E43" s="2" t="s">
        <v>1004</v>
      </c>
      <c r="F43" s="42">
        <v>1</v>
      </c>
      <c r="G43" s="42">
        <v>1</v>
      </c>
      <c r="H43" s="2" t="s">
        <v>710</v>
      </c>
      <c r="I43" s="2" t="s">
        <v>623</v>
      </c>
      <c r="J43" s="2" t="s">
        <v>701</v>
      </c>
      <c r="K43" s="43" t="s">
        <v>702</v>
      </c>
      <c r="L43" s="30">
        <v>308500</v>
      </c>
      <c r="M43" s="43" t="s">
        <v>702</v>
      </c>
      <c r="N43" s="2" t="s">
        <v>719</v>
      </c>
      <c r="O43" s="2" t="s">
        <v>1144</v>
      </c>
      <c r="P43" s="2" t="s">
        <v>1215</v>
      </c>
      <c r="Q43" s="3">
        <v>46223.534722222197</v>
      </c>
      <c r="R43" s="2" t="s">
        <v>719</v>
      </c>
      <c r="S43" s="3">
        <v>46223.534722222197</v>
      </c>
      <c r="T43" s="2" t="s">
        <v>719</v>
      </c>
      <c r="U43" s="34"/>
      <c r="V43" s="1" t="s">
        <v>31</v>
      </c>
    </row>
    <row r="44" spans="2:22" ht="43.5" customHeight="1">
      <c r="B44" s="2" t="s">
        <v>2923</v>
      </c>
      <c r="C44" s="2" t="s">
        <v>1216</v>
      </c>
      <c r="D44" s="2" t="s">
        <v>1007</v>
      </c>
      <c r="E44" s="2" t="s">
        <v>1007</v>
      </c>
      <c r="F44" s="42">
        <v>1</v>
      </c>
      <c r="G44" s="42">
        <v>1</v>
      </c>
      <c r="H44" s="2" t="s">
        <v>714</v>
      </c>
      <c r="I44" s="2" t="s">
        <v>700</v>
      </c>
      <c r="J44" s="2" t="s">
        <v>701</v>
      </c>
      <c r="K44" s="43" t="s">
        <v>702</v>
      </c>
      <c r="L44" s="30">
        <v>220000</v>
      </c>
      <c r="M44" s="43" t="s">
        <v>702</v>
      </c>
      <c r="N44" s="2" t="s">
        <v>722</v>
      </c>
      <c r="O44" s="2" t="s">
        <v>1144</v>
      </c>
      <c r="P44" s="2" t="s">
        <v>1217</v>
      </c>
      <c r="Q44" s="3">
        <v>46223.629861111098</v>
      </c>
      <c r="R44" s="2" t="s">
        <v>722</v>
      </c>
      <c r="S44" s="3">
        <v>46223.629861111098</v>
      </c>
      <c r="T44" s="2" t="s">
        <v>722</v>
      </c>
      <c r="U44" s="34"/>
      <c r="V44" s="1" t="s">
        <v>31</v>
      </c>
    </row>
    <row r="45" spans="2:22" ht="43.5" customHeight="1">
      <c r="B45" s="2" t="s">
        <v>2924</v>
      </c>
      <c r="C45" s="2" t="s">
        <v>1218</v>
      </c>
      <c r="D45" s="2" t="s">
        <v>1010</v>
      </c>
      <c r="E45" s="2" t="s">
        <v>1010</v>
      </c>
      <c r="F45" s="42">
        <v>1</v>
      </c>
      <c r="G45" s="42">
        <v>1</v>
      </c>
      <c r="H45" s="2" t="s">
        <v>699</v>
      </c>
      <c r="I45" s="2" t="s">
        <v>700</v>
      </c>
      <c r="J45" s="2" t="s">
        <v>701</v>
      </c>
      <c r="K45" s="43" t="s">
        <v>702</v>
      </c>
      <c r="L45" s="30">
        <v>134000</v>
      </c>
      <c r="M45" s="43" t="s">
        <v>702</v>
      </c>
      <c r="N45" s="2" t="s">
        <v>725</v>
      </c>
      <c r="O45" s="2" t="s">
        <v>1144</v>
      </c>
      <c r="P45" s="2" t="s">
        <v>1219</v>
      </c>
      <c r="Q45" s="3">
        <v>46224.391666666699</v>
      </c>
      <c r="R45" s="2" t="s">
        <v>725</v>
      </c>
      <c r="S45" s="3">
        <v>46224.391666666699</v>
      </c>
      <c r="T45" s="2" t="s">
        <v>725</v>
      </c>
      <c r="U45" s="34"/>
      <c r="V45" s="1" t="s">
        <v>31</v>
      </c>
    </row>
    <row r="46" spans="2:22" ht="43.5" customHeight="1">
      <c r="B46" s="2" t="s">
        <v>2925</v>
      </c>
      <c r="C46" s="2" t="s">
        <v>1220</v>
      </c>
      <c r="D46" s="2" t="s">
        <v>1013</v>
      </c>
      <c r="E46" s="2" t="s">
        <v>1013</v>
      </c>
      <c r="F46" s="42">
        <v>1</v>
      </c>
      <c r="G46" s="42">
        <v>1</v>
      </c>
      <c r="H46" s="2" t="s">
        <v>706</v>
      </c>
      <c r="I46" s="2" t="s">
        <v>623</v>
      </c>
      <c r="J46" s="2" t="s">
        <v>701</v>
      </c>
      <c r="K46" s="43" t="s">
        <v>702</v>
      </c>
      <c r="L46" s="30">
        <v>322000</v>
      </c>
      <c r="M46" s="43" t="s">
        <v>702</v>
      </c>
      <c r="N46" s="2" t="s">
        <v>728</v>
      </c>
      <c r="O46" s="2" t="s">
        <v>1144</v>
      </c>
      <c r="P46" s="2" t="s">
        <v>1221</v>
      </c>
      <c r="Q46" s="3">
        <v>46224.528472222199</v>
      </c>
      <c r="R46" s="2" t="s">
        <v>728</v>
      </c>
      <c r="S46" s="3">
        <v>46224.528472222199</v>
      </c>
      <c r="T46" s="2" t="s">
        <v>728</v>
      </c>
      <c r="U46" s="34"/>
      <c r="V46" s="1" t="s">
        <v>31</v>
      </c>
    </row>
    <row r="47" spans="2:22" ht="29" customHeight="1">
      <c r="B47" s="2" t="s">
        <v>2926</v>
      </c>
      <c r="C47" s="2" t="s">
        <v>1222</v>
      </c>
      <c r="D47" s="2" t="s">
        <v>1016</v>
      </c>
      <c r="E47" s="2" t="s">
        <v>1016</v>
      </c>
      <c r="F47" s="42">
        <v>1</v>
      </c>
      <c r="G47" s="42">
        <v>1</v>
      </c>
      <c r="H47" s="2" t="s">
        <v>710</v>
      </c>
      <c r="I47" s="2" t="s">
        <v>623</v>
      </c>
      <c r="J47" s="2" t="s">
        <v>701</v>
      </c>
      <c r="K47" s="43" t="s">
        <v>702</v>
      </c>
      <c r="L47" s="30">
        <v>467500</v>
      </c>
      <c r="M47" s="43" t="s">
        <v>702</v>
      </c>
      <c r="N47" s="2" t="s">
        <v>731</v>
      </c>
      <c r="O47" s="2" t="s">
        <v>1144</v>
      </c>
      <c r="P47" s="2" t="s">
        <v>1223</v>
      </c>
      <c r="Q47" s="3">
        <v>46225.6652777778</v>
      </c>
      <c r="R47" s="2" t="s">
        <v>731</v>
      </c>
      <c r="S47" s="3">
        <v>46225.6652777778</v>
      </c>
      <c r="T47" s="2" t="s">
        <v>731</v>
      </c>
      <c r="U47" s="34"/>
      <c r="V47" s="1" t="s">
        <v>31</v>
      </c>
    </row>
    <row r="48" spans="2:22" ht="29" customHeight="1">
      <c r="B48" s="2" t="s">
        <v>2927</v>
      </c>
      <c r="C48" s="2" t="s">
        <v>1224</v>
      </c>
      <c r="D48" s="2" t="s">
        <v>1019</v>
      </c>
      <c r="E48" s="2" t="s">
        <v>1019</v>
      </c>
      <c r="F48" s="42">
        <v>1</v>
      </c>
      <c r="G48" s="42">
        <v>1</v>
      </c>
      <c r="H48" s="2" t="s">
        <v>714</v>
      </c>
      <c r="I48" s="2" t="s">
        <v>700</v>
      </c>
      <c r="J48" s="2" t="s">
        <v>701</v>
      </c>
      <c r="K48" s="43" t="s">
        <v>702</v>
      </c>
      <c r="L48" s="30">
        <v>336000</v>
      </c>
      <c r="M48" s="43" t="s">
        <v>702</v>
      </c>
      <c r="N48" s="2" t="s">
        <v>734</v>
      </c>
      <c r="O48" s="2" t="s">
        <v>1144</v>
      </c>
      <c r="P48" s="2" t="s">
        <v>1225</v>
      </c>
      <c r="Q48" s="3">
        <v>46225.385416666701</v>
      </c>
      <c r="R48" s="2" t="s">
        <v>734</v>
      </c>
      <c r="S48" s="3">
        <v>46225.385416666701</v>
      </c>
      <c r="T48" s="2" t="s">
        <v>734</v>
      </c>
      <c r="U48" s="34"/>
      <c r="V48" s="1" t="s">
        <v>31</v>
      </c>
    </row>
    <row r="49" spans="2:22" ht="43.5" customHeight="1">
      <c r="B49" s="2" t="s">
        <v>2928</v>
      </c>
      <c r="C49" s="2" t="s">
        <v>1226</v>
      </c>
      <c r="D49" s="2" t="s">
        <v>1022</v>
      </c>
      <c r="E49" s="2" t="s">
        <v>1022</v>
      </c>
      <c r="F49" s="42">
        <v>1</v>
      </c>
      <c r="G49" s="42">
        <v>1</v>
      </c>
      <c r="H49" s="2" t="s">
        <v>699</v>
      </c>
      <c r="I49" s="2" t="s">
        <v>700</v>
      </c>
      <c r="J49" s="2" t="s">
        <v>701</v>
      </c>
      <c r="K49" s="43" t="s">
        <v>702</v>
      </c>
      <c r="L49" s="30">
        <v>357500</v>
      </c>
      <c r="M49" s="43" t="s">
        <v>702</v>
      </c>
      <c r="N49" s="2" t="s">
        <v>737</v>
      </c>
      <c r="O49" s="2" t="s">
        <v>1144</v>
      </c>
      <c r="P49" s="2" t="s">
        <v>1227</v>
      </c>
      <c r="Q49" s="3">
        <v>46226.5222222222</v>
      </c>
      <c r="R49" s="2" t="s">
        <v>737</v>
      </c>
      <c r="S49" s="3">
        <v>46226.5222222222</v>
      </c>
      <c r="T49" s="2" t="s">
        <v>737</v>
      </c>
      <c r="U49" s="34"/>
      <c r="V49" s="1" t="s">
        <v>31</v>
      </c>
    </row>
    <row r="50" spans="2:22" ht="43.5" customHeight="1">
      <c r="B50" s="2" t="s">
        <v>2929</v>
      </c>
      <c r="C50" s="2" t="s">
        <v>1228</v>
      </c>
      <c r="D50" s="2" t="s">
        <v>1025</v>
      </c>
      <c r="E50" s="2" t="s">
        <v>1025</v>
      </c>
      <c r="F50" s="42">
        <v>1</v>
      </c>
      <c r="G50" s="42">
        <v>1</v>
      </c>
      <c r="H50" s="2" t="s">
        <v>706</v>
      </c>
      <c r="I50" s="2" t="s">
        <v>623</v>
      </c>
      <c r="J50" s="2" t="s">
        <v>701</v>
      </c>
      <c r="K50" s="43" t="s">
        <v>702</v>
      </c>
      <c r="L50" s="30">
        <v>235000</v>
      </c>
      <c r="M50" s="43" t="s">
        <v>702</v>
      </c>
      <c r="N50" s="2" t="s">
        <v>92</v>
      </c>
      <c r="O50" s="2" t="s">
        <v>1144</v>
      </c>
      <c r="P50" s="2" t="s">
        <v>1229</v>
      </c>
      <c r="Q50" s="3">
        <v>46226.659027777801</v>
      </c>
      <c r="R50" s="2" t="s">
        <v>92</v>
      </c>
      <c r="S50" s="3">
        <v>46226.659027777801</v>
      </c>
      <c r="T50" s="2" t="s">
        <v>92</v>
      </c>
      <c r="U50" s="34"/>
      <c r="V50" s="1" t="s">
        <v>31</v>
      </c>
    </row>
    <row r="51" spans="2:22" ht="43.5" customHeight="1">
      <c r="B51" s="2" t="s">
        <v>2930</v>
      </c>
      <c r="C51" s="2" t="s">
        <v>1230</v>
      </c>
      <c r="D51" s="2" t="s">
        <v>1028</v>
      </c>
      <c r="E51" s="2" t="s">
        <v>1028</v>
      </c>
      <c r="F51" s="42">
        <v>1</v>
      </c>
      <c r="G51" s="42">
        <v>1</v>
      </c>
      <c r="H51" s="2" t="s">
        <v>710</v>
      </c>
      <c r="I51" s="2" t="s">
        <v>623</v>
      </c>
      <c r="J51" s="2" t="s">
        <v>701</v>
      </c>
      <c r="K51" s="43" t="s">
        <v>702</v>
      </c>
      <c r="L51" s="30">
        <v>205500</v>
      </c>
      <c r="M51" s="43" t="s">
        <v>702</v>
      </c>
      <c r="N51" s="2" t="s">
        <v>742</v>
      </c>
      <c r="O51" s="2" t="s">
        <v>1144</v>
      </c>
      <c r="P51" s="2" t="s">
        <v>1231</v>
      </c>
      <c r="Q51" s="3">
        <v>46227.379166666702</v>
      </c>
      <c r="R51" s="2" t="s">
        <v>742</v>
      </c>
      <c r="S51" s="3">
        <v>46227.379166666702</v>
      </c>
      <c r="T51" s="2" t="s">
        <v>742</v>
      </c>
      <c r="U51" s="34"/>
      <c r="V51" s="1" t="s">
        <v>31</v>
      </c>
    </row>
    <row r="52" spans="2:22" ht="43.5" customHeight="1">
      <c r="B52" s="2" t="s">
        <v>2931</v>
      </c>
      <c r="C52" s="2" t="s">
        <v>1232</v>
      </c>
      <c r="D52" s="2" t="s">
        <v>1031</v>
      </c>
      <c r="E52" s="2" t="s">
        <v>1031</v>
      </c>
      <c r="F52" s="42">
        <v>1</v>
      </c>
      <c r="G52" s="42">
        <v>1</v>
      </c>
      <c r="H52" s="2" t="s">
        <v>714</v>
      </c>
      <c r="I52" s="2" t="s">
        <v>700</v>
      </c>
      <c r="J52" s="2" t="s">
        <v>701</v>
      </c>
      <c r="K52" s="43" t="s">
        <v>702</v>
      </c>
      <c r="L52" s="30">
        <v>362500</v>
      </c>
      <c r="M52" s="43" t="s">
        <v>702</v>
      </c>
      <c r="N52" s="2" t="s">
        <v>745</v>
      </c>
      <c r="O52" s="2" t="s">
        <v>1144</v>
      </c>
      <c r="P52" s="2" t="s">
        <v>1233</v>
      </c>
      <c r="Q52" s="3">
        <v>46227.515972222202</v>
      </c>
      <c r="R52" s="2" t="s">
        <v>745</v>
      </c>
      <c r="S52" s="3">
        <v>46227.515972222202</v>
      </c>
      <c r="T52" s="2" t="s">
        <v>745</v>
      </c>
      <c r="U52" s="34"/>
      <c r="V52" s="1" t="s">
        <v>31</v>
      </c>
    </row>
  </sheetData>
  <phoneticPr fontId="2"/>
  <conditionalFormatting sqref="B7:T7">
    <cfRule type="expression" dxfId="7" priority="1">
      <formula>AND(ISNUMBER(FIND("K",B6)),B7="*")</formula>
    </cfRule>
    <cfRule type="expression" dxfId="6" priority="2">
      <formula>AND(ISNUMBER(FIND("N",B6)),B7="*")</formula>
    </cfRule>
    <cfRule type="expression" dxfId="5" priority="3">
      <formula>B7="*"</formula>
    </cfRule>
    <cfRule type="expression" dxfId="4" priority="4">
      <formula>B7=""</formula>
    </cfRule>
  </conditionalFormatting>
  <dataValidations count="1">
    <dataValidation type="list" allowBlank="1" showInputMessage="1" showErrorMessage="1" sqref="B7:T7" xr:uid="{00000000-0002-0000-0700-000000000000}">
      <formula1>"*,"</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EECD1-4790-472A-832A-52B9C56BE5EA}">
  <dimension ref="A1:S187"/>
  <sheetViews>
    <sheetView workbookViewId="0">
      <selection activeCell="D21" sqref="D21"/>
    </sheetView>
  </sheetViews>
  <sheetFormatPr defaultColWidth="9.1796875" defaultRowHeight="14.5"/>
  <cols>
    <col min="1" max="1" width="18.7265625" style="1" customWidth="1"/>
    <col min="2" max="2" width="40.7265625" style="2" customWidth="1"/>
    <col min="3" max="3" width="18.7265625" style="2" customWidth="1"/>
    <col min="4" max="4" width="30.7265625" style="2" customWidth="1"/>
    <col min="5" max="5" width="14.7265625" style="1" customWidth="1"/>
    <col min="6" max="6" width="50.7265625" style="2" customWidth="1"/>
    <col min="7" max="7" width="16.7265625" style="2" customWidth="1"/>
    <col min="8" max="9" width="14.7265625" style="1" customWidth="1"/>
    <col min="10" max="13" width="28.7265625" style="30" customWidth="1"/>
    <col min="14" max="14" width="22.7265625" style="3" customWidth="1"/>
    <col min="15" max="15" width="30.7265625" style="2" customWidth="1"/>
    <col min="16" max="16" width="22.7265625" style="3" customWidth="1"/>
    <col min="17" max="17" width="30.7265625" style="2" customWidth="1"/>
    <col min="18" max="18" width="10.7265625" style="1" customWidth="1"/>
    <col min="19" max="19" width="48.7265625" style="1" customWidth="1"/>
    <col min="20" max="20" width="9.1796875" style="1" customWidth="1"/>
    <col min="21" max="16384" width="9.1796875" style="1"/>
  </cols>
  <sheetData>
    <row r="1" spans="1:19" s="4" customFormat="1">
      <c r="A1" s="5" t="s">
        <v>0</v>
      </c>
      <c r="B1" s="6" t="s">
        <v>2933</v>
      </c>
      <c r="C1" s="7" t="s">
        <v>2</v>
      </c>
      <c r="D1" s="6" t="s">
        <v>2932</v>
      </c>
      <c r="F1" s="9"/>
      <c r="G1" s="9"/>
      <c r="J1" s="26"/>
      <c r="K1" s="26"/>
      <c r="L1" s="26"/>
      <c r="M1" s="26"/>
      <c r="N1" s="8"/>
      <c r="O1" s="9"/>
      <c r="P1" s="8"/>
      <c r="Q1" s="9"/>
    </row>
    <row r="2" spans="1:19" s="4" customFormat="1">
      <c r="A2" s="5" t="s">
        <v>4</v>
      </c>
      <c r="B2" s="35"/>
      <c r="C2" s="9"/>
      <c r="D2" s="9"/>
      <c r="F2" s="9"/>
      <c r="G2" s="9"/>
      <c r="J2" s="26"/>
      <c r="K2" s="26"/>
      <c r="L2" s="26"/>
      <c r="M2" s="26"/>
      <c r="N2" s="8"/>
      <c r="O2" s="9"/>
      <c r="P2" s="8"/>
      <c r="Q2" s="9"/>
    </row>
    <row r="3" spans="1:19" s="4" customFormat="1">
      <c r="A3" s="10" t="s">
        <v>6</v>
      </c>
      <c r="B3" s="11" t="s">
        <v>1236</v>
      </c>
      <c r="C3" s="12" t="s">
        <v>2880</v>
      </c>
      <c r="D3" s="12" t="s">
        <v>2934</v>
      </c>
      <c r="E3" s="22" t="s">
        <v>1237</v>
      </c>
      <c r="F3" s="12" t="s">
        <v>1238</v>
      </c>
      <c r="G3" s="12" t="s">
        <v>490</v>
      </c>
      <c r="H3" s="22" t="s">
        <v>1239</v>
      </c>
      <c r="I3" s="22" t="s">
        <v>1240</v>
      </c>
      <c r="J3" s="27" t="s">
        <v>1241</v>
      </c>
      <c r="K3" s="27" t="s">
        <v>1242</v>
      </c>
      <c r="L3" s="27" t="s">
        <v>1243</v>
      </c>
      <c r="M3" s="27" t="s">
        <v>1244</v>
      </c>
      <c r="N3" s="13" t="s">
        <v>10</v>
      </c>
      <c r="O3" s="12" t="s">
        <v>11</v>
      </c>
      <c r="P3" s="13" t="s">
        <v>12</v>
      </c>
      <c r="Q3" s="12" t="s">
        <v>13</v>
      </c>
      <c r="R3" s="14" t="s">
        <v>14</v>
      </c>
      <c r="S3" s="14" t="s">
        <v>15</v>
      </c>
    </row>
    <row r="4" spans="1:19" s="4" customFormat="1">
      <c r="A4" s="10" t="s">
        <v>16</v>
      </c>
      <c r="B4" s="11" t="s">
        <v>1245</v>
      </c>
      <c r="C4" s="12" t="s">
        <v>2881</v>
      </c>
      <c r="D4" s="12" t="s">
        <v>2935</v>
      </c>
      <c r="E4" s="16" t="s">
        <v>1246</v>
      </c>
      <c r="F4" s="12" t="s">
        <v>1247</v>
      </c>
      <c r="G4" s="12" t="s">
        <v>1248</v>
      </c>
      <c r="H4" s="16" t="s">
        <v>2936</v>
      </c>
      <c r="I4" s="16" t="s">
        <v>2937</v>
      </c>
      <c r="J4" s="28" t="s">
        <v>2938</v>
      </c>
      <c r="K4" s="28" t="s">
        <v>2939</v>
      </c>
      <c r="L4" s="28" t="s">
        <v>2940</v>
      </c>
      <c r="M4" s="28" t="s">
        <v>1254</v>
      </c>
      <c r="N4" s="15" t="s">
        <v>20</v>
      </c>
      <c r="O4" s="12" t="s">
        <v>21</v>
      </c>
      <c r="P4" s="15" t="s">
        <v>22</v>
      </c>
      <c r="Q4" s="12" t="s">
        <v>23</v>
      </c>
      <c r="R4" s="16"/>
      <c r="S4" s="16"/>
    </row>
    <row r="5" spans="1:19" s="4" customFormat="1">
      <c r="A5" s="10" t="s">
        <v>24</v>
      </c>
      <c r="B5" s="11" t="s">
        <v>1255</v>
      </c>
      <c r="C5" s="12" t="s">
        <v>693</v>
      </c>
      <c r="D5" s="12" t="s">
        <v>1255</v>
      </c>
      <c r="E5" s="22" t="s">
        <v>520</v>
      </c>
      <c r="F5" s="12" t="s">
        <v>1256</v>
      </c>
      <c r="G5" s="12" t="s">
        <v>75</v>
      </c>
      <c r="H5" s="22" t="s">
        <v>520</v>
      </c>
      <c r="I5" s="22" t="s">
        <v>520</v>
      </c>
      <c r="J5" s="27" t="s">
        <v>521</v>
      </c>
      <c r="K5" s="27" t="s">
        <v>696</v>
      </c>
      <c r="L5" s="27" t="s">
        <v>696</v>
      </c>
      <c r="M5" s="27" t="s">
        <v>696</v>
      </c>
      <c r="N5" s="13" t="s">
        <v>27</v>
      </c>
      <c r="O5" s="12" t="s">
        <v>28</v>
      </c>
      <c r="P5" s="13" t="s">
        <v>27</v>
      </c>
      <c r="Q5" s="12" t="s">
        <v>28</v>
      </c>
      <c r="R5" s="16"/>
      <c r="S5" s="16"/>
    </row>
    <row r="6" spans="1:19" s="4" customFormat="1">
      <c r="A6" s="5" t="s">
        <v>29</v>
      </c>
      <c r="B6" s="11" t="s">
        <v>30</v>
      </c>
      <c r="C6" s="12" t="s">
        <v>31</v>
      </c>
      <c r="D6" s="12" t="s">
        <v>32</v>
      </c>
      <c r="E6" s="22" t="s">
        <v>31</v>
      </c>
      <c r="F6" s="12" t="s">
        <v>31</v>
      </c>
      <c r="G6" s="12" t="s">
        <v>31</v>
      </c>
      <c r="H6" s="22" t="s">
        <v>32</v>
      </c>
      <c r="I6" s="22" t="s">
        <v>32</v>
      </c>
      <c r="J6" s="27" t="s">
        <v>32</v>
      </c>
      <c r="K6" s="27" t="s">
        <v>32</v>
      </c>
      <c r="L6" s="27" t="s">
        <v>32</v>
      </c>
      <c r="M6" s="27" t="s">
        <v>32</v>
      </c>
      <c r="N6" s="13" t="s">
        <v>33</v>
      </c>
      <c r="O6" s="12" t="s">
        <v>31</v>
      </c>
      <c r="P6" s="13" t="s">
        <v>33</v>
      </c>
      <c r="Q6" s="12" t="s">
        <v>31</v>
      </c>
      <c r="R6" s="16"/>
      <c r="S6" s="16"/>
    </row>
    <row r="7" spans="1:19">
      <c r="A7" s="17" t="s">
        <v>34</v>
      </c>
      <c r="B7" s="18" t="s">
        <v>35</v>
      </c>
      <c r="C7" s="19" t="s">
        <v>35</v>
      </c>
      <c r="D7" s="19" t="s">
        <v>35</v>
      </c>
      <c r="E7" s="23" t="s">
        <v>35</v>
      </c>
      <c r="F7" s="19" t="s">
        <v>35</v>
      </c>
      <c r="G7" s="19" t="s">
        <v>35</v>
      </c>
      <c r="H7" s="23" t="s">
        <v>35</v>
      </c>
      <c r="I7" s="23" t="s">
        <v>35</v>
      </c>
      <c r="J7" s="29" t="s">
        <v>35</v>
      </c>
      <c r="K7" s="29" t="s">
        <v>35</v>
      </c>
      <c r="L7" s="29" t="s">
        <v>35</v>
      </c>
      <c r="M7" s="29" t="s">
        <v>35</v>
      </c>
      <c r="N7" s="20" t="s">
        <v>35</v>
      </c>
      <c r="O7" s="19" t="s">
        <v>35</v>
      </c>
      <c r="P7" s="20" t="s">
        <v>35</v>
      </c>
      <c r="Q7" s="19" t="s">
        <v>35</v>
      </c>
      <c r="R7" s="21"/>
      <c r="S7" s="21"/>
    </row>
    <row r="8" spans="1:19" ht="29" customHeight="1">
      <c r="B8" s="2" t="s">
        <v>2941</v>
      </c>
      <c r="C8" s="2" t="s">
        <v>2887</v>
      </c>
      <c r="D8" s="2" t="s">
        <v>2518</v>
      </c>
      <c r="E8" s="1">
        <v>1</v>
      </c>
      <c r="F8" s="2" t="s">
        <v>2519</v>
      </c>
      <c r="G8" s="2" t="s">
        <v>1292</v>
      </c>
      <c r="H8" s="1">
        <v>2</v>
      </c>
      <c r="I8" s="1" t="s">
        <v>702</v>
      </c>
      <c r="J8" s="30" t="s">
        <v>702</v>
      </c>
      <c r="K8" s="30" t="s">
        <v>702</v>
      </c>
      <c r="L8" s="30">
        <v>30000</v>
      </c>
      <c r="M8" s="30" t="s">
        <v>702</v>
      </c>
      <c r="N8" s="3">
        <v>46207.663194444402</v>
      </c>
      <c r="O8" s="2" t="s">
        <v>799</v>
      </c>
      <c r="P8" s="3">
        <v>46207.663194444402</v>
      </c>
      <c r="Q8" s="2" t="s">
        <v>799</v>
      </c>
      <c r="R8" s="34"/>
      <c r="S8" s="1" t="s">
        <v>31</v>
      </c>
    </row>
    <row r="9" spans="1:19">
      <c r="B9" s="2" t="s">
        <v>2942</v>
      </c>
      <c r="C9" s="2" t="s">
        <v>2887</v>
      </c>
      <c r="D9" s="2" t="s">
        <v>2520</v>
      </c>
      <c r="E9" s="1">
        <v>2</v>
      </c>
      <c r="F9" s="2" t="s">
        <v>2521</v>
      </c>
      <c r="G9" s="2" t="s">
        <v>1295</v>
      </c>
      <c r="H9" s="1" t="s">
        <v>702</v>
      </c>
      <c r="I9" s="1">
        <v>2</v>
      </c>
      <c r="J9" s="30" t="s">
        <v>702</v>
      </c>
      <c r="K9" s="30" t="s">
        <v>702</v>
      </c>
      <c r="L9" s="30">
        <v>30000</v>
      </c>
      <c r="M9" s="30" t="s">
        <v>702</v>
      </c>
      <c r="N9" s="3">
        <v>46207.663194444402</v>
      </c>
      <c r="O9" s="2" t="s">
        <v>799</v>
      </c>
      <c r="P9" s="3">
        <v>46207.663194444402</v>
      </c>
      <c r="Q9" s="2" t="s">
        <v>799</v>
      </c>
      <c r="R9" s="34"/>
      <c r="S9" s="1" t="s">
        <v>31</v>
      </c>
    </row>
    <row r="10" spans="1:19">
      <c r="B10" s="2" t="s">
        <v>2943</v>
      </c>
      <c r="C10" s="2" t="s">
        <v>2887</v>
      </c>
      <c r="D10" s="2" t="s">
        <v>2522</v>
      </c>
      <c r="E10" s="1">
        <v>3</v>
      </c>
      <c r="F10" s="2" t="s">
        <v>2523</v>
      </c>
      <c r="G10" s="2" t="s">
        <v>1298</v>
      </c>
      <c r="H10" s="1">
        <v>6</v>
      </c>
      <c r="I10" s="1" t="s">
        <v>702</v>
      </c>
      <c r="J10" s="30" t="s">
        <v>702</v>
      </c>
      <c r="K10" s="30" t="s">
        <v>702</v>
      </c>
      <c r="L10" s="30">
        <v>30000</v>
      </c>
      <c r="M10" s="30" t="s">
        <v>702</v>
      </c>
      <c r="N10" s="3">
        <v>46207.663194444402</v>
      </c>
      <c r="O10" s="2" t="s">
        <v>799</v>
      </c>
      <c r="P10" s="3">
        <v>46207.663194444402</v>
      </c>
      <c r="Q10" s="2" t="s">
        <v>799</v>
      </c>
      <c r="R10" s="34"/>
      <c r="S10" s="1" t="s">
        <v>31</v>
      </c>
    </row>
    <row r="11" spans="1:19">
      <c r="B11" s="2" t="s">
        <v>2944</v>
      </c>
      <c r="C11" s="2" t="s">
        <v>2887</v>
      </c>
      <c r="D11" s="2" t="s">
        <v>2524</v>
      </c>
      <c r="E11" s="1">
        <v>4</v>
      </c>
      <c r="F11" s="2" t="s">
        <v>2525</v>
      </c>
      <c r="G11" s="2" t="s">
        <v>1301</v>
      </c>
      <c r="H11" s="1" t="s">
        <v>702</v>
      </c>
      <c r="I11" s="1">
        <v>1</v>
      </c>
      <c r="J11" s="30" t="s">
        <v>702</v>
      </c>
      <c r="K11" s="30" t="s">
        <v>702</v>
      </c>
      <c r="L11" s="30">
        <v>25000</v>
      </c>
      <c r="M11" s="30" t="s">
        <v>702</v>
      </c>
      <c r="N11" s="3">
        <v>46207.663194444402</v>
      </c>
      <c r="O11" s="2" t="s">
        <v>799</v>
      </c>
      <c r="P11" s="3">
        <v>46207.663194444402</v>
      </c>
      <c r="Q11" s="2" t="s">
        <v>799</v>
      </c>
      <c r="R11" s="34"/>
      <c r="S11" s="1" t="s">
        <v>31</v>
      </c>
    </row>
    <row r="12" spans="1:19">
      <c r="B12" s="2" t="s">
        <v>2945</v>
      </c>
      <c r="C12" s="2" t="s">
        <v>2888</v>
      </c>
      <c r="D12" s="2" t="s">
        <v>2526</v>
      </c>
      <c r="E12" s="1">
        <v>1</v>
      </c>
      <c r="F12" s="2" t="s">
        <v>2527</v>
      </c>
      <c r="G12" s="2" t="s">
        <v>1304</v>
      </c>
      <c r="H12" s="1" t="s">
        <v>702</v>
      </c>
      <c r="I12" s="1">
        <v>2</v>
      </c>
      <c r="J12" s="30" t="s">
        <v>702</v>
      </c>
      <c r="K12" s="30" t="s">
        <v>702</v>
      </c>
      <c r="L12" s="30">
        <v>40000</v>
      </c>
      <c r="M12" s="30" t="s">
        <v>702</v>
      </c>
      <c r="N12" s="3">
        <v>46207.383333333302</v>
      </c>
      <c r="O12" s="2" t="s">
        <v>803</v>
      </c>
      <c r="P12" s="3">
        <v>46207.383333333302</v>
      </c>
      <c r="Q12" s="2" t="s">
        <v>803</v>
      </c>
      <c r="R12" s="34"/>
      <c r="S12" s="1" t="s">
        <v>31</v>
      </c>
    </row>
    <row r="13" spans="1:19">
      <c r="B13" s="2" t="s">
        <v>2946</v>
      </c>
      <c r="C13" s="2" t="s">
        <v>2888</v>
      </c>
      <c r="D13" s="2" t="s">
        <v>2528</v>
      </c>
      <c r="E13" s="1">
        <v>2</v>
      </c>
      <c r="F13" s="2" t="s">
        <v>2529</v>
      </c>
      <c r="G13" s="2" t="s">
        <v>1307</v>
      </c>
      <c r="H13" s="1">
        <v>5</v>
      </c>
      <c r="I13" s="1" t="s">
        <v>702</v>
      </c>
      <c r="J13" s="30" t="s">
        <v>702</v>
      </c>
      <c r="K13" s="30" t="s">
        <v>702</v>
      </c>
      <c r="L13" s="30">
        <v>40000</v>
      </c>
      <c r="M13" s="30" t="s">
        <v>702</v>
      </c>
      <c r="N13" s="3">
        <v>46207.383333333302</v>
      </c>
      <c r="O13" s="2" t="s">
        <v>803</v>
      </c>
      <c r="P13" s="3">
        <v>46207.383333333302</v>
      </c>
      <c r="Q13" s="2" t="s">
        <v>803</v>
      </c>
      <c r="R13" s="34"/>
      <c r="S13" s="1" t="s">
        <v>31</v>
      </c>
    </row>
    <row r="14" spans="1:19">
      <c r="B14" s="2" t="s">
        <v>2947</v>
      </c>
      <c r="C14" s="2" t="s">
        <v>2888</v>
      </c>
      <c r="D14" s="2" t="s">
        <v>2530</v>
      </c>
      <c r="E14" s="1">
        <v>3</v>
      </c>
      <c r="F14" s="2" t="s">
        <v>2531</v>
      </c>
      <c r="G14" s="2" t="s">
        <v>1310</v>
      </c>
      <c r="H14" s="1" t="s">
        <v>702</v>
      </c>
      <c r="I14" s="1">
        <v>1</v>
      </c>
      <c r="J14" s="30" t="s">
        <v>702</v>
      </c>
      <c r="K14" s="30" t="s">
        <v>702</v>
      </c>
      <c r="L14" s="30">
        <v>40000</v>
      </c>
      <c r="M14" s="30" t="s">
        <v>702</v>
      </c>
      <c r="N14" s="3">
        <v>46207.383333333302</v>
      </c>
      <c r="O14" s="2" t="s">
        <v>803</v>
      </c>
      <c r="P14" s="3">
        <v>46207.383333333302</v>
      </c>
      <c r="Q14" s="2" t="s">
        <v>803</v>
      </c>
      <c r="R14" s="34"/>
      <c r="S14" s="1" t="s">
        <v>31</v>
      </c>
    </row>
    <row r="15" spans="1:19">
      <c r="B15" s="2" t="s">
        <v>2948</v>
      </c>
      <c r="C15" s="2" t="s">
        <v>2888</v>
      </c>
      <c r="D15" s="2" t="s">
        <v>2532</v>
      </c>
      <c r="E15" s="1">
        <v>4</v>
      </c>
      <c r="F15" s="2" t="s">
        <v>2533</v>
      </c>
      <c r="G15" s="2" t="s">
        <v>1313</v>
      </c>
      <c r="H15" s="1">
        <v>9</v>
      </c>
      <c r="I15" s="1" t="s">
        <v>702</v>
      </c>
      <c r="J15" s="30" t="s">
        <v>702</v>
      </c>
      <c r="K15" s="30" t="s">
        <v>702</v>
      </c>
      <c r="L15" s="30">
        <v>112500</v>
      </c>
      <c r="M15" s="30" t="s">
        <v>702</v>
      </c>
      <c r="N15" s="3">
        <v>46207.383333333302</v>
      </c>
      <c r="O15" s="2" t="s">
        <v>803</v>
      </c>
      <c r="P15" s="3">
        <v>46207.383333333302</v>
      </c>
      <c r="Q15" s="2" t="s">
        <v>803</v>
      </c>
      <c r="R15" s="34"/>
      <c r="S15" s="1" t="s">
        <v>31</v>
      </c>
    </row>
    <row r="16" spans="1:19">
      <c r="B16" s="2" t="s">
        <v>2949</v>
      </c>
      <c r="C16" s="2" t="s">
        <v>2889</v>
      </c>
      <c r="D16" s="2" t="s">
        <v>2534</v>
      </c>
      <c r="E16" s="1">
        <v>1</v>
      </c>
      <c r="F16" s="2" t="s">
        <v>2535</v>
      </c>
      <c r="G16" s="2" t="s">
        <v>1316</v>
      </c>
      <c r="H16" s="1">
        <v>4</v>
      </c>
      <c r="I16" s="1" t="s">
        <v>702</v>
      </c>
      <c r="J16" s="30" t="s">
        <v>702</v>
      </c>
      <c r="K16" s="30" t="s">
        <v>702</v>
      </c>
      <c r="L16" s="30">
        <v>60000</v>
      </c>
      <c r="M16" s="30" t="s">
        <v>702</v>
      </c>
      <c r="N16" s="3">
        <v>46208.520138888904</v>
      </c>
      <c r="O16" s="2" t="s">
        <v>807</v>
      </c>
      <c r="P16" s="3">
        <v>46208.520138888904</v>
      </c>
      <c r="Q16" s="2" t="s">
        <v>807</v>
      </c>
      <c r="R16" s="34"/>
      <c r="S16" s="1" t="s">
        <v>31</v>
      </c>
    </row>
    <row r="17" spans="2:19">
      <c r="B17" s="2" t="s">
        <v>2950</v>
      </c>
      <c r="C17" s="2" t="s">
        <v>2889</v>
      </c>
      <c r="D17" s="2" t="s">
        <v>2536</v>
      </c>
      <c r="E17" s="1">
        <v>2</v>
      </c>
      <c r="F17" s="2" t="s">
        <v>2537</v>
      </c>
      <c r="G17" s="2" t="s">
        <v>1319</v>
      </c>
      <c r="H17" s="1" t="s">
        <v>702</v>
      </c>
      <c r="I17" s="1">
        <v>1</v>
      </c>
      <c r="J17" s="30" t="s">
        <v>702</v>
      </c>
      <c r="K17" s="30" t="s">
        <v>702</v>
      </c>
      <c r="L17" s="30">
        <v>60000</v>
      </c>
      <c r="M17" s="30" t="s">
        <v>702</v>
      </c>
      <c r="N17" s="3">
        <v>46208.520138888904</v>
      </c>
      <c r="O17" s="2" t="s">
        <v>807</v>
      </c>
      <c r="P17" s="3">
        <v>46208.520138888904</v>
      </c>
      <c r="Q17" s="2" t="s">
        <v>807</v>
      </c>
      <c r="R17" s="34"/>
      <c r="S17" s="1" t="s">
        <v>31</v>
      </c>
    </row>
    <row r="18" spans="2:19">
      <c r="B18" s="2" t="s">
        <v>2951</v>
      </c>
      <c r="C18" s="2" t="s">
        <v>2889</v>
      </c>
      <c r="D18" s="2" t="s">
        <v>2538</v>
      </c>
      <c r="E18" s="1">
        <v>3</v>
      </c>
      <c r="F18" s="2" t="s">
        <v>2539</v>
      </c>
      <c r="G18" s="2" t="s">
        <v>1259</v>
      </c>
      <c r="H18" s="1">
        <v>8</v>
      </c>
      <c r="I18" s="1" t="s">
        <v>702</v>
      </c>
      <c r="J18" s="30" t="s">
        <v>702</v>
      </c>
      <c r="K18" s="30" t="s">
        <v>702</v>
      </c>
      <c r="L18" s="30">
        <v>100000</v>
      </c>
      <c r="M18" s="30" t="s">
        <v>702</v>
      </c>
      <c r="N18" s="3">
        <v>46208.520138888904</v>
      </c>
      <c r="O18" s="2" t="s">
        <v>807</v>
      </c>
      <c r="P18" s="3">
        <v>46208.520138888904</v>
      </c>
      <c r="Q18" s="2" t="s">
        <v>807</v>
      </c>
      <c r="R18" s="34"/>
      <c r="S18" s="1" t="s">
        <v>31</v>
      </c>
    </row>
    <row r="19" spans="2:19">
      <c r="B19" s="2" t="s">
        <v>2952</v>
      </c>
      <c r="C19" s="2" t="s">
        <v>2889</v>
      </c>
      <c r="D19" s="2" t="s">
        <v>2540</v>
      </c>
      <c r="E19" s="1">
        <v>4</v>
      </c>
      <c r="F19" s="2" t="s">
        <v>2541</v>
      </c>
      <c r="G19" s="2" t="s">
        <v>1262</v>
      </c>
      <c r="H19" s="1" t="s">
        <v>702</v>
      </c>
      <c r="I19" s="1">
        <v>3</v>
      </c>
      <c r="J19" s="30" t="s">
        <v>702</v>
      </c>
      <c r="K19" s="30" t="s">
        <v>702</v>
      </c>
      <c r="L19" s="30">
        <v>127500</v>
      </c>
      <c r="M19" s="30" t="s">
        <v>702</v>
      </c>
      <c r="N19" s="3">
        <v>46208.520138888904</v>
      </c>
      <c r="O19" s="2" t="s">
        <v>807</v>
      </c>
      <c r="P19" s="3">
        <v>46208.520138888904</v>
      </c>
      <c r="Q19" s="2" t="s">
        <v>807</v>
      </c>
      <c r="R19" s="34"/>
      <c r="S19" s="1" t="s">
        <v>31</v>
      </c>
    </row>
    <row r="20" spans="2:19">
      <c r="B20" s="2" t="s">
        <v>2953</v>
      </c>
      <c r="C20" s="2" t="s">
        <v>2890</v>
      </c>
      <c r="D20" s="2" t="s">
        <v>2542</v>
      </c>
      <c r="E20" s="1">
        <v>1</v>
      </c>
      <c r="F20" s="2" t="s">
        <v>2543</v>
      </c>
      <c r="G20" s="2" t="s">
        <v>1265</v>
      </c>
      <c r="H20" s="1" t="s">
        <v>702</v>
      </c>
      <c r="I20" s="1">
        <v>1</v>
      </c>
      <c r="J20" s="30" t="s">
        <v>702</v>
      </c>
      <c r="K20" s="30" t="s">
        <v>702</v>
      </c>
      <c r="L20" s="30">
        <v>50000</v>
      </c>
      <c r="M20" s="30" t="s">
        <v>702</v>
      </c>
      <c r="N20" s="3">
        <v>46208.656944444403</v>
      </c>
      <c r="O20" s="2" t="s">
        <v>811</v>
      </c>
      <c r="P20" s="3">
        <v>46208.656944444403</v>
      </c>
      <c r="Q20" s="2" t="s">
        <v>811</v>
      </c>
      <c r="R20" s="34"/>
      <c r="S20" s="1" t="s">
        <v>31</v>
      </c>
    </row>
    <row r="21" spans="2:19">
      <c r="B21" s="2" t="s">
        <v>2954</v>
      </c>
      <c r="C21" s="2" t="s">
        <v>2890</v>
      </c>
      <c r="D21" s="2" t="s">
        <v>2544</v>
      </c>
      <c r="E21" s="1">
        <v>2</v>
      </c>
      <c r="F21" s="2" t="s">
        <v>2545</v>
      </c>
      <c r="G21" s="2" t="s">
        <v>1268</v>
      </c>
      <c r="H21" s="1">
        <v>7</v>
      </c>
      <c r="I21" s="1" t="s">
        <v>702</v>
      </c>
      <c r="J21" s="30" t="s">
        <v>702</v>
      </c>
      <c r="K21" s="30" t="s">
        <v>702</v>
      </c>
      <c r="L21" s="30">
        <v>52500</v>
      </c>
      <c r="M21" s="30" t="s">
        <v>702</v>
      </c>
      <c r="N21" s="3">
        <v>46208.656944444403</v>
      </c>
      <c r="O21" s="2" t="s">
        <v>811</v>
      </c>
      <c r="P21" s="3">
        <v>46208.656944444403</v>
      </c>
      <c r="Q21" s="2" t="s">
        <v>811</v>
      </c>
      <c r="R21" s="34"/>
      <c r="S21" s="1" t="s">
        <v>31</v>
      </c>
    </row>
    <row r="22" spans="2:19">
      <c r="B22" s="2" t="s">
        <v>2955</v>
      </c>
      <c r="C22" s="2" t="s">
        <v>2890</v>
      </c>
      <c r="D22" s="2" t="s">
        <v>2546</v>
      </c>
      <c r="E22" s="1">
        <v>3</v>
      </c>
      <c r="F22" s="2" t="s">
        <v>2547</v>
      </c>
      <c r="G22" s="2" t="s">
        <v>1271</v>
      </c>
      <c r="H22" s="1" t="s">
        <v>702</v>
      </c>
      <c r="I22" s="1">
        <v>3</v>
      </c>
      <c r="J22" s="30" t="s">
        <v>702</v>
      </c>
      <c r="K22" s="30" t="s">
        <v>702</v>
      </c>
      <c r="L22" s="30">
        <v>96000</v>
      </c>
      <c r="M22" s="30" t="s">
        <v>702</v>
      </c>
      <c r="N22" s="3">
        <v>46208.656944444403</v>
      </c>
      <c r="O22" s="2" t="s">
        <v>811</v>
      </c>
      <c r="P22" s="3">
        <v>46208.656944444403</v>
      </c>
      <c r="Q22" s="2" t="s">
        <v>811</v>
      </c>
      <c r="R22" s="34"/>
      <c r="S22" s="1" t="s">
        <v>31</v>
      </c>
    </row>
    <row r="23" spans="2:19">
      <c r="B23" s="2" t="s">
        <v>2956</v>
      </c>
      <c r="C23" s="2" t="s">
        <v>2890</v>
      </c>
      <c r="D23" s="2" t="s">
        <v>2548</v>
      </c>
      <c r="E23" s="1">
        <v>4</v>
      </c>
      <c r="F23" s="2" t="s">
        <v>2549</v>
      </c>
      <c r="G23" s="2" t="s">
        <v>1274</v>
      </c>
      <c r="H23" s="1">
        <v>11</v>
      </c>
      <c r="I23" s="1" t="s">
        <v>702</v>
      </c>
      <c r="J23" s="30" t="s">
        <v>702</v>
      </c>
      <c r="K23" s="30" t="s">
        <v>702</v>
      </c>
      <c r="L23" s="30">
        <v>137500</v>
      </c>
      <c r="M23" s="30" t="s">
        <v>702</v>
      </c>
      <c r="N23" s="3">
        <v>46208.656944444403</v>
      </c>
      <c r="O23" s="2" t="s">
        <v>811</v>
      </c>
      <c r="P23" s="3">
        <v>46208.656944444403</v>
      </c>
      <c r="Q23" s="2" t="s">
        <v>811</v>
      </c>
      <c r="R23" s="34"/>
      <c r="S23" s="1" t="s">
        <v>31</v>
      </c>
    </row>
    <row r="24" spans="2:19">
      <c r="B24" s="2" t="s">
        <v>2957</v>
      </c>
      <c r="C24" s="2" t="s">
        <v>2891</v>
      </c>
      <c r="D24" s="2" t="s">
        <v>2550</v>
      </c>
      <c r="E24" s="1">
        <v>1</v>
      </c>
      <c r="F24" s="2" t="s">
        <v>2551</v>
      </c>
      <c r="G24" s="2" t="s">
        <v>1277</v>
      </c>
      <c r="H24" s="1">
        <v>6</v>
      </c>
      <c r="I24" s="1" t="s">
        <v>702</v>
      </c>
      <c r="J24" s="30" t="s">
        <v>702</v>
      </c>
      <c r="K24" s="30" t="s">
        <v>702</v>
      </c>
      <c r="L24" s="30">
        <v>75000</v>
      </c>
      <c r="M24" s="30" t="s">
        <v>702</v>
      </c>
      <c r="N24" s="3">
        <v>46209.377083333296</v>
      </c>
      <c r="O24" s="2" t="s">
        <v>815</v>
      </c>
      <c r="P24" s="3">
        <v>46209.377083333296</v>
      </c>
      <c r="Q24" s="2" t="s">
        <v>815</v>
      </c>
      <c r="R24" s="34"/>
      <c r="S24" s="1" t="s">
        <v>31</v>
      </c>
    </row>
    <row r="25" spans="2:19">
      <c r="B25" s="2" t="s">
        <v>2958</v>
      </c>
      <c r="C25" s="2" t="s">
        <v>2891</v>
      </c>
      <c r="D25" s="2" t="s">
        <v>2552</v>
      </c>
      <c r="E25" s="1">
        <v>2</v>
      </c>
      <c r="F25" s="2" t="s">
        <v>2553</v>
      </c>
      <c r="G25" s="2" t="s">
        <v>1280</v>
      </c>
      <c r="H25" s="1" t="s">
        <v>702</v>
      </c>
      <c r="I25" s="1">
        <v>3</v>
      </c>
      <c r="J25" s="30" t="s">
        <v>702</v>
      </c>
      <c r="K25" s="30" t="s">
        <v>702</v>
      </c>
      <c r="L25" s="30">
        <v>127500</v>
      </c>
      <c r="M25" s="30" t="s">
        <v>702</v>
      </c>
      <c r="N25" s="3">
        <v>46209.377083333296</v>
      </c>
      <c r="O25" s="2" t="s">
        <v>815</v>
      </c>
      <c r="P25" s="3">
        <v>46209.377083333296</v>
      </c>
      <c r="Q25" s="2" t="s">
        <v>815</v>
      </c>
      <c r="R25" s="34"/>
      <c r="S25" s="1" t="s">
        <v>31</v>
      </c>
    </row>
    <row r="26" spans="2:19">
      <c r="B26" s="2" t="s">
        <v>2959</v>
      </c>
      <c r="C26" s="2" t="s">
        <v>2891</v>
      </c>
      <c r="D26" s="2" t="s">
        <v>2554</v>
      </c>
      <c r="E26" s="1">
        <v>3</v>
      </c>
      <c r="F26" s="2" t="s">
        <v>2555</v>
      </c>
      <c r="G26" s="2" t="s">
        <v>1283</v>
      </c>
      <c r="H26" s="1">
        <v>10</v>
      </c>
      <c r="I26" s="1" t="s">
        <v>702</v>
      </c>
      <c r="J26" s="30" t="s">
        <v>702</v>
      </c>
      <c r="K26" s="30" t="s">
        <v>702</v>
      </c>
      <c r="L26" s="30">
        <v>175000</v>
      </c>
      <c r="M26" s="30" t="s">
        <v>702</v>
      </c>
      <c r="N26" s="3">
        <v>46209.377083333296</v>
      </c>
      <c r="O26" s="2" t="s">
        <v>815</v>
      </c>
      <c r="P26" s="3">
        <v>46209.377083333296</v>
      </c>
      <c r="Q26" s="2" t="s">
        <v>815</v>
      </c>
      <c r="R26" s="34"/>
      <c r="S26" s="1" t="s">
        <v>31</v>
      </c>
    </row>
    <row r="27" spans="2:19" ht="29" customHeight="1">
      <c r="B27" s="2" t="s">
        <v>2960</v>
      </c>
      <c r="C27" s="2" t="s">
        <v>2891</v>
      </c>
      <c r="D27" s="2" t="s">
        <v>2556</v>
      </c>
      <c r="E27" s="1">
        <v>4</v>
      </c>
      <c r="F27" s="2" t="s">
        <v>2557</v>
      </c>
      <c r="G27" s="2" t="s">
        <v>1286</v>
      </c>
      <c r="H27" s="1" t="s">
        <v>702</v>
      </c>
      <c r="I27" s="1">
        <v>2</v>
      </c>
      <c r="J27" s="30" t="s">
        <v>702</v>
      </c>
      <c r="K27" s="30" t="s">
        <v>702</v>
      </c>
      <c r="L27" s="30">
        <v>60000</v>
      </c>
      <c r="M27" s="30" t="s">
        <v>702</v>
      </c>
      <c r="N27" s="3">
        <v>46209.377083333296</v>
      </c>
      <c r="O27" s="2" t="s">
        <v>815</v>
      </c>
      <c r="P27" s="3">
        <v>46209.377083333296</v>
      </c>
      <c r="Q27" s="2" t="s">
        <v>815</v>
      </c>
      <c r="R27" s="34"/>
      <c r="S27" s="1" t="s">
        <v>31</v>
      </c>
    </row>
    <row r="28" spans="2:19">
      <c r="B28" s="2" t="s">
        <v>2961</v>
      </c>
      <c r="C28" s="2" t="s">
        <v>2892</v>
      </c>
      <c r="D28" s="2" t="s">
        <v>2558</v>
      </c>
      <c r="E28" s="1">
        <v>1</v>
      </c>
      <c r="F28" s="2" t="s">
        <v>2559</v>
      </c>
      <c r="G28" s="2" t="s">
        <v>1289</v>
      </c>
      <c r="H28" s="1" t="s">
        <v>702</v>
      </c>
      <c r="I28" s="1">
        <v>3</v>
      </c>
      <c r="J28" s="30" t="s">
        <v>702</v>
      </c>
      <c r="K28" s="30" t="s">
        <v>702</v>
      </c>
      <c r="L28" s="30">
        <v>120000</v>
      </c>
      <c r="M28" s="30" t="s">
        <v>702</v>
      </c>
      <c r="N28" s="3">
        <v>46209.513888888898</v>
      </c>
      <c r="O28" s="2" t="s">
        <v>86</v>
      </c>
      <c r="P28" s="3">
        <v>46209.513888888898</v>
      </c>
      <c r="Q28" s="2" t="s">
        <v>86</v>
      </c>
      <c r="R28" s="34"/>
      <c r="S28" s="1" t="s">
        <v>31</v>
      </c>
    </row>
    <row r="29" spans="2:19">
      <c r="B29" s="2" t="s">
        <v>2962</v>
      </c>
      <c r="C29" s="2" t="s">
        <v>2892</v>
      </c>
      <c r="D29" s="2" t="s">
        <v>2560</v>
      </c>
      <c r="E29" s="1">
        <v>2</v>
      </c>
      <c r="F29" s="2" t="s">
        <v>2561</v>
      </c>
      <c r="G29" s="2" t="s">
        <v>1292</v>
      </c>
      <c r="H29" s="1">
        <v>9</v>
      </c>
      <c r="I29" s="1" t="s">
        <v>702</v>
      </c>
      <c r="J29" s="30" t="s">
        <v>702</v>
      </c>
      <c r="K29" s="30" t="s">
        <v>702</v>
      </c>
      <c r="L29" s="30">
        <v>135000</v>
      </c>
      <c r="M29" s="30" t="s">
        <v>702</v>
      </c>
      <c r="N29" s="3">
        <v>46209.513888888898</v>
      </c>
      <c r="O29" s="2" t="s">
        <v>86</v>
      </c>
      <c r="P29" s="3">
        <v>46209.513888888898</v>
      </c>
      <c r="Q29" s="2" t="s">
        <v>86</v>
      </c>
      <c r="R29" s="34"/>
      <c r="S29" s="1" t="s">
        <v>31</v>
      </c>
    </row>
    <row r="30" spans="2:19" ht="29" customHeight="1">
      <c r="B30" s="2" t="s">
        <v>2963</v>
      </c>
      <c r="C30" s="2" t="s">
        <v>2892</v>
      </c>
      <c r="D30" s="2" t="s">
        <v>2562</v>
      </c>
      <c r="E30" s="1">
        <v>3</v>
      </c>
      <c r="F30" s="2" t="s">
        <v>2563</v>
      </c>
      <c r="G30" s="2" t="s">
        <v>1295</v>
      </c>
      <c r="H30" s="1" t="s">
        <v>702</v>
      </c>
      <c r="I30" s="1">
        <v>2</v>
      </c>
      <c r="J30" s="30" t="s">
        <v>702</v>
      </c>
      <c r="K30" s="30" t="s">
        <v>702</v>
      </c>
      <c r="L30" s="30">
        <v>30000</v>
      </c>
      <c r="M30" s="30" t="s">
        <v>702</v>
      </c>
      <c r="N30" s="3">
        <v>46209.513888888898</v>
      </c>
      <c r="O30" s="2" t="s">
        <v>86</v>
      </c>
      <c r="P30" s="3">
        <v>46209.513888888898</v>
      </c>
      <c r="Q30" s="2" t="s">
        <v>86</v>
      </c>
      <c r="R30" s="34"/>
      <c r="S30" s="1" t="s">
        <v>31</v>
      </c>
    </row>
    <row r="31" spans="2:19">
      <c r="B31" s="2" t="s">
        <v>2964</v>
      </c>
      <c r="C31" s="2" t="s">
        <v>2892</v>
      </c>
      <c r="D31" s="2" t="s">
        <v>2564</v>
      </c>
      <c r="E31" s="1">
        <v>4</v>
      </c>
      <c r="F31" s="2" t="s">
        <v>2565</v>
      </c>
      <c r="G31" s="2" t="s">
        <v>1298</v>
      </c>
      <c r="H31" s="1">
        <v>1</v>
      </c>
      <c r="I31" s="1" t="s">
        <v>702</v>
      </c>
      <c r="J31" s="30" t="s">
        <v>702</v>
      </c>
      <c r="K31" s="30" t="s">
        <v>702</v>
      </c>
      <c r="L31" s="30">
        <v>5000</v>
      </c>
      <c r="M31" s="30" t="s">
        <v>702</v>
      </c>
      <c r="N31" s="3">
        <v>46209.513888888898</v>
      </c>
      <c r="O31" s="2" t="s">
        <v>86</v>
      </c>
      <c r="P31" s="3">
        <v>46209.513888888898</v>
      </c>
      <c r="Q31" s="2" t="s">
        <v>86</v>
      </c>
      <c r="R31" s="34"/>
      <c r="S31" s="1" t="s">
        <v>31</v>
      </c>
    </row>
    <row r="32" spans="2:19">
      <c r="B32" s="2" t="s">
        <v>2965</v>
      </c>
      <c r="C32" s="2" t="s">
        <v>2893</v>
      </c>
      <c r="D32" s="2" t="s">
        <v>2566</v>
      </c>
      <c r="E32" s="1">
        <v>1</v>
      </c>
      <c r="F32" s="2" t="s">
        <v>2567</v>
      </c>
      <c r="G32" s="2" t="s">
        <v>1301</v>
      </c>
      <c r="H32" s="1">
        <v>8</v>
      </c>
      <c r="I32" s="1" t="s">
        <v>702</v>
      </c>
      <c r="J32" s="30" t="s">
        <v>702</v>
      </c>
      <c r="K32" s="30" t="s">
        <v>702</v>
      </c>
      <c r="L32" s="30">
        <v>56000</v>
      </c>
      <c r="M32" s="30" t="s">
        <v>702</v>
      </c>
      <c r="N32" s="3">
        <v>46210.650694444397</v>
      </c>
      <c r="O32" s="2" t="s">
        <v>822</v>
      </c>
      <c r="P32" s="3">
        <v>46210.650694444397</v>
      </c>
      <c r="Q32" s="2" t="s">
        <v>822</v>
      </c>
      <c r="R32" s="34"/>
      <c r="S32" s="1" t="s">
        <v>31</v>
      </c>
    </row>
    <row r="33" spans="2:19" ht="29" customHeight="1">
      <c r="B33" s="2" t="s">
        <v>2966</v>
      </c>
      <c r="C33" s="2" t="s">
        <v>2893</v>
      </c>
      <c r="D33" s="2" t="s">
        <v>2568</v>
      </c>
      <c r="E33" s="1">
        <v>2</v>
      </c>
      <c r="F33" s="2" t="s">
        <v>2569</v>
      </c>
      <c r="G33" s="2" t="s">
        <v>1304</v>
      </c>
      <c r="H33" s="1" t="s">
        <v>702</v>
      </c>
      <c r="I33" s="1">
        <v>2</v>
      </c>
      <c r="J33" s="30" t="s">
        <v>702</v>
      </c>
      <c r="K33" s="30" t="s">
        <v>702</v>
      </c>
      <c r="L33" s="30">
        <v>40000</v>
      </c>
      <c r="M33" s="30" t="s">
        <v>702</v>
      </c>
      <c r="N33" s="3">
        <v>46210.650694444397</v>
      </c>
      <c r="O33" s="2" t="s">
        <v>822</v>
      </c>
      <c r="P33" s="3">
        <v>46210.650694444397</v>
      </c>
      <c r="Q33" s="2" t="s">
        <v>822</v>
      </c>
      <c r="R33" s="34"/>
      <c r="S33" s="1" t="s">
        <v>31</v>
      </c>
    </row>
    <row r="34" spans="2:19">
      <c r="B34" s="2" t="s">
        <v>2967</v>
      </c>
      <c r="C34" s="2" t="s">
        <v>2893</v>
      </c>
      <c r="D34" s="2" t="s">
        <v>2570</v>
      </c>
      <c r="E34" s="1">
        <v>3</v>
      </c>
      <c r="F34" s="2" t="s">
        <v>2571</v>
      </c>
      <c r="G34" s="2" t="s">
        <v>1307</v>
      </c>
      <c r="H34" s="1">
        <v>12</v>
      </c>
      <c r="I34" s="1" t="s">
        <v>702</v>
      </c>
      <c r="J34" s="30" t="s">
        <v>702</v>
      </c>
      <c r="K34" s="30" t="s">
        <v>702</v>
      </c>
      <c r="L34" s="30">
        <v>96000</v>
      </c>
      <c r="M34" s="30" t="s">
        <v>702</v>
      </c>
      <c r="N34" s="3">
        <v>46210.650694444397</v>
      </c>
      <c r="O34" s="2" t="s">
        <v>822</v>
      </c>
      <c r="P34" s="3">
        <v>46210.650694444397</v>
      </c>
      <c r="Q34" s="2" t="s">
        <v>822</v>
      </c>
      <c r="R34" s="34"/>
      <c r="S34" s="1" t="s">
        <v>31</v>
      </c>
    </row>
    <row r="35" spans="2:19">
      <c r="B35" s="2" t="s">
        <v>2968</v>
      </c>
      <c r="C35" s="2" t="s">
        <v>2893</v>
      </c>
      <c r="D35" s="2" t="s">
        <v>2572</v>
      </c>
      <c r="E35" s="1">
        <v>4</v>
      </c>
      <c r="F35" s="2" t="s">
        <v>2573</v>
      </c>
      <c r="G35" s="2" t="s">
        <v>1310</v>
      </c>
      <c r="H35" s="1" t="s">
        <v>702</v>
      </c>
      <c r="I35" s="1">
        <v>1</v>
      </c>
      <c r="J35" s="30" t="s">
        <v>702</v>
      </c>
      <c r="K35" s="30" t="s">
        <v>702</v>
      </c>
      <c r="L35" s="30">
        <v>40000</v>
      </c>
      <c r="M35" s="30" t="s">
        <v>702</v>
      </c>
      <c r="N35" s="3">
        <v>46210.650694444397</v>
      </c>
      <c r="O35" s="2" t="s">
        <v>822</v>
      </c>
      <c r="P35" s="3">
        <v>46210.650694444397</v>
      </c>
      <c r="Q35" s="2" t="s">
        <v>822</v>
      </c>
      <c r="R35" s="34"/>
      <c r="S35" s="1" t="s">
        <v>31</v>
      </c>
    </row>
    <row r="36" spans="2:19" ht="29" customHeight="1">
      <c r="B36" s="2" t="s">
        <v>2969</v>
      </c>
      <c r="C36" s="2" t="s">
        <v>2894</v>
      </c>
      <c r="D36" s="2" t="s">
        <v>2574</v>
      </c>
      <c r="E36" s="1">
        <v>1</v>
      </c>
      <c r="F36" s="2" t="s">
        <v>2575</v>
      </c>
      <c r="G36" s="2" t="s">
        <v>1313</v>
      </c>
      <c r="H36" s="1" t="s">
        <v>702</v>
      </c>
      <c r="I36" s="1">
        <v>2</v>
      </c>
      <c r="J36" s="30" t="s">
        <v>702</v>
      </c>
      <c r="K36" s="30" t="s">
        <v>702</v>
      </c>
      <c r="L36" s="30">
        <v>80000</v>
      </c>
      <c r="M36" s="30" t="s">
        <v>702</v>
      </c>
      <c r="N36" s="3">
        <v>46210.412499999999</v>
      </c>
      <c r="O36" s="2" t="s">
        <v>826</v>
      </c>
      <c r="P36" s="3">
        <v>46210.412499999999</v>
      </c>
      <c r="Q36" s="2" t="s">
        <v>826</v>
      </c>
      <c r="R36" s="34"/>
      <c r="S36" s="1" t="s">
        <v>31</v>
      </c>
    </row>
    <row r="37" spans="2:19">
      <c r="B37" s="2" t="s">
        <v>2970</v>
      </c>
      <c r="C37" s="2" t="s">
        <v>2894</v>
      </c>
      <c r="D37" s="2" t="s">
        <v>2576</v>
      </c>
      <c r="E37" s="1">
        <v>2</v>
      </c>
      <c r="F37" s="2" t="s">
        <v>2577</v>
      </c>
      <c r="G37" s="2" t="s">
        <v>1316</v>
      </c>
      <c r="H37" s="1">
        <v>11</v>
      </c>
      <c r="I37" s="1" t="s">
        <v>702</v>
      </c>
      <c r="J37" s="30" t="s">
        <v>702</v>
      </c>
      <c r="K37" s="30" t="s">
        <v>702</v>
      </c>
      <c r="L37" s="30">
        <v>165000</v>
      </c>
      <c r="M37" s="30" t="s">
        <v>702</v>
      </c>
      <c r="N37" s="3">
        <v>46210.412499999999</v>
      </c>
      <c r="O37" s="2" t="s">
        <v>826</v>
      </c>
      <c r="P37" s="3">
        <v>46210.412499999999</v>
      </c>
      <c r="Q37" s="2" t="s">
        <v>826</v>
      </c>
      <c r="R37" s="34"/>
      <c r="S37" s="1" t="s">
        <v>31</v>
      </c>
    </row>
    <row r="38" spans="2:19">
      <c r="B38" s="2" t="s">
        <v>2971</v>
      </c>
      <c r="C38" s="2" t="s">
        <v>2894</v>
      </c>
      <c r="D38" s="2" t="s">
        <v>2578</v>
      </c>
      <c r="E38" s="1">
        <v>3</v>
      </c>
      <c r="F38" s="2" t="s">
        <v>2579</v>
      </c>
      <c r="G38" s="2" t="s">
        <v>1319</v>
      </c>
      <c r="H38" s="1" t="s">
        <v>702</v>
      </c>
      <c r="I38" s="1">
        <v>1</v>
      </c>
      <c r="J38" s="30" t="s">
        <v>702</v>
      </c>
      <c r="K38" s="30" t="s">
        <v>702</v>
      </c>
      <c r="L38" s="30">
        <v>60000</v>
      </c>
      <c r="M38" s="30" t="s">
        <v>702</v>
      </c>
      <c r="N38" s="3">
        <v>46210.412499999999</v>
      </c>
      <c r="O38" s="2" t="s">
        <v>826</v>
      </c>
      <c r="P38" s="3">
        <v>46210.412499999999</v>
      </c>
      <c r="Q38" s="2" t="s">
        <v>826</v>
      </c>
      <c r="R38" s="34"/>
      <c r="S38" s="1" t="s">
        <v>31</v>
      </c>
    </row>
    <row r="39" spans="2:19">
      <c r="B39" s="2" t="s">
        <v>2972</v>
      </c>
      <c r="C39" s="2" t="s">
        <v>2894</v>
      </c>
      <c r="D39" s="2" t="s">
        <v>2580</v>
      </c>
      <c r="E39" s="1">
        <v>4</v>
      </c>
      <c r="F39" s="2" t="s">
        <v>2581</v>
      </c>
      <c r="G39" s="2" t="s">
        <v>1259</v>
      </c>
      <c r="H39" s="1">
        <v>3</v>
      </c>
      <c r="I39" s="1" t="s">
        <v>702</v>
      </c>
      <c r="J39" s="30" t="s">
        <v>702</v>
      </c>
      <c r="K39" s="30" t="s">
        <v>702</v>
      </c>
      <c r="L39" s="30">
        <v>37500</v>
      </c>
      <c r="M39" s="30" t="s">
        <v>702</v>
      </c>
      <c r="N39" s="3">
        <v>46210.412499999999</v>
      </c>
      <c r="O39" s="2" t="s">
        <v>826</v>
      </c>
      <c r="P39" s="3">
        <v>46210.412499999999</v>
      </c>
      <c r="Q39" s="2" t="s">
        <v>826</v>
      </c>
      <c r="R39" s="34"/>
      <c r="S39" s="1" t="s">
        <v>31</v>
      </c>
    </row>
    <row r="40" spans="2:19">
      <c r="B40" s="2" t="s">
        <v>2973</v>
      </c>
      <c r="C40" s="2" t="s">
        <v>2895</v>
      </c>
      <c r="D40" s="2" t="s">
        <v>2582</v>
      </c>
      <c r="E40" s="1">
        <v>1</v>
      </c>
      <c r="F40" s="2" t="s">
        <v>2583</v>
      </c>
      <c r="G40" s="2" t="s">
        <v>1262</v>
      </c>
      <c r="H40" s="1">
        <v>10</v>
      </c>
      <c r="I40" s="1" t="s">
        <v>702</v>
      </c>
      <c r="J40" s="30" t="s">
        <v>702</v>
      </c>
      <c r="K40" s="30" t="s">
        <v>702</v>
      </c>
      <c r="L40" s="30">
        <v>150000</v>
      </c>
      <c r="M40" s="30" t="s">
        <v>702</v>
      </c>
      <c r="N40" s="3">
        <v>46211.507638888899</v>
      </c>
      <c r="O40" s="2" t="s">
        <v>830</v>
      </c>
      <c r="P40" s="3">
        <v>46211.507638888899</v>
      </c>
      <c r="Q40" s="2" t="s">
        <v>830</v>
      </c>
      <c r="R40" s="34"/>
      <c r="S40" s="1" t="s">
        <v>31</v>
      </c>
    </row>
    <row r="41" spans="2:19">
      <c r="B41" s="2" t="s">
        <v>2974</v>
      </c>
      <c r="C41" s="2" t="s">
        <v>2895</v>
      </c>
      <c r="D41" s="2" t="s">
        <v>2584</v>
      </c>
      <c r="E41" s="1">
        <v>2</v>
      </c>
      <c r="F41" s="2" t="s">
        <v>2585</v>
      </c>
      <c r="G41" s="2" t="s">
        <v>1265</v>
      </c>
      <c r="H41" s="1" t="s">
        <v>702</v>
      </c>
      <c r="I41" s="1">
        <v>1</v>
      </c>
      <c r="J41" s="30" t="s">
        <v>702</v>
      </c>
      <c r="K41" s="30" t="s">
        <v>702</v>
      </c>
      <c r="L41" s="30">
        <v>50000</v>
      </c>
      <c r="M41" s="30" t="s">
        <v>702</v>
      </c>
      <c r="N41" s="3">
        <v>46211.507638888899</v>
      </c>
      <c r="O41" s="2" t="s">
        <v>830</v>
      </c>
      <c r="P41" s="3">
        <v>46211.507638888899</v>
      </c>
      <c r="Q41" s="2" t="s">
        <v>830</v>
      </c>
      <c r="R41" s="34"/>
      <c r="S41" s="1" t="s">
        <v>31</v>
      </c>
    </row>
    <row r="42" spans="2:19">
      <c r="B42" s="2" t="s">
        <v>2975</v>
      </c>
      <c r="C42" s="2" t="s">
        <v>2895</v>
      </c>
      <c r="D42" s="2" t="s">
        <v>2586</v>
      </c>
      <c r="E42" s="1">
        <v>3</v>
      </c>
      <c r="F42" s="2" t="s">
        <v>2587</v>
      </c>
      <c r="G42" s="2" t="s">
        <v>1268</v>
      </c>
      <c r="H42" s="1">
        <v>2</v>
      </c>
      <c r="I42" s="1" t="s">
        <v>702</v>
      </c>
      <c r="J42" s="30" t="s">
        <v>702</v>
      </c>
      <c r="K42" s="30" t="s">
        <v>702</v>
      </c>
      <c r="L42" s="30">
        <v>15000</v>
      </c>
      <c r="M42" s="30" t="s">
        <v>702</v>
      </c>
      <c r="N42" s="3">
        <v>46211.507638888899</v>
      </c>
      <c r="O42" s="2" t="s">
        <v>830</v>
      </c>
      <c r="P42" s="3">
        <v>46211.507638888899</v>
      </c>
      <c r="Q42" s="2" t="s">
        <v>830</v>
      </c>
      <c r="R42" s="34"/>
      <c r="S42" s="1" t="s">
        <v>31</v>
      </c>
    </row>
    <row r="43" spans="2:19" ht="29" customHeight="1">
      <c r="B43" s="2" t="s">
        <v>2976</v>
      </c>
      <c r="C43" s="2" t="s">
        <v>2895</v>
      </c>
      <c r="D43" s="2" t="s">
        <v>2588</v>
      </c>
      <c r="E43" s="1">
        <v>4</v>
      </c>
      <c r="F43" s="2" t="s">
        <v>2589</v>
      </c>
      <c r="G43" s="2" t="s">
        <v>1271</v>
      </c>
      <c r="H43" s="1" t="s">
        <v>702</v>
      </c>
      <c r="I43" s="1">
        <v>3</v>
      </c>
      <c r="J43" s="30" t="s">
        <v>702</v>
      </c>
      <c r="K43" s="30" t="s">
        <v>702</v>
      </c>
      <c r="L43" s="30">
        <v>96000</v>
      </c>
      <c r="M43" s="30" t="s">
        <v>702</v>
      </c>
      <c r="N43" s="3">
        <v>46211.507638888899</v>
      </c>
      <c r="O43" s="2" t="s">
        <v>830</v>
      </c>
      <c r="P43" s="3">
        <v>46211.507638888899</v>
      </c>
      <c r="Q43" s="2" t="s">
        <v>830</v>
      </c>
      <c r="R43" s="34"/>
      <c r="S43" s="1" t="s">
        <v>31</v>
      </c>
    </row>
    <row r="44" spans="2:19">
      <c r="B44" s="2" t="s">
        <v>2977</v>
      </c>
      <c r="C44" s="2" t="s">
        <v>2896</v>
      </c>
      <c r="D44" s="2" t="s">
        <v>2590</v>
      </c>
      <c r="E44" s="1">
        <v>1</v>
      </c>
      <c r="F44" s="2" t="s">
        <v>2591</v>
      </c>
      <c r="G44" s="2" t="s">
        <v>1274</v>
      </c>
      <c r="H44" s="1" t="s">
        <v>702</v>
      </c>
      <c r="I44" s="1">
        <v>1</v>
      </c>
      <c r="J44" s="30" t="s">
        <v>702</v>
      </c>
      <c r="K44" s="30" t="s">
        <v>702</v>
      </c>
      <c r="L44" s="30">
        <v>40000</v>
      </c>
      <c r="M44" s="30" t="s">
        <v>702</v>
      </c>
      <c r="N44" s="3">
        <v>46211.644444444399</v>
      </c>
      <c r="O44" s="2" t="s">
        <v>834</v>
      </c>
      <c r="P44" s="3">
        <v>46211.644444444399</v>
      </c>
      <c r="Q44" s="2" t="s">
        <v>834</v>
      </c>
      <c r="R44" s="34"/>
      <c r="S44" s="1" t="s">
        <v>31</v>
      </c>
    </row>
    <row r="45" spans="2:19">
      <c r="B45" s="2" t="s">
        <v>2978</v>
      </c>
      <c r="C45" s="2" t="s">
        <v>2896</v>
      </c>
      <c r="D45" s="2" t="s">
        <v>2592</v>
      </c>
      <c r="E45" s="1">
        <v>2</v>
      </c>
      <c r="F45" s="2" t="s">
        <v>2593</v>
      </c>
      <c r="G45" s="2" t="s">
        <v>1277</v>
      </c>
      <c r="H45" s="1">
        <v>1</v>
      </c>
      <c r="I45" s="1" t="s">
        <v>702</v>
      </c>
      <c r="J45" s="30" t="s">
        <v>702</v>
      </c>
      <c r="K45" s="30" t="s">
        <v>702</v>
      </c>
      <c r="L45" s="30">
        <v>12500</v>
      </c>
      <c r="M45" s="30" t="s">
        <v>702</v>
      </c>
      <c r="N45" s="3">
        <v>46211.644444444399</v>
      </c>
      <c r="O45" s="2" t="s">
        <v>834</v>
      </c>
      <c r="P45" s="3">
        <v>46211.644444444399</v>
      </c>
      <c r="Q45" s="2" t="s">
        <v>834</v>
      </c>
      <c r="R45" s="34"/>
      <c r="S45" s="1" t="s">
        <v>31</v>
      </c>
    </row>
    <row r="46" spans="2:19" ht="29" customHeight="1">
      <c r="B46" s="2" t="s">
        <v>2979</v>
      </c>
      <c r="C46" s="2" t="s">
        <v>2896</v>
      </c>
      <c r="D46" s="2" t="s">
        <v>2594</v>
      </c>
      <c r="E46" s="1">
        <v>3</v>
      </c>
      <c r="F46" s="2" t="s">
        <v>2595</v>
      </c>
      <c r="G46" s="2" t="s">
        <v>1280</v>
      </c>
      <c r="H46" s="1" t="s">
        <v>702</v>
      </c>
      <c r="I46" s="1">
        <v>3</v>
      </c>
      <c r="J46" s="30" t="s">
        <v>702</v>
      </c>
      <c r="K46" s="30" t="s">
        <v>702</v>
      </c>
      <c r="L46" s="30">
        <v>127500</v>
      </c>
      <c r="M46" s="30" t="s">
        <v>702</v>
      </c>
      <c r="N46" s="3">
        <v>46211.644444444399</v>
      </c>
      <c r="O46" s="2" t="s">
        <v>834</v>
      </c>
      <c r="P46" s="3">
        <v>46211.644444444399</v>
      </c>
      <c r="Q46" s="2" t="s">
        <v>834</v>
      </c>
      <c r="R46" s="34"/>
      <c r="S46" s="1" t="s">
        <v>31</v>
      </c>
    </row>
    <row r="47" spans="2:19" ht="29" customHeight="1">
      <c r="B47" s="2" t="s">
        <v>2980</v>
      </c>
      <c r="C47" s="2" t="s">
        <v>2896</v>
      </c>
      <c r="D47" s="2" t="s">
        <v>2596</v>
      </c>
      <c r="E47" s="1">
        <v>4</v>
      </c>
      <c r="F47" s="2" t="s">
        <v>2597</v>
      </c>
      <c r="G47" s="2" t="s">
        <v>1283</v>
      </c>
      <c r="H47" s="1">
        <v>5</v>
      </c>
      <c r="I47" s="1" t="s">
        <v>702</v>
      </c>
      <c r="J47" s="30" t="s">
        <v>702</v>
      </c>
      <c r="K47" s="30" t="s">
        <v>702</v>
      </c>
      <c r="L47" s="30">
        <v>87500</v>
      </c>
      <c r="M47" s="30" t="s">
        <v>702</v>
      </c>
      <c r="N47" s="3">
        <v>46211.644444444399</v>
      </c>
      <c r="O47" s="2" t="s">
        <v>834</v>
      </c>
      <c r="P47" s="3">
        <v>46211.644444444399</v>
      </c>
      <c r="Q47" s="2" t="s">
        <v>834</v>
      </c>
      <c r="R47" s="34"/>
      <c r="S47" s="1" t="s">
        <v>31</v>
      </c>
    </row>
    <row r="48" spans="2:19">
      <c r="B48" s="2" t="s">
        <v>2981</v>
      </c>
      <c r="C48" s="2" t="s">
        <v>2897</v>
      </c>
      <c r="D48" s="2" t="s">
        <v>2598</v>
      </c>
      <c r="E48" s="1">
        <v>1</v>
      </c>
      <c r="F48" s="2" t="s">
        <v>2599</v>
      </c>
      <c r="G48" s="2" t="s">
        <v>1286</v>
      </c>
      <c r="H48" s="1">
        <v>12</v>
      </c>
      <c r="I48" s="1" t="s">
        <v>702</v>
      </c>
      <c r="J48" s="30" t="s">
        <v>702</v>
      </c>
      <c r="K48" s="30" t="s">
        <v>702</v>
      </c>
      <c r="L48" s="30">
        <v>120000</v>
      </c>
      <c r="M48" s="30" t="s">
        <v>702</v>
      </c>
      <c r="N48" s="3">
        <v>46212.40625</v>
      </c>
      <c r="O48" s="2" t="s">
        <v>838</v>
      </c>
      <c r="P48" s="3">
        <v>46212.40625</v>
      </c>
      <c r="Q48" s="2" t="s">
        <v>838</v>
      </c>
      <c r="R48" s="34"/>
      <c r="S48" s="1" t="s">
        <v>31</v>
      </c>
    </row>
    <row r="49" spans="2:19" ht="29" customHeight="1">
      <c r="B49" s="2" t="s">
        <v>2982</v>
      </c>
      <c r="C49" s="2" t="s">
        <v>2897</v>
      </c>
      <c r="D49" s="2" t="s">
        <v>2600</v>
      </c>
      <c r="E49" s="1">
        <v>2</v>
      </c>
      <c r="F49" s="2" t="s">
        <v>2601</v>
      </c>
      <c r="G49" s="2" t="s">
        <v>1289</v>
      </c>
      <c r="H49" s="1" t="s">
        <v>702</v>
      </c>
      <c r="I49" s="1">
        <v>3</v>
      </c>
      <c r="J49" s="30" t="s">
        <v>702</v>
      </c>
      <c r="K49" s="30" t="s">
        <v>702</v>
      </c>
      <c r="L49" s="30">
        <v>120000</v>
      </c>
      <c r="M49" s="30" t="s">
        <v>702</v>
      </c>
      <c r="N49" s="3">
        <v>46212.40625</v>
      </c>
      <c r="O49" s="2" t="s">
        <v>838</v>
      </c>
      <c r="P49" s="3">
        <v>46212.40625</v>
      </c>
      <c r="Q49" s="2" t="s">
        <v>838</v>
      </c>
      <c r="R49" s="34"/>
      <c r="S49" s="1" t="s">
        <v>31</v>
      </c>
    </row>
    <row r="50" spans="2:19" ht="29" customHeight="1">
      <c r="B50" s="2" t="s">
        <v>2983</v>
      </c>
      <c r="C50" s="2" t="s">
        <v>2897</v>
      </c>
      <c r="D50" s="2" t="s">
        <v>2602</v>
      </c>
      <c r="E50" s="1">
        <v>3</v>
      </c>
      <c r="F50" s="2" t="s">
        <v>2603</v>
      </c>
      <c r="G50" s="2" t="s">
        <v>1292</v>
      </c>
      <c r="H50" s="1">
        <v>4</v>
      </c>
      <c r="I50" s="1" t="s">
        <v>702</v>
      </c>
      <c r="J50" s="30" t="s">
        <v>702</v>
      </c>
      <c r="K50" s="30" t="s">
        <v>702</v>
      </c>
      <c r="L50" s="30">
        <v>60000</v>
      </c>
      <c r="M50" s="30" t="s">
        <v>702</v>
      </c>
      <c r="N50" s="3">
        <v>46212.40625</v>
      </c>
      <c r="O50" s="2" t="s">
        <v>838</v>
      </c>
      <c r="P50" s="3">
        <v>46212.40625</v>
      </c>
      <c r="Q50" s="2" t="s">
        <v>838</v>
      </c>
      <c r="R50" s="34"/>
      <c r="S50" s="1" t="s">
        <v>31</v>
      </c>
    </row>
    <row r="51" spans="2:19">
      <c r="B51" s="2" t="s">
        <v>2984</v>
      </c>
      <c r="C51" s="2" t="s">
        <v>2897</v>
      </c>
      <c r="D51" s="2" t="s">
        <v>2604</v>
      </c>
      <c r="E51" s="1">
        <v>4</v>
      </c>
      <c r="F51" s="2" t="s">
        <v>2605</v>
      </c>
      <c r="G51" s="2" t="s">
        <v>1295</v>
      </c>
      <c r="H51" s="1" t="s">
        <v>702</v>
      </c>
      <c r="I51" s="1">
        <v>2</v>
      </c>
      <c r="J51" s="30" t="s">
        <v>702</v>
      </c>
      <c r="K51" s="30" t="s">
        <v>702</v>
      </c>
      <c r="L51" s="30">
        <v>30000</v>
      </c>
      <c r="M51" s="30" t="s">
        <v>702</v>
      </c>
      <c r="N51" s="3">
        <v>46212.40625</v>
      </c>
      <c r="O51" s="2" t="s">
        <v>838</v>
      </c>
      <c r="P51" s="3">
        <v>46212.40625</v>
      </c>
      <c r="Q51" s="2" t="s">
        <v>838</v>
      </c>
      <c r="R51" s="34"/>
      <c r="S51" s="1" t="s">
        <v>31</v>
      </c>
    </row>
    <row r="52" spans="2:19" ht="29" customHeight="1">
      <c r="B52" s="2" t="s">
        <v>2985</v>
      </c>
      <c r="C52" s="2" t="s">
        <v>2898</v>
      </c>
      <c r="D52" s="2" t="s">
        <v>2606</v>
      </c>
      <c r="E52" s="1">
        <v>1</v>
      </c>
      <c r="F52" s="2" t="s">
        <v>2607</v>
      </c>
      <c r="G52" s="2" t="s">
        <v>1298</v>
      </c>
      <c r="H52" s="1" t="s">
        <v>702</v>
      </c>
      <c r="I52" s="1">
        <v>3</v>
      </c>
      <c r="J52" s="30" t="s">
        <v>702</v>
      </c>
      <c r="K52" s="30" t="s">
        <v>702</v>
      </c>
      <c r="L52" s="30">
        <v>60000</v>
      </c>
      <c r="M52" s="30" t="s">
        <v>702</v>
      </c>
      <c r="N52" s="3">
        <v>46212.501388888901</v>
      </c>
      <c r="O52" s="2" t="s">
        <v>842</v>
      </c>
      <c r="P52" s="3">
        <v>46212.501388888901</v>
      </c>
      <c r="Q52" s="2" t="s">
        <v>842</v>
      </c>
      <c r="R52" s="34"/>
      <c r="S52" s="1" t="s">
        <v>31</v>
      </c>
    </row>
    <row r="53" spans="2:19" ht="29" customHeight="1">
      <c r="B53" s="2" t="s">
        <v>2986</v>
      </c>
      <c r="C53" s="2" t="s">
        <v>2898</v>
      </c>
      <c r="D53" s="2" t="s">
        <v>2608</v>
      </c>
      <c r="E53" s="1">
        <v>2</v>
      </c>
      <c r="F53" s="2" t="s">
        <v>2609</v>
      </c>
      <c r="G53" s="2" t="s">
        <v>1301</v>
      </c>
      <c r="H53" s="1">
        <v>3</v>
      </c>
      <c r="I53" s="1" t="s">
        <v>702</v>
      </c>
      <c r="J53" s="30" t="s">
        <v>702</v>
      </c>
      <c r="K53" s="30" t="s">
        <v>702</v>
      </c>
      <c r="L53" s="30">
        <v>21000</v>
      </c>
      <c r="M53" s="30" t="s">
        <v>702</v>
      </c>
      <c r="N53" s="3">
        <v>46212.501388888901</v>
      </c>
      <c r="O53" s="2" t="s">
        <v>842</v>
      </c>
      <c r="P53" s="3">
        <v>46212.501388888901</v>
      </c>
      <c r="Q53" s="2" t="s">
        <v>842</v>
      </c>
      <c r="R53" s="34"/>
      <c r="S53" s="1" t="s">
        <v>31</v>
      </c>
    </row>
    <row r="54" spans="2:19">
      <c r="B54" s="2" t="s">
        <v>2987</v>
      </c>
      <c r="C54" s="2" t="s">
        <v>2898</v>
      </c>
      <c r="D54" s="2" t="s">
        <v>2610</v>
      </c>
      <c r="E54" s="1">
        <v>3</v>
      </c>
      <c r="F54" s="2" t="s">
        <v>2611</v>
      </c>
      <c r="G54" s="2" t="s">
        <v>1304</v>
      </c>
      <c r="H54" s="1" t="s">
        <v>702</v>
      </c>
      <c r="I54" s="1">
        <v>2</v>
      </c>
      <c r="J54" s="30" t="s">
        <v>702</v>
      </c>
      <c r="K54" s="30" t="s">
        <v>702</v>
      </c>
      <c r="L54" s="30">
        <v>40000</v>
      </c>
      <c r="M54" s="30" t="s">
        <v>702</v>
      </c>
      <c r="N54" s="3">
        <v>46212.501388888901</v>
      </c>
      <c r="O54" s="2" t="s">
        <v>842</v>
      </c>
      <c r="P54" s="3">
        <v>46212.501388888901</v>
      </c>
      <c r="Q54" s="2" t="s">
        <v>842</v>
      </c>
      <c r="R54" s="34"/>
      <c r="S54" s="1" t="s">
        <v>31</v>
      </c>
    </row>
    <row r="55" spans="2:19">
      <c r="B55" s="2" t="s">
        <v>2988</v>
      </c>
      <c r="C55" s="2" t="s">
        <v>2898</v>
      </c>
      <c r="D55" s="2" t="s">
        <v>2612</v>
      </c>
      <c r="E55" s="1">
        <v>4</v>
      </c>
      <c r="F55" s="2" t="s">
        <v>2613</v>
      </c>
      <c r="G55" s="2" t="s">
        <v>1307</v>
      </c>
      <c r="H55" s="1">
        <v>7</v>
      </c>
      <c r="I55" s="1" t="s">
        <v>702</v>
      </c>
      <c r="J55" s="30" t="s">
        <v>702</v>
      </c>
      <c r="K55" s="30" t="s">
        <v>702</v>
      </c>
      <c r="L55" s="30">
        <v>56000</v>
      </c>
      <c r="M55" s="30" t="s">
        <v>702</v>
      </c>
      <c r="N55" s="3">
        <v>46212.501388888901</v>
      </c>
      <c r="O55" s="2" t="s">
        <v>842</v>
      </c>
      <c r="P55" s="3">
        <v>46212.501388888901</v>
      </c>
      <c r="Q55" s="2" t="s">
        <v>842</v>
      </c>
      <c r="R55" s="34"/>
      <c r="S55" s="1" t="s">
        <v>31</v>
      </c>
    </row>
    <row r="56" spans="2:19" ht="29" customHeight="1">
      <c r="B56" s="2" t="s">
        <v>2989</v>
      </c>
      <c r="C56" s="2" t="s">
        <v>2899</v>
      </c>
      <c r="D56" s="2" t="s">
        <v>2614</v>
      </c>
      <c r="E56" s="1">
        <v>1</v>
      </c>
      <c r="F56" s="2" t="s">
        <v>2615</v>
      </c>
      <c r="G56" s="2" t="s">
        <v>1310</v>
      </c>
      <c r="H56" s="1">
        <v>2</v>
      </c>
      <c r="I56" s="1" t="s">
        <v>702</v>
      </c>
      <c r="J56" s="30" t="s">
        <v>702</v>
      </c>
      <c r="K56" s="30" t="s">
        <v>702</v>
      </c>
      <c r="L56" s="30">
        <v>24000</v>
      </c>
      <c r="M56" s="30" t="s">
        <v>702</v>
      </c>
      <c r="N56" s="3">
        <v>46212.6381944444</v>
      </c>
      <c r="O56" s="2" t="s">
        <v>846</v>
      </c>
      <c r="P56" s="3">
        <v>46212.6381944444</v>
      </c>
      <c r="Q56" s="2" t="s">
        <v>846</v>
      </c>
      <c r="R56" s="34"/>
      <c r="S56" s="1" t="s">
        <v>31</v>
      </c>
    </row>
    <row r="57" spans="2:19">
      <c r="B57" s="2" t="s">
        <v>2990</v>
      </c>
      <c r="C57" s="2" t="s">
        <v>2899</v>
      </c>
      <c r="D57" s="2" t="s">
        <v>2616</v>
      </c>
      <c r="E57" s="1">
        <v>2</v>
      </c>
      <c r="F57" s="2" t="s">
        <v>2617</v>
      </c>
      <c r="G57" s="2" t="s">
        <v>1313</v>
      </c>
      <c r="H57" s="1" t="s">
        <v>702</v>
      </c>
      <c r="I57" s="1">
        <v>2</v>
      </c>
      <c r="J57" s="30" t="s">
        <v>702</v>
      </c>
      <c r="K57" s="30" t="s">
        <v>702</v>
      </c>
      <c r="L57" s="30">
        <v>80000</v>
      </c>
      <c r="M57" s="30" t="s">
        <v>702</v>
      </c>
      <c r="N57" s="3">
        <v>46212.6381944444</v>
      </c>
      <c r="O57" s="2" t="s">
        <v>846</v>
      </c>
      <c r="P57" s="3">
        <v>46212.6381944444</v>
      </c>
      <c r="Q57" s="2" t="s">
        <v>846</v>
      </c>
      <c r="R57" s="34"/>
      <c r="S57" s="1" t="s">
        <v>31</v>
      </c>
    </row>
    <row r="58" spans="2:19">
      <c r="B58" s="2" t="s">
        <v>2991</v>
      </c>
      <c r="C58" s="2" t="s">
        <v>2899</v>
      </c>
      <c r="D58" s="2" t="s">
        <v>2618</v>
      </c>
      <c r="E58" s="1">
        <v>3</v>
      </c>
      <c r="F58" s="2" t="s">
        <v>2619</v>
      </c>
      <c r="G58" s="2" t="s">
        <v>1316</v>
      </c>
      <c r="H58" s="1">
        <v>6</v>
      </c>
      <c r="I58" s="1" t="s">
        <v>702</v>
      </c>
      <c r="J58" s="30" t="s">
        <v>702</v>
      </c>
      <c r="K58" s="30" t="s">
        <v>702</v>
      </c>
      <c r="L58" s="30">
        <v>90000</v>
      </c>
      <c r="M58" s="30" t="s">
        <v>702</v>
      </c>
      <c r="N58" s="3">
        <v>46212.6381944444</v>
      </c>
      <c r="O58" s="2" t="s">
        <v>846</v>
      </c>
      <c r="P58" s="3">
        <v>46212.6381944444</v>
      </c>
      <c r="Q58" s="2" t="s">
        <v>846</v>
      </c>
      <c r="R58" s="34"/>
      <c r="S58" s="1" t="s">
        <v>31</v>
      </c>
    </row>
    <row r="59" spans="2:19">
      <c r="B59" s="2" t="s">
        <v>2992</v>
      </c>
      <c r="C59" s="2" t="s">
        <v>2899</v>
      </c>
      <c r="D59" s="2" t="s">
        <v>2620</v>
      </c>
      <c r="E59" s="1">
        <v>4</v>
      </c>
      <c r="F59" s="2" t="s">
        <v>2621</v>
      </c>
      <c r="G59" s="2" t="s">
        <v>1319</v>
      </c>
      <c r="H59" s="1" t="s">
        <v>702</v>
      </c>
      <c r="I59" s="1">
        <v>1</v>
      </c>
      <c r="J59" s="30" t="s">
        <v>702</v>
      </c>
      <c r="K59" s="30" t="s">
        <v>702</v>
      </c>
      <c r="L59" s="30">
        <v>60000</v>
      </c>
      <c r="M59" s="30" t="s">
        <v>702</v>
      </c>
      <c r="N59" s="3">
        <v>46212.6381944444</v>
      </c>
      <c r="O59" s="2" t="s">
        <v>846</v>
      </c>
      <c r="P59" s="3">
        <v>46212.6381944444</v>
      </c>
      <c r="Q59" s="2" t="s">
        <v>846</v>
      </c>
      <c r="R59" s="34"/>
      <c r="S59" s="1" t="s">
        <v>31</v>
      </c>
    </row>
    <row r="60" spans="2:19">
      <c r="B60" s="2" t="s">
        <v>2993</v>
      </c>
      <c r="C60" s="2" t="s">
        <v>2900</v>
      </c>
      <c r="D60" s="2" t="s">
        <v>2622</v>
      </c>
      <c r="E60" s="1">
        <v>1</v>
      </c>
      <c r="F60" s="2" t="s">
        <v>2623</v>
      </c>
      <c r="G60" s="2" t="s">
        <v>1259</v>
      </c>
      <c r="H60" s="1" t="s">
        <v>702</v>
      </c>
      <c r="I60" s="1">
        <v>2</v>
      </c>
      <c r="J60" s="30" t="s">
        <v>702</v>
      </c>
      <c r="K60" s="30" t="s">
        <v>702</v>
      </c>
      <c r="L60" s="30">
        <v>70000</v>
      </c>
      <c r="M60" s="30" t="s">
        <v>702</v>
      </c>
      <c r="N60" s="3">
        <v>46213.4</v>
      </c>
      <c r="O60" s="2" t="s">
        <v>850</v>
      </c>
      <c r="P60" s="3">
        <v>46213.4</v>
      </c>
      <c r="Q60" s="2" t="s">
        <v>850</v>
      </c>
      <c r="R60" s="34"/>
      <c r="S60" s="1" t="s">
        <v>31</v>
      </c>
    </row>
    <row r="61" spans="2:19">
      <c r="B61" s="2" t="s">
        <v>2994</v>
      </c>
      <c r="C61" s="2" t="s">
        <v>2900</v>
      </c>
      <c r="D61" s="2" t="s">
        <v>2624</v>
      </c>
      <c r="E61" s="1">
        <v>2</v>
      </c>
      <c r="F61" s="2" t="s">
        <v>2625</v>
      </c>
      <c r="G61" s="2" t="s">
        <v>1262</v>
      </c>
      <c r="H61" s="1">
        <v>5</v>
      </c>
      <c r="I61" s="1" t="s">
        <v>702</v>
      </c>
      <c r="J61" s="30" t="s">
        <v>702</v>
      </c>
      <c r="K61" s="30" t="s">
        <v>702</v>
      </c>
      <c r="L61" s="30">
        <v>75000</v>
      </c>
      <c r="M61" s="30" t="s">
        <v>702</v>
      </c>
      <c r="N61" s="3">
        <v>46213.4</v>
      </c>
      <c r="O61" s="2" t="s">
        <v>850</v>
      </c>
      <c r="P61" s="3">
        <v>46213.4</v>
      </c>
      <c r="Q61" s="2" t="s">
        <v>850</v>
      </c>
      <c r="R61" s="34"/>
      <c r="S61" s="1" t="s">
        <v>31</v>
      </c>
    </row>
    <row r="62" spans="2:19">
      <c r="B62" s="2" t="s">
        <v>2995</v>
      </c>
      <c r="C62" s="2" t="s">
        <v>2900</v>
      </c>
      <c r="D62" s="2" t="s">
        <v>2626</v>
      </c>
      <c r="E62" s="1">
        <v>3</v>
      </c>
      <c r="F62" s="2" t="s">
        <v>2627</v>
      </c>
      <c r="G62" s="2" t="s">
        <v>1265</v>
      </c>
      <c r="H62" s="1" t="s">
        <v>702</v>
      </c>
      <c r="I62" s="1">
        <v>1</v>
      </c>
      <c r="J62" s="30" t="s">
        <v>702</v>
      </c>
      <c r="K62" s="30" t="s">
        <v>702</v>
      </c>
      <c r="L62" s="30">
        <v>50000</v>
      </c>
      <c r="M62" s="30" t="s">
        <v>702</v>
      </c>
      <c r="N62" s="3">
        <v>46213.4</v>
      </c>
      <c r="O62" s="2" t="s">
        <v>850</v>
      </c>
      <c r="P62" s="3">
        <v>46213.4</v>
      </c>
      <c r="Q62" s="2" t="s">
        <v>850</v>
      </c>
      <c r="R62" s="34"/>
      <c r="S62" s="1" t="s">
        <v>31</v>
      </c>
    </row>
    <row r="63" spans="2:19">
      <c r="B63" s="2" t="s">
        <v>2996</v>
      </c>
      <c r="C63" s="2" t="s">
        <v>2900</v>
      </c>
      <c r="D63" s="2" t="s">
        <v>2628</v>
      </c>
      <c r="E63" s="1">
        <v>4</v>
      </c>
      <c r="F63" s="2" t="s">
        <v>2629</v>
      </c>
      <c r="G63" s="2" t="s">
        <v>1268</v>
      </c>
      <c r="H63" s="1">
        <v>9</v>
      </c>
      <c r="I63" s="1" t="s">
        <v>702</v>
      </c>
      <c r="J63" s="30" t="s">
        <v>702</v>
      </c>
      <c r="K63" s="30" t="s">
        <v>702</v>
      </c>
      <c r="L63" s="30">
        <v>67500</v>
      </c>
      <c r="M63" s="30" t="s">
        <v>702</v>
      </c>
      <c r="N63" s="3">
        <v>46213.4</v>
      </c>
      <c r="O63" s="2" t="s">
        <v>850</v>
      </c>
      <c r="P63" s="3">
        <v>46213.4</v>
      </c>
      <c r="Q63" s="2" t="s">
        <v>850</v>
      </c>
      <c r="R63" s="34"/>
      <c r="S63" s="1" t="s">
        <v>31</v>
      </c>
    </row>
    <row r="64" spans="2:19">
      <c r="B64" s="2" t="s">
        <v>2997</v>
      </c>
      <c r="C64" s="2" t="s">
        <v>2901</v>
      </c>
      <c r="D64" s="2" t="s">
        <v>2630</v>
      </c>
      <c r="E64" s="1">
        <v>1</v>
      </c>
      <c r="F64" s="2" t="s">
        <v>2631</v>
      </c>
      <c r="G64" s="2" t="s">
        <v>1271</v>
      </c>
      <c r="H64" s="1">
        <v>4</v>
      </c>
      <c r="I64" s="1" t="s">
        <v>702</v>
      </c>
      <c r="J64" s="30" t="s">
        <v>702</v>
      </c>
      <c r="K64" s="30" t="s">
        <v>702</v>
      </c>
      <c r="L64" s="30">
        <v>40000</v>
      </c>
      <c r="M64" s="30" t="s">
        <v>702</v>
      </c>
      <c r="N64" s="3">
        <v>46213.536805555603</v>
      </c>
      <c r="O64" s="2" t="s">
        <v>854</v>
      </c>
      <c r="P64" s="3">
        <v>46213.536805555603</v>
      </c>
      <c r="Q64" s="2" t="s">
        <v>854</v>
      </c>
      <c r="R64" s="34"/>
      <c r="S64" s="1" t="s">
        <v>31</v>
      </c>
    </row>
    <row r="65" spans="2:19">
      <c r="B65" s="2" t="s">
        <v>2998</v>
      </c>
      <c r="C65" s="2" t="s">
        <v>2901</v>
      </c>
      <c r="D65" s="2" t="s">
        <v>2632</v>
      </c>
      <c r="E65" s="1">
        <v>2</v>
      </c>
      <c r="F65" s="2" t="s">
        <v>2633</v>
      </c>
      <c r="G65" s="2" t="s">
        <v>1274</v>
      </c>
      <c r="H65" s="1" t="s">
        <v>702</v>
      </c>
      <c r="I65" s="1">
        <v>1</v>
      </c>
      <c r="J65" s="30" t="s">
        <v>702</v>
      </c>
      <c r="K65" s="30" t="s">
        <v>702</v>
      </c>
      <c r="L65" s="30">
        <v>40000</v>
      </c>
      <c r="M65" s="30" t="s">
        <v>702</v>
      </c>
      <c r="N65" s="3">
        <v>46213.536805555603</v>
      </c>
      <c r="O65" s="2" t="s">
        <v>854</v>
      </c>
      <c r="P65" s="3">
        <v>46213.536805555603</v>
      </c>
      <c r="Q65" s="2" t="s">
        <v>854</v>
      </c>
      <c r="R65" s="34"/>
      <c r="S65" s="1" t="s">
        <v>31</v>
      </c>
    </row>
    <row r="66" spans="2:19">
      <c r="B66" s="2" t="s">
        <v>2999</v>
      </c>
      <c r="C66" s="2" t="s">
        <v>2901</v>
      </c>
      <c r="D66" s="2" t="s">
        <v>2634</v>
      </c>
      <c r="E66" s="1">
        <v>3</v>
      </c>
      <c r="F66" s="2" t="s">
        <v>2635</v>
      </c>
      <c r="G66" s="2" t="s">
        <v>1277</v>
      </c>
      <c r="H66" s="1">
        <v>8</v>
      </c>
      <c r="I66" s="1" t="s">
        <v>702</v>
      </c>
      <c r="J66" s="30" t="s">
        <v>702</v>
      </c>
      <c r="K66" s="30" t="s">
        <v>702</v>
      </c>
      <c r="L66" s="30">
        <v>100000</v>
      </c>
      <c r="M66" s="30" t="s">
        <v>702</v>
      </c>
      <c r="N66" s="3">
        <v>46213.536805555603</v>
      </c>
      <c r="O66" s="2" t="s">
        <v>854</v>
      </c>
      <c r="P66" s="3">
        <v>46213.536805555603</v>
      </c>
      <c r="Q66" s="2" t="s">
        <v>854</v>
      </c>
      <c r="R66" s="34"/>
      <c r="S66" s="1" t="s">
        <v>31</v>
      </c>
    </row>
    <row r="67" spans="2:19">
      <c r="B67" s="2" t="s">
        <v>3000</v>
      </c>
      <c r="C67" s="2" t="s">
        <v>2901</v>
      </c>
      <c r="D67" s="2" t="s">
        <v>2636</v>
      </c>
      <c r="E67" s="1">
        <v>4</v>
      </c>
      <c r="F67" s="2" t="s">
        <v>2637</v>
      </c>
      <c r="G67" s="2" t="s">
        <v>1280</v>
      </c>
      <c r="H67" s="1" t="s">
        <v>702</v>
      </c>
      <c r="I67" s="1">
        <v>3</v>
      </c>
      <c r="J67" s="30" t="s">
        <v>702</v>
      </c>
      <c r="K67" s="30" t="s">
        <v>702</v>
      </c>
      <c r="L67" s="30">
        <v>127500</v>
      </c>
      <c r="M67" s="30" t="s">
        <v>702</v>
      </c>
      <c r="N67" s="3">
        <v>46213.536805555603</v>
      </c>
      <c r="O67" s="2" t="s">
        <v>854</v>
      </c>
      <c r="P67" s="3">
        <v>46213.536805555603</v>
      </c>
      <c r="Q67" s="2" t="s">
        <v>854</v>
      </c>
      <c r="R67" s="34"/>
      <c r="S67" s="1" t="s">
        <v>31</v>
      </c>
    </row>
    <row r="68" spans="2:19">
      <c r="B68" s="2" t="s">
        <v>3001</v>
      </c>
      <c r="C68" s="2" t="s">
        <v>2902</v>
      </c>
      <c r="D68" s="2" t="s">
        <v>2638</v>
      </c>
      <c r="E68" s="1">
        <v>1</v>
      </c>
      <c r="F68" s="2" t="s">
        <v>2639</v>
      </c>
      <c r="G68" s="2" t="s">
        <v>1283</v>
      </c>
      <c r="H68" s="1" t="s">
        <v>702</v>
      </c>
      <c r="I68" s="1">
        <v>1</v>
      </c>
      <c r="J68" s="30" t="s">
        <v>702</v>
      </c>
      <c r="K68" s="30" t="s">
        <v>702</v>
      </c>
      <c r="L68" s="30">
        <v>50000</v>
      </c>
      <c r="M68" s="30" t="s">
        <v>702</v>
      </c>
      <c r="N68" s="3">
        <v>46214.631944444402</v>
      </c>
      <c r="O68" s="2" t="s">
        <v>858</v>
      </c>
      <c r="P68" s="3">
        <v>46214.631944444402</v>
      </c>
      <c r="Q68" s="2" t="s">
        <v>858</v>
      </c>
      <c r="R68" s="34"/>
      <c r="S68" s="1" t="s">
        <v>31</v>
      </c>
    </row>
    <row r="69" spans="2:19">
      <c r="B69" s="2" t="s">
        <v>3002</v>
      </c>
      <c r="C69" s="2" t="s">
        <v>2902</v>
      </c>
      <c r="D69" s="2" t="s">
        <v>2640</v>
      </c>
      <c r="E69" s="1">
        <v>2</v>
      </c>
      <c r="F69" s="2" t="s">
        <v>2641</v>
      </c>
      <c r="G69" s="2" t="s">
        <v>1286</v>
      </c>
      <c r="H69" s="1">
        <v>7</v>
      </c>
      <c r="I69" s="1" t="s">
        <v>702</v>
      </c>
      <c r="J69" s="30" t="s">
        <v>702</v>
      </c>
      <c r="K69" s="30" t="s">
        <v>702</v>
      </c>
      <c r="L69" s="30">
        <v>70000</v>
      </c>
      <c r="M69" s="30" t="s">
        <v>702</v>
      </c>
      <c r="N69" s="3">
        <v>46214.631944444402</v>
      </c>
      <c r="O69" s="2" t="s">
        <v>858</v>
      </c>
      <c r="P69" s="3">
        <v>46214.631944444402</v>
      </c>
      <c r="Q69" s="2" t="s">
        <v>858</v>
      </c>
      <c r="R69" s="34"/>
      <c r="S69" s="1" t="s">
        <v>31</v>
      </c>
    </row>
    <row r="70" spans="2:19">
      <c r="B70" s="2" t="s">
        <v>3003</v>
      </c>
      <c r="C70" s="2" t="s">
        <v>2902</v>
      </c>
      <c r="D70" s="2" t="s">
        <v>2642</v>
      </c>
      <c r="E70" s="1">
        <v>3</v>
      </c>
      <c r="F70" s="2" t="s">
        <v>2643</v>
      </c>
      <c r="G70" s="2" t="s">
        <v>1289</v>
      </c>
      <c r="H70" s="1" t="s">
        <v>702</v>
      </c>
      <c r="I70" s="1">
        <v>3</v>
      </c>
      <c r="J70" s="30" t="s">
        <v>702</v>
      </c>
      <c r="K70" s="30" t="s">
        <v>702</v>
      </c>
      <c r="L70" s="30">
        <v>120000</v>
      </c>
      <c r="M70" s="30" t="s">
        <v>702</v>
      </c>
      <c r="N70" s="3">
        <v>46214.631944444402</v>
      </c>
      <c r="O70" s="2" t="s">
        <v>858</v>
      </c>
      <c r="P70" s="3">
        <v>46214.631944444402</v>
      </c>
      <c r="Q70" s="2" t="s">
        <v>858</v>
      </c>
      <c r="R70" s="34"/>
      <c r="S70" s="1" t="s">
        <v>31</v>
      </c>
    </row>
    <row r="71" spans="2:19">
      <c r="B71" s="2" t="s">
        <v>3004</v>
      </c>
      <c r="C71" s="2" t="s">
        <v>2902</v>
      </c>
      <c r="D71" s="2" t="s">
        <v>2644</v>
      </c>
      <c r="E71" s="1">
        <v>4</v>
      </c>
      <c r="F71" s="2" t="s">
        <v>2645</v>
      </c>
      <c r="G71" s="2" t="s">
        <v>1292</v>
      </c>
      <c r="H71" s="1">
        <v>11</v>
      </c>
      <c r="I71" s="1" t="s">
        <v>702</v>
      </c>
      <c r="J71" s="30" t="s">
        <v>702</v>
      </c>
      <c r="K71" s="30" t="s">
        <v>702</v>
      </c>
      <c r="L71" s="30">
        <v>165000</v>
      </c>
      <c r="M71" s="30" t="s">
        <v>702</v>
      </c>
      <c r="N71" s="3">
        <v>46214.631944444402</v>
      </c>
      <c r="O71" s="2" t="s">
        <v>858</v>
      </c>
      <c r="P71" s="3">
        <v>46214.631944444402</v>
      </c>
      <c r="Q71" s="2" t="s">
        <v>858</v>
      </c>
      <c r="R71" s="34"/>
      <c r="S71" s="1" t="s">
        <v>31</v>
      </c>
    </row>
    <row r="72" spans="2:19">
      <c r="B72" s="2" t="s">
        <v>3005</v>
      </c>
      <c r="C72" s="2" t="s">
        <v>2903</v>
      </c>
      <c r="D72" s="2" t="s">
        <v>2646</v>
      </c>
      <c r="E72" s="1">
        <v>1</v>
      </c>
      <c r="F72" s="2" t="s">
        <v>2647</v>
      </c>
      <c r="G72" s="2" t="s">
        <v>1295</v>
      </c>
      <c r="H72" s="1">
        <v>6</v>
      </c>
      <c r="I72" s="1" t="s">
        <v>702</v>
      </c>
      <c r="J72" s="30" t="s">
        <v>702</v>
      </c>
      <c r="K72" s="30" t="s">
        <v>702</v>
      </c>
      <c r="L72" s="30">
        <v>18000</v>
      </c>
      <c r="M72" s="30" t="s">
        <v>702</v>
      </c>
      <c r="N72" s="3">
        <v>46214.393750000003</v>
      </c>
      <c r="O72" s="2" t="s">
        <v>862</v>
      </c>
      <c r="P72" s="3">
        <v>46214.393750000003</v>
      </c>
      <c r="Q72" s="2" t="s">
        <v>862</v>
      </c>
      <c r="R72" s="34"/>
      <c r="S72" s="1" t="s">
        <v>31</v>
      </c>
    </row>
    <row r="73" spans="2:19">
      <c r="B73" s="2" t="s">
        <v>3006</v>
      </c>
      <c r="C73" s="2" t="s">
        <v>2903</v>
      </c>
      <c r="D73" s="2" t="s">
        <v>2648</v>
      </c>
      <c r="E73" s="1">
        <v>2</v>
      </c>
      <c r="F73" s="2" t="s">
        <v>2649</v>
      </c>
      <c r="G73" s="2" t="s">
        <v>1298</v>
      </c>
      <c r="H73" s="1" t="s">
        <v>702</v>
      </c>
      <c r="I73" s="1">
        <v>3</v>
      </c>
      <c r="J73" s="30" t="s">
        <v>702</v>
      </c>
      <c r="K73" s="30" t="s">
        <v>702</v>
      </c>
      <c r="L73" s="30">
        <v>60000</v>
      </c>
      <c r="M73" s="30" t="s">
        <v>702</v>
      </c>
      <c r="N73" s="3">
        <v>46214.393750000003</v>
      </c>
      <c r="O73" s="2" t="s">
        <v>862</v>
      </c>
      <c r="P73" s="3">
        <v>46214.393750000003</v>
      </c>
      <c r="Q73" s="2" t="s">
        <v>862</v>
      </c>
      <c r="R73" s="34"/>
      <c r="S73" s="1" t="s">
        <v>31</v>
      </c>
    </row>
    <row r="74" spans="2:19">
      <c r="B74" s="2" t="s">
        <v>3007</v>
      </c>
      <c r="C74" s="2" t="s">
        <v>2903</v>
      </c>
      <c r="D74" s="2" t="s">
        <v>2650</v>
      </c>
      <c r="E74" s="1">
        <v>3</v>
      </c>
      <c r="F74" s="2" t="s">
        <v>2651</v>
      </c>
      <c r="G74" s="2" t="s">
        <v>1301</v>
      </c>
      <c r="H74" s="1">
        <v>10</v>
      </c>
      <c r="I74" s="1" t="s">
        <v>702</v>
      </c>
      <c r="J74" s="30" t="s">
        <v>702</v>
      </c>
      <c r="K74" s="30" t="s">
        <v>702</v>
      </c>
      <c r="L74" s="30">
        <v>70000</v>
      </c>
      <c r="M74" s="30" t="s">
        <v>702</v>
      </c>
      <c r="N74" s="3">
        <v>46214.393750000003</v>
      </c>
      <c r="O74" s="2" t="s">
        <v>862</v>
      </c>
      <c r="P74" s="3">
        <v>46214.393750000003</v>
      </c>
      <c r="Q74" s="2" t="s">
        <v>862</v>
      </c>
      <c r="R74" s="34"/>
      <c r="S74" s="1" t="s">
        <v>31</v>
      </c>
    </row>
    <row r="75" spans="2:19" ht="29" customHeight="1">
      <c r="B75" s="2" t="s">
        <v>3008</v>
      </c>
      <c r="C75" s="2" t="s">
        <v>2903</v>
      </c>
      <c r="D75" s="2" t="s">
        <v>2652</v>
      </c>
      <c r="E75" s="1">
        <v>4</v>
      </c>
      <c r="F75" s="2" t="s">
        <v>2653</v>
      </c>
      <c r="G75" s="2" t="s">
        <v>1304</v>
      </c>
      <c r="H75" s="1" t="s">
        <v>702</v>
      </c>
      <c r="I75" s="1">
        <v>2</v>
      </c>
      <c r="J75" s="30" t="s">
        <v>702</v>
      </c>
      <c r="K75" s="30" t="s">
        <v>702</v>
      </c>
      <c r="L75" s="30">
        <v>40000</v>
      </c>
      <c r="M75" s="30" t="s">
        <v>702</v>
      </c>
      <c r="N75" s="3">
        <v>46214.393750000003</v>
      </c>
      <c r="O75" s="2" t="s">
        <v>862</v>
      </c>
      <c r="P75" s="3">
        <v>46214.393750000003</v>
      </c>
      <c r="Q75" s="2" t="s">
        <v>862</v>
      </c>
      <c r="R75" s="34"/>
      <c r="S75" s="1" t="s">
        <v>31</v>
      </c>
    </row>
    <row r="76" spans="2:19">
      <c r="B76" s="2" t="s">
        <v>3009</v>
      </c>
      <c r="C76" s="2" t="s">
        <v>2904</v>
      </c>
      <c r="D76" s="2" t="s">
        <v>2654</v>
      </c>
      <c r="E76" s="1">
        <v>1</v>
      </c>
      <c r="F76" s="2" t="s">
        <v>2655</v>
      </c>
      <c r="G76" s="2" t="s">
        <v>1307</v>
      </c>
      <c r="H76" s="1" t="s">
        <v>702</v>
      </c>
      <c r="I76" s="1">
        <v>3</v>
      </c>
      <c r="J76" s="30" t="s">
        <v>702</v>
      </c>
      <c r="K76" s="30" t="s">
        <v>702</v>
      </c>
      <c r="L76" s="30">
        <v>90000</v>
      </c>
      <c r="M76" s="30" t="s">
        <v>702</v>
      </c>
      <c r="N76" s="3">
        <v>46215.530555555597</v>
      </c>
      <c r="O76" s="2" t="s">
        <v>97</v>
      </c>
      <c r="P76" s="3">
        <v>46215.530555555597</v>
      </c>
      <c r="Q76" s="2" t="s">
        <v>97</v>
      </c>
      <c r="R76" s="34"/>
      <c r="S76" s="1" t="s">
        <v>31</v>
      </c>
    </row>
    <row r="77" spans="2:19">
      <c r="B77" s="2" t="s">
        <v>3010</v>
      </c>
      <c r="C77" s="2" t="s">
        <v>2904</v>
      </c>
      <c r="D77" s="2" t="s">
        <v>2656</v>
      </c>
      <c r="E77" s="1">
        <v>2</v>
      </c>
      <c r="F77" s="2" t="s">
        <v>2657</v>
      </c>
      <c r="G77" s="2" t="s">
        <v>1310</v>
      </c>
      <c r="H77" s="1">
        <v>9</v>
      </c>
      <c r="I77" s="1" t="s">
        <v>702</v>
      </c>
      <c r="J77" s="30" t="s">
        <v>702</v>
      </c>
      <c r="K77" s="30" t="s">
        <v>702</v>
      </c>
      <c r="L77" s="30">
        <v>108000</v>
      </c>
      <c r="M77" s="30" t="s">
        <v>702</v>
      </c>
      <c r="N77" s="3">
        <v>46215.530555555597</v>
      </c>
      <c r="O77" s="2" t="s">
        <v>97</v>
      </c>
      <c r="P77" s="3">
        <v>46215.530555555597</v>
      </c>
      <c r="Q77" s="2" t="s">
        <v>97</v>
      </c>
      <c r="R77" s="34"/>
      <c r="S77" s="1" t="s">
        <v>31</v>
      </c>
    </row>
    <row r="78" spans="2:19" ht="29" customHeight="1">
      <c r="B78" s="2" t="s">
        <v>3011</v>
      </c>
      <c r="C78" s="2" t="s">
        <v>2904</v>
      </c>
      <c r="D78" s="2" t="s">
        <v>2658</v>
      </c>
      <c r="E78" s="1">
        <v>3</v>
      </c>
      <c r="F78" s="2" t="s">
        <v>2659</v>
      </c>
      <c r="G78" s="2" t="s">
        <v>1313</v>
      </c>
      <c r="H78" s="1" t="s">
        <v>702</v>
      </c>
      <c r="I78" s="1">
        <v>2</v>
      </c>
      <c r="J78" s="30" t="s">
        <v>702</v>
      </c>
      <c r="K78" s="30" t="s">
        <v>702</v>
      </c>
      <c r="L78" s="30">
        <v>80000</v>
      </c>
      <c r="M78" s="30" t="s">
        <v>702</v>
      </c>
      <c r="N78" s="3">
        <v>46215.530555555597</v>
      </c>
      <c r="O78" s="2" t="s">
        <v>97</v>
      </c>
      <c r="P78" s="3">
        <v>46215.530555555597</v>
      </c>
      <c r="Q78" s="2" t="s">
        <v>97</v>
      </c>
      <c r="R78" s="34"/>
      <c r="S78" s="1" t="s">
        <v>31</v>
      </c>
    </row>
    <row r="79" spans="2:19">
      <c r="B79" s="2" t="s">
        <v>3012</v>
      </c>
      <c r="C79" s="2" t="s">
        <v>2904</v>
      </c>
      <c r="D79" s="2" t="s">
        <v>2660</v>
      </c>
      <c r="E79" s="1">
        <v>4</v>
      </c>
      <c r="F79" s="2" t="s">
        <v>2661</v>
      </c>
      <c r="G79" s="2" t="s">
        <v>1316</v>
      </c>
      <c r="H79" s="1">
        <v>1</v>
      </c>
      <c r="I79" s="1" t="s">
        <v>702</v>
      </c>
      <c r="J79" s="30" t="s">
        <v>702</v>
      </c>
      <c r="K79" s="30" t="s">
        <v>702</v>
      </c>
      <c r="L79" s="30">
        <v>15000</v>
      </c>
      <c r="M79" s="30" t="s">
        <v>702</v>
      </c>
      <c r="N79" s="3">
        <v>46215.530555555597</v>
      </c>
      <c r="O79" s="2" t="s">
        <v>97</v>
      </c>
      <c r="P79" s="3">
        <v>46215.530555555597</v>
      </c>
      <c r="Q79" s="2" t="s">
        <v>97</v>
      </c>
      <c r="R79" s="34"/>
      <c r="S79" s="1" t="s">
        <v>31</v>
      </c>
    </row>
    <row r="80" spans="2:19">
      <c r="B80" s="2" t="s">
        <v>3013</v>
      </c>
      <c r="C80" s="2" t="s">
        <v>2905</v>
      </c>
      <c r="D80" s="2" t="s">
        <v>2662</v>
      </c>
      <c r="E80" s="1">
        <v>1</v>
      </c>
      <c r="F80" s="2" t="s">
        <v>2663</v>
      </c>
      <c r="G80" s="2" t="s">
        <v>1319</v>
      </c>
      <c r="H80" s="1">
        <v>8</v>
      </c>
      <c r="I80" s="1" t="s">
        <v>702</v>
      </c>
      <c r="J80" s="30" t="s">
        <v>702</v>
      </c>
      <c r="K80" s="30" t="s">
        <v>702</v>
      </c>
      <c r="L80" s="30">
        <v>140000</v>
      </c>
      <c r="M80" s="30" t="s">
        <v>702</v>
      </c>
      <c r="N80" s="3">
        <v>46215.625694444403</v>
      </c>
      <c r="O80" s="2" t="s">
        <v>869</v>
      </c>
      <c r="P80" s="3">
        <v>46215.625694444403</v>
      </c>
      <c r="Q80" s="2" t="s">
        <v>869</v>
      </c>
      <c r="R80" s="34"/>
      <c r="S80" s="1" t="s">
        <v>31</v>
      </c>
    </row>
    <row r="81" spans="2:19" ht="29" customHeight="1">
      <c r="B81" s="2" t="s">
        <v>3014</v>
      </c>
      <c r="C81" s="2" t="s">
        <v>2905</v>
      </c>
      <c r="D81" s="2" t="s">
        <v>2664</v>
      </c>
      <c r="E81" s="1">
        <v>2</v>
      </c>
      <c r="F81" s="2" t="s">
        <v>2665</v>
      </c>
      <c r="G81" s="2" t="s">
        <v>1259</v>
      </c>
      <c r="H81" s="1" t="s">
        <v>702</v>
      </c>
      <c r="I81" s="1">
        <v>2</v>
      </c>
      <c r="J81" s="30" t="s">
        <v>702</v>
      </c>
      <c r="K81" s="30" t="s">
        <v>702</v>
      </c>
      <c r="L81" s="30">
        <v>70000</v>
      </c>
      <c r="M81" s="30" t="s">
        <v>702</v>
      </c>
      <c r="N81" s="3">
        <v>46215.625694444403</v>
      </c>
      <c r="O81" s="2" t="s">
        <v>869</v>
      </c>
      <c r="P81" s="3">
        <v>46215.625694444403</v>
      </c>
      <c r="Q81" s="2" t="s">
        <v>869</v>
      </c>
      <c r="R81" s="34"/>
      <c r="S81" s="1" t="s">
        <v>31</v>
      </c>
    </row>
    <row r="82" spans="2:19">
      <c r="B82" s="2" t="s">
        <v>3015</v>
      </c>
      <c r="C82" s="2" t="s">
        <v>2905</v>
      </c>
      <c r="D82" s="2" t="s">
        <v>2666</v>
      </c>
      <c r="E82" s="1">
        <v>3</v>
      </c>
      <c r="F82" s="2" t="s">
        <v>2667</v>
      </c>
      <c r="G82" s="2" t="s">
        <v>1262</v>
      </c>
      <c r="H82" s="1">
        <v>12</v>
      </c>
      <c r="I82" s="1" t="s">
        <v>702</v>
      </c>
      <c r="J82" s="30" t="s">
        <v>702</v>
      </c>
      <c r="K82" s="30" t="s">
        <v>702</v>
      </c>
      <c r="L82" s="30">
        <v>180000</v>
      </c>
      <c r="M82" s="30" t="s">
        <v>702</v>
      </c>
      <c r="N82" s="3">
        <v>46215.625694444403</v>
      </c>
      <c r="O82" s="2" t="s">
        <v>869</v>
      </c>
      <c r="P82" s="3">
        <v>46215.625694444403</v>
      </c>
      <c r="Q82" s="2" t="s">
        <v>869</v>
      </c>
      <c r="R82" s="34"/>
      <c r="S82" s="1" t="s">
        <v>31</v>
      </c>
    </row>
    <row r="83" spans="2:19">
      <c r="B83" s="2" t="s">
        <v>3016</v>
      </c>
      <c r="C83" s="2" t="s">
        <v>2905</v>
      </c>
      <c r="D83" s="2" t="s">
        <v>2668</v>
      </c>
      <c r="E83" s="1">
        <v>4</v>
      </c>
      <c r="F83" s="2" t="s">
        <v>2669</v>
      </c>
      <c r="G83" s="2" t="s">
        <v>1265</v>
      </c>
      <c r="H83" s="1" t="s">
        <v>702</v>
      </c>
      <c r="I83" s="1">
        <v>1</v>
      </c>
      <c r="J83" s="30" t="s">
        <v>702</v>
      </c>
      <c r="K83" s="30" t="s">
        <v>702</v>
      </c>
      <c r="L83" s="30">
        <v>50000</v>
      </c>
      <c r="M83" s="30" t="s">
        <v>702</v>
      </c>
      <c r="N83" s="3">
        <v>46215.625694444403</v>
      </c>
      <c r="O83" s="2" t="s">
        <v>869</v>
      </c>
      <c r="P83" s="3">
        <v>46215.625694444403</v>
      </c>
      <c r="Q83" s="2" t="s">
        <v>869</v>
      </c>
      <c r="R83" s="34"/>
      <c r="S83" s="1" t="s">
        <v>31</v>
      </c>
    </row>
    <row r="84" spans="2:19" ht="29" customHeight="1">
      <c r="B84" s="2" t="s">
        <v>3017</v>
      </c>
      <c r="C84" s="2" t="s">
        <v>2906</v>
      </c>
      <c r="D84" s="2" t="s">
        <v>2670</v>
      </c>
      <c r="E84" s="1">
        <v>1</v>
      </c>
      <c r="F84" s="2" t="s">
        <v>2671</v>
      </c>
      <c r="G84" s="2" t="s">
        <v>1268</v>
      </c>
      <c r="H84" s="1" t="s">
        <v>702</v>
      </c>
      <c r="I84" s="1">
        <v>2</v>
      </c>
      <c r="J84" s="30" t="s">
        <v>702</v>
      </c>
      <c r="K84" s="30" t="s">
        <v>702</v>
      </c>
      <c r="L84" s="30">
        <v>50000</v>
      </c>
      <c r="M84" s="30" t="s">
        <v>702</v>
      </c>
      <c r="N84" s="3">
        <v>46216.387499999997</v>
      </c>
      <c r="O84" s="2" t="s">
        <v>873</v>
      </c>
      <c r="P84" s="3">
        <v>46216.387499999997</v>
      </c>
      <c r="Q84" s="2" t="s">
        <v>873</v>
      </c>
      <c r="R84" s="34"/>
      <c r="S84" s="1" t="s">
        <v>31</v>
      </c>
    </row>
    <row r="85" spans="2:19">
      <c r="B85" s="2" t="s">
        <v>3018</v>
      </c>
      <c r="C85" s="2" t="s">
        <v>2906</v>
      </c>
      <c r="D85" s="2" t="s">
        <v>2672</v>
      </c>
      <c r="E85" s="1">
        <v>2</v>
      </c>
      <c r="F85" s="2" t="s">
        <v>2673</v>
      </c>
      <c r="G85" s="2" t="s">
        <v>1271</v>
      </c>
      <c r="H85" s="1">
        <v>11</v>
      </c>
      <c r="I85" s="1" t="s">
        <v>702</v>
      </c>
      <c r="J85" s="30" t="s">
        <v>702</v>
      </c>
      <c r="K85" s="30" t="s">
        <v>702</v>
      </c>
      <c r="L85" s="30">
        <v>110000</v>
      </c>
      <c r="M85" s="30" t="s">
        <v>702</v>
      </c>
      <c r="N85" s="3">
        <v>46216.387499999997</v>
      </c>
      <c r="O85" s="2" t="s">
        <v>873</v>
      </c>
      <c r="P85" s="3">
        <v>46216.387499999997</v>
      </c>
      <c r="Q85" s="2" t="s">
        <v>873</v>
      </c>
      <c r="R85" s="34"/>
      <c r="S85" s="1" t="s">
        <v>31</v>
      </c>
    </row>
    <row r="86" spans="2:19">
      <c r="B86" s="2" t="s">
        <v>3019</v>
      </c>
      <c r="C86" s="2" t="s">
        <v>2906</v>
      </c>
      <c r="D86" s="2" t="s">
        <v>2674</v>
      </c>
      <c r="E86" s="1">
        <v>3</v>
      </c>
      <c r="F86" s="2" t="s">
        <v>2675</v>
      </c>
      <c r="G86" s="2" t="s">
        <v>1274</v>
      </c>
      <c r="H86" s="1" t="s">
        <v>702</v>
      </c>
      <c r="I86" s="1">
        <v>1</v>
      </c>
      <c r="J86" s="30" t="s">
        <v>702</v>
      </c>
      <c r="K86" s="30" t="s">
        <v>702</v>
      </c>
      <c r="L86" s="30">
        <v>40000</v>
      </c>
      <c r="M86" s="30" t="s">
        <v>702</v>
      </c>
      <c r="N86" s="3">
        <v>46216.387499999997</v>
      </c>
      <c r="O86" s="2" t="s">
        <v>873</v>
      </c>
      <c r="P86" s="3">
        <v>46216.387499999997</v>
      </c>
      <c r="Q86" s="2" t="s">
        <v>873</v>
      </c>
      <c r="R86" s="34"/>
      <c r="S86" s="1" t="s">
        <v>31</v>
      </c>
    </row>
    <row r="87" spans="2:19">
      <c r="B87" s="2" t="s">
        <v>3020</v>
      </c>
      <c r="C87" s="2" t="s">
        <v>2906</v>
      </c>
      <c r="D87" s="2" t="s">
        <v>2676</v>
      </c>
      <c r="E87" s="1">
        <v>4</v>
      </c>
      <c r="F87" s="2" t="s">
        <v>2677</v>
      </c>
      <c r="G87" s="2" t="s">
        <v>1277</v>
      </c>
      <c r="H87" s="1">
        <v>3</v>
      </c>
      <c r="I87" s="1" t="s">
        <v>702</v>
      </c>
      <c r="J87" s="30" t="s">
        <v>702</v>
      </c>
      <c r="K87" s="30" t="s">
        <v>702</v>
      </c>
      <c r="L87" s="30">
        <v>37500</v>
      </c>
      <c r="M87" s="30" t="s">
        <v>702</v>
      </c>
      <c r="N87" s="3">
        <v>46216.387499999997</v>
      </c>
      <c r="O87" s="2" t="s">
        <v>873</v>
      </c>
      <c r="P87" s="3">
        <v>46216.387499999997</v>
      </c>
      <c r="Q87" s="2" t="s">
        <v>873</v>
      </c>
      <c r="R87" s="34"/>
      <c r="S87" s="1" t="s">
        <v>31</v>
      </c>
    </row>
    <row r="88" spans="2:19">
      <c r="B88" s="2" t="s">
        <v>3021</v>
      </c>
      <c r="C88" s="2" t="s">
        <v>2907</v>
      </c>
      <c r="D88" s="2" t="s">
        <v>2678</v>
      </c>
      <c r="E88" s="1">
        <v>1</v>
      </c>
      <c r="F88" s="2" t="s">
        <v>2679</v>
      </c>
      <c r="G88" s="2" t="s">
        <v>1280</v>
      </c>
      <c r="H88" s="1">
        <v>10</v>
      </c>
      <c r="I88" s="1" t="s">
        <v>702</v>
      </c>
      <c r="J88" s="30" t="s">
        <v>702</v>
      </c>
      <c r="K88" s="30" t="s">
        <v>702</v>
      </c>
      <c r="L88" s="30">
        <v>150000</v>
      </c>
      <c r="M88" s="30" t="s">
        <v>702</v>
      </c>
      <c r="N88" s="3">
        <v>46216.524305555598</v>
      </c>
      <c r="O88" s="2" t="s">
        <v>877</v>
      </c>
      <c r="P88" s="3">
        <v>46216.524305555598</v>
      </c>
      <c r="Q88" s="2" t="s">
        <v>877</v>
      </c>
      <c r="R88" s="34"/>
      <c r="S88" s="1" t="s">
        <v>31</v>
      </c>
    </row>
    <row r="89" spans="2:19">
      <c r="B89" s="2" t="s">
        <v>3022</v>
      </c>
      <c r="C89" s="2" t="s">
        <v>2907</v>
      </c>
      <c r="D89" s="2" t="s">
        <v>2680</v>
      </c>
      <c r="E89" s="1">
        <v>2</v>
      </c>
      <c r="F89" s="2" t="s">
        <v>2681</v>
      </c>
      <c r="G89" s="2" t="s">
        <v>1283</v>
      </c>
      <c r="H89" s="1" t="s">
        <v>702</v>
      </c>
      <c r="I89" s="1">
        <v>1</v>
      </c>
      <c r="J89" s="30" t="s">
        <v>702</v>
      </c>
      <c r="K89" s="30" t="s">
        <v>702</v>
      </c>
      <c r="L89" s="30">
        <v>50000</v>
      </c>
      <c r="M89" s="30" t="s">
        <v>702</v>
      </c>
      <c r="N89" s="3">
        <v>46216.524305555598</v>
      </c>
      <c r="O89" s="2" t="s">
        <v>877</v>
      </c>
      <c r="P89" s="3">
        <v>46216.524305555598</v>
      </c>
      <c r="Q89" s="2" t="s">
        <v>877</v>
      </c>
      <c r="R89" s="34"/>
      <c r="S89" s="1" t="s">
        <v>31</v>
      </c>
    </row>
    <row r="90" spans="2:19">
      <c r="B90" s="2" t="s">
        <v>3023</v>
      </c>
      <c r="C90" s="2" t="s">
        <v>2907</v>
      </c>
      <c r="D90" s="2" t="s">
        <v>2682</v>
      </c>
      <c r="E90" s="1">
        <v>3</v>
      </c>
      <c r="F90" s="2" t="s">
        <v>2683</v>
      </c>
      <c r="G90" s="2" t="s">
        <v>1286</v>
      </c>
      <c r="H90" s="1">
        <v>2</v>
      </c>
      <c r="I90" s="1" t="s">
        <v>702</v>
      </c>
      <c r="J90" s="30" t="s">
        <v>702</v>
      </c>
      <c r="K90" s="30" t="s">
        <v>702</v>
      </c>
      <c r="L90" s="30">
        <v>20000</v>
      </c>
      <c r="M90" s="30" t="s">
        <v>702</v>
      </c>
      <c r="N90" s="3">
        <v>46216.524305555598</v>
      </c>
      <c r="O90" s="2" t="s">
        <v>877</v>
      </c>
      <c r="P90" s="3">
        <v>46216.524305555598</v>
      </c>
      <c r="Q90" s="2" t="s">
        <v>877</v>
      </c>
      <c r="R90" s="34"/>
      <c r="S90" s="1" t="s">
        <v>31</v>
      </c>
    </row>
    <row r="91" spans="2:19" ht="29" customHeight="1">
      <c r="B91" s="2" t="s">
        <v>3024</v>
      </c>
      <c r="C91" s="2" t="s">
        <v>2907</v>
      </c>
      <c r="D91" s="2" t="s">
        <v>2684</v>
      </c>
      <c r="E91" s="1">
        <v>4</v>
      </c>
      <c r="F91" s="2" t="s">
        <v>2685</v>
      </c>
      <c r="G91" s="2" t="s">
        <v>1289</v>
      </c>
      <c r="H91" s="1" t="s">
        <v>702</v>
      </c>
      <c r="I91" s="1">
        <v>3</v>
      </c>
      <c r="J91" s="30" t="s">
        <v>702</v>
      </c>
      <c r="K91" s="30" t="s">
        <v>702</v>
      </c>
      <c r="L91" s="30">
        <v>120000</v>
      </c>
      <c r="M91" s="30" t="s">
        <v>702</v>
      </c>
      <c r="N91" s="3">
        <v>46216.524305555598</v>
      </c>
      <c r="O91" s="2" t="s">
        <v>877</v>
      </c>
      <c r="P91" s="3">
        <v>46216.524305555598</v>
      </c>
      <c r="Q91" s="2" t="s">
        <v>877</v>
      </c>
      <c r="R91" s="34"/>
      <c r="S91" s="1" t="s">
        <v>31</v>
      </c>
    </row>
    <row r="92" spans="2:19">
      <c r="B92" s="2" t="s">
        <v>3025</v>
      </c>
      <c r="C92" s="2" t="s">
        <v>2908</v>
      </c>
      <c r="D92" s="2" t="s">
        <v>2686</v>
      </c>
      <c r="E92" s="1">
        <v>1</v>
      </c>
      <c r="F92" s="2" t="s">
        <v>2687</v>
      </c>
      <c r="G92" s="2" t="s">
        <v>1292</v>
      </c>
      <c r="H92" s="1" t="s">
        <v>702</v>
      </c>
      <c r="I92" s="1">
        <v>1</v>
      </c>
      <c r="J92" s="30" t="s">
        <v>702</v>
      </c>
      <c r="K92" s="30" t="s">
        <v>702</v>
      </c>
      <c r="L92" s="30">
        <v>50000</v>
      </c>
      <c r="M92" s="30" t="s">
        <v>702</v>
      </c>
      <c r="N92" s="3">
        <v>46217.661111111098</v>
      </c>
      <c r="O92" s="2" t="s">
        <v>881</v>
      </c>
      <c r="P92" s="3">
        <v>46217.661111111098</v>
      </c>
      <c r="Q92" s="2" t="s">
        <v>881</v>
      </c>
      <c r="R92" s="34"/>
      <c r="S92" s="1" t="s">
        <v>31</v>
      </c>
    </row>
    <row r="93" spans="2:19">
      <c r="B93" s="2" t="s">
        <v>3026</v>
      </c>
      <c r="C93" s="2" t="s">
        <v>2908</v>
      </c>
      <c r="D93" s="2" t="s">
        <v>2688</v>
      </c>
      <c r="E93" s="1">
        <v>2</v>
      </c>
      <c r="F93" s="2" t="s">
        <v>2689</v>
      </c>
      <c r="G93" s="2" t="s">
        <v>1295</v>
      </c>
      <c r="H93" s="1">
        <v>1</v>
      </c>
      <c r="I93" s="1" t="s">
        <v>702</v>
      </c>
      <c r="J93" s="30" t="s">
        <v>702</v>
      </c>
      <c r="K93" s="30" t="s">
        <v>702</v>
      </c>
      <c r="L93" s="30">
        <v>3000</v>
      </c>
      <c r="M93" s="30" t="s">
        <v>702</v>
      </c>
      <c r="N93" s="3">
        <v>46217.661111111098</v>
      </c>
      <c r="O93" s="2" t="s">
        <v>881</v>
      </c>
      <c r="P93" s="3">
        <v>46217.661111111098</v>
      </c>
      <c r="Q93" s="2" t="s">
        <v>881</v>
      </c>
      <c r="R93" s="34"/>
      <c r="S93" s="1" t="s">
        <v>31</v>
      </c>
    </row>
    <row r="94" spans="2:19" ht="29" customHeight="1">
      <c r="B94" s="2" t="s">
        <v>3027</v>
      </c>
      <c r="C94" s="2" t="s">
        <v>2908</v>
      </c>
      <c r="D94" s="2" t="s">
        <v>2690</v>
      </c>
      <c r="E94" s="1">
        <v>3</v>
      </c>
      <c r="F94" s="2" t="s">
        <v>2691</v>
      </c>
      <c r="G94" s="2" t="s">
        <v>1298</v>
      </c>
      <c r="H94" s="1" t="s">
        <v>702</v>
      </c>
      <c r="I94" s="1">
        <v>3</v>
      </c>
      <c r="J94" s="30" t="s">
        <v>702</v>
      </c>
      <c r="K94" s="30" t="s">
        <v>702</v>
      </c>
      <c r="L94" s="30">
        <v>60000</v>
      </c>
      <c r="M94" s="30" t="s">
        <v>702</v>
      </c>
      <c r="N94" s="3">
        <v>46217.661111111098</v>
      </c>
      <c r="O94" s="2" t="s">
        <v>881</v>
      </c>
      <c r="P94" s="3">
        <v>46217.661111111098</v>
      </c>
      <c r="Q94" s="2" t="s">
        <v>881</v>
      </c>
      <c r="R94" s="34"/>
      <c r="S94" s="1" t="s">
        <v>31</v>
      </c>
    </row>
    <row r="95" spans="2:19" ht="29" customHeight="1">
      <c r="B95" s="2" t="s">
        <v>3028</v>
      </c>
      <c r="C95" s="2" t="s">
        <v>2908</v>
      </c>
      <c r="D95" s="2" t="s">
        <v>2692</v>
      </c>
      <c r="E95" s="1">
        <v>4</v>
      </c>
      <c r="F95" s="2" t="s">
        <v>2693</v>
      </c>
      <c r="G95" s="2" t="s">
        <v>1301</v>
      </c>
      <c r="H95" s="1">
        <v>5</v>
      </c>
      <c r="I95" s="1" t="s">
        <v>702</v>
      </c>
      <c r="J95" s="30" t="s">
        <v>702</v>
      </c>
      <c r="K95" s="30" t="s">
        <v>702</v>
      </c>
      <c r="L95" s="30">
        <v>35000</v>
      </c>
      <c r="M95" s="30" t="s">
        <v>702</v>
      </c>
      <c r="N95" s="3">
        <v>46217.661111111098</v>
      </c>
      <c r="O95" s="2" t="s">
        <v>881</v>
      </c>
      <c r="P95" s="3">
        <v>46217.661111111098</v>
      </c>
      <c r="Q95" s="2" t="s">
        <v>881</v>
      </c>
      <c r="R95" s="34"/>
      <c r="S95" s="1" t="s">
        <v>31</v>
      </c>
    </row>
    <row r="96" spans="2:19">
      <c r="B96" s="2" t="s">
        <v>3029</v>
      </c>
      <c r="C96" s="2" t="s">
        <v>2909</v>
      </c>
      <c r="D96" s="2" t="s">
        <v>2694</v>
      </c>
      <c r="E96" s="1">
        <v>1</v>
      </c>
      <c r="F96" s="2" t="s">
        <v>2695</v>
      </c>
      <c r="G96" s="2" t="s">
        <v>1304</v>
      </c>
      <c r="H96" s="1">
        <v>12</v>
      </c>
      <c r="I96" s="1" t="s">
        <v>702</v>
      </c>
      <c r="J96" s="30" t="s">
        <v>702</v>
      </c>
      <c r="K96" s="30" t="s">
        <v>702</v>
      </c>
      <c r="L96" s="30">
        <v>72000</v>
      </c>
      <c r="M96" s="30" t="s">
        <v>702</v>
      </c>
      <c r="N96" s="3">
        <v>46217.381249999999</v>
      </c>
      <c r="O96" s="2" t="s">
        <v>885</v>
      </c>
      <c r="P96" s="3">
        <v>46217.381249999999</v>
      </c>
      <c r="Q96" s="2" t="s">
        <v>885</v>
      </c>
      <c r="R96" s="34"/>
      <c r="S96" s="1" t="s">
        <v>31</v>
      </c>
    </row>
    <row r="97" spans="2:19" ht="29" customHeight="1">
      <c r="B97" s="2" t="s">
        <v>3030</v>
      </c>
      <c r="C97" s="2" t="s">
        <v>2909</v>
      </c>
      <c r="D97" s="2" t="s">
        <v>2696</v>
      </c>
      <c r="E97" s="1">
        <v>2</v>
      </c>
      <c r="F97" s="2" t="s">
        <v>2697</v>
      </c>
      <c r="G97" s="2" t="s">
        <v>1307</v>
      </c>
      <c r="H97" s="1" t="s">
        <v>702</v>
      </c>
      <c r="I97" s="1">
        <v>3</v>
      </c>
      <c r="J97" s="30" t="s">
        <v>702</v>
      </c>
      <c r="K97" s="30" t="s">
        <v>702</v>
      </c>
      <c r="L97" s="30">
        <v>90000</v>
      </c>
      <c r="M97" s="30" t="s">
        <v>702</v>
      </c>
      <c r="N97" s="3">
        <v>46217.381249999999</v>
      </c>
      <c r="O97" s="2" t="s">
        <v>885</v>
      </c>
      <c r="P97" s="3">
        <v>46217.381249999999</v>
      </c>
      <c r="Q97" s="2" t="s">
        <v>885</v>
      </c>
      <c r="R97" s="34"/>
      <c r="S97" s="1" t="s">
        <v>31</v>
      </c>
    </row>
    <row r="98" spans="2:19" ht="29" customHeight="1">
      <c r="B98" s="2" t="s">
        <v>3031</v>
      </c>
      <c r="C98" s="2" t="s">
        <v>2909</v>
      </c>
      <c r="D98" s="2" t="s">
        <v>2698</v>
      </c>
      <c r="E98" s="1">
        <v>3</v>
      </c>
      <c r="F98" s="2" t="s">
        <v>2699</v>
      </c>
      <c r="G98" s="2" t="s">
        <v>1310</v>
      </c>
      <c r="H98" s="1">
        <v>4</v>
      </c>
      <c r="I98" s="1" t="s">
        <v>702</v>
      </c>
      <c r="J98" s="30" t="s">
        <v>702</v>
      </c>
      <c r="K98" s="30" t="s">
        <v>702</v>
      </c>
      <c r="L98" s="30">
        <v>48000</v>
      </c>
      <c r="M98" s="30" t="s">
        <v>702</v>
      </c>
      <c r="N98" s="3">
        <v>46217.381249999999</v>
      </c>
      <c r="O98" s="2" t="s">
        <v>885</v>
      </c>
      <c r="P98" s="3">
        <v>46217.381249999999</v>
      </c>
      <c r="Q98" s="2" t="s">
        <v>885</v>
      </c>
      <c r="R98" s="34"/>
      <c r="S98" s="1" t="s">
        <v>31</v>
      </c>
    </row>
    <row r="99" spans="2:19">
      <c r="B99" s="2" t="s">
        <v>3032</v>
      </c>
      <c r="C99" s="2" t="s">
        <v>2909</v>
      </c>
      <c r="D99" s="2" t="s">
        <v>2700</v>
      </c>
      <c r="E99" s="1">
        <v>4</v>
      </c>
      <c r="F99" s="2" t="s">
        <v>2701</v>
      </c>
      <c r="G99" s="2" t="s">
        <v>1313</v>
      </c>
      <c r="H99" s="1" t="s">
        <v>702</v>
      </c>
      <c r="I99" s="1">
        <v>2</v>
      </c>
      <c r="J99" s="30" t="s">
        <v>702</v>
      </c>
      <c r="K99" s="30" t="s">
        <v>702</v>
      </c>
      <c r="L99" s="30">
        <v>80000</v>
      </c>
      <c r="M99" s="30" t="s">
        <v>702</v>
      </c>
      <c r="N99" s="3">
        <v>46217.381249999999</v>
      </c>
      <c r="O99" s="2" t="s">
        <v>885</v>
      </c>
      <c r="P99" s="3">
        <v>46217.381249999999</v>
      </c>
      <c r="Q99" s="2" t="s">
        <v>885</v>
      </c>
      <c r="R99" s="34"/>
      <c r="S99" s="1" t="s">
        <v>31</v>
      </c>
    </row>
    <row r="100" spans="2:19" ht="29" customHeight="1">
      <c r="B100" s="2" t="s">
        <v>3033</v>
      </c>
      <c r="C100" s="2" t="s">
        <v>2910</v>
      </c>
      <c r="D100" s="2" t="s">
        <v>2702</v>
      </c>
      <c r="E100" s="1">
        <v>1</v>
      </c>
      <c r="F100" s="2" t="s">
        <v>2703</v>
      </c>
      <c r="G100" s="2" t="s">
        <v>1316</v>
      </c>
      <c r="H100" s="1" t="s">
        <v>702</v>
      </c>
      <c r="I100" s="1">
        <v>3</v>
      </c>
      <c r="J100" s="30" t="s">
        <v>702</v>
      </c>
      <c r="K100" s="30" t="s">
        <v>702</v>
      </c>
      <c r="L100" s="30">
        <v>150000</v>
      </c>
      <c r="M100" s="30" t="s">
        <v>702</v>
      </c>
      <c r="N100" s="3">
        <v>46217.5180555556</v>
      </c>
      <c r="O100" s="2" t="s">
        <v>889</v>
      </c>
      <c r="P100" s="3">
        <v>46217.5180555556</v>
      </c>
      <c r="Q100" s="2" t="s">
        <v>889</v>
      </c>
      <c r="R100" s="34"/>
      <c r="S100" s="1" t="s">
        <v>31</v>
      </c>
    </row>
    <row r="101" spans="2:19" ht="29" customHeight="1">
      <c r="B101" s="2" t="s">
        <v>3034</v>
      </c>
      <c r="C101" s="2" t="s">
        <v>2910</v>
      </c>
      <c r="D101" s="2" t="s">
        <v>2704</v>
      </c>
      <c r="E101" s="1">
        <v>2</v>
      </c>
      <c r="F101" s="2" t="s">
        <v>2705</v>
      </c>
      <c r="G101" s="2" t="s">
        <v>1319</v>
      </c>
      <c r="H101" s="1">
        <v>3</v>
      </c>
      <c r="I101" s="1" t="s">
        <v>702</v>
      </c>
      <c r="J101" s="30" t="s">
        <v>702</v>
      </c>
      <c r="K101" s="30" t="s">
        <v>702</v>
      </c>
      <c r="L101" s="30">
        <v>52500</v>
      </c>
      <c r="M101" s="30" t="s">
        <v>702</v>
      </c>
      <c r="N101" s="3">
        <v>46217.5180555556</v>
      </c>
      <c r="O101" s="2" t="s">
        <v>889</v>
      </c>
      <c r="P101" s="3">
        <v>46217.5180555556</v>
      </c>
      <c r="Q101" s="2" t="s">
        <v>889</v>
      </c>
      <c r="R101" s="34"/>
      <c r="S101" s="1" t="s">
        <v>31</v>
      </c>
    </row>
    <row r="102" spans="2:19">
      <c r="B102" s="2" t="s">
        <v>3035</v>
      </c>
      <c r="C102" s="2" t="s">
        <v>2910</v>
      </c>
      <c r="D102" s="2" t="s">
        <v>2706</v>
      </c>
      <c r="E102" s="1">
        <v>3</v>
      </c>
      <c r="F102" s="2" t="s">
        <v>2707</v>
      </c>
      <c r="G102" s="2" t="s">
        <v>1259</v>
      </c>
      <c r="H102" s="1" t="s">
        <v>702</v>
      </c>
      <c r="I102" s="1">
        <v>2</v>
      </c>
      <c r="J102" s="30" t="s">
        <v>702</v>
      </c>
      <c r="K102" s="30" t="s">
        <v>702</v>
      </c>
      <c r="L102" s="30">
        <v>70000</v>
      </c>
      <c r="M102" s="30" t="s">
        <v>702</v>
      </c>
      <c r="N102" s="3">
        <v>46217.5180555556</v>
      </c>
      <c r="O102" s="2" t="s">
        <v>889</v>
      </c>
      <c r="P102" s="3">
        <v>46217.5180555556</v>
      </c>
      <c r="Q102" s="2" t="s">
        <v>889</v>
      </c>
      <c r="R102" s="34"/>
      <c r="S102" s="1" t="s">
        <v>31</v>
      </c>
    </row>
    <row r="103" spans="2:19">
      <c r="B103" s="2" t="s">
        <v>3036</v>
      </c>
      <c r="C103" s="2" t="s">
        <v>2910</v>
      </c>
      <c r="D103" s="2" t="s">
        <v>2708</v>
      </c>
      <c r="E103" s="1">
        <v>4</v>
      </c>
      <c r="F103" s="2" t="s">
        <v>2709</v>
      </c>
      <c r="G103" s="2" t="s">
        <v>1262</v>
      </c>
      <c r="H103" s="1">
        <v>7</v>
      </c>
      <c r="I103" s="1" t="s">
        <v>702</v>
      </c>
      <c r="J103" s="30" t="s">
        <v>702</v>
      </c>
      <c r="K103" s="30" t="s">
        <v>702</v>
      </c>
      <c r="L103" s="30">
        <v>105000</v>
      </c>
      <c r="M103" s="30" t="s">
        <v>702</v>
      </c>
      <c r="N103" s="3">
        <v>46217.5180555556</v>
      </c>
      <c r="O103" s="2" t="s">
        <v>889</v>
      </c>
      <c r="P103" s="3">
        <v>46217.5180555556</v>
      </c>
      <c r="Q103" s="2" t="s">
        <v>889</v>
      </c>
      <c r="R103" s="34"/>
      <c r="S103" s="1" t="s">
        <v>31</v>
      </c>
    </row>
    <row r="104" spans="2:19" ht="29" customHeight="1">
      <c r="B104" s="2" t="s">
        <v>3037</v>
      </c>
      <c r="C104" s="2" t="s">
        <v>2911</v>
      </c>
      <c r="D104" s="2" t="s">
        <v>2710</v>
      </c>
      <c r="E104" s="1">
        <v>1</v>
      </c>
      <c r="F104" s="2" t="s">
        <v>2711</v>
      </c>
      <c r="G104" s="2" t="s">
        <v>1265</v>
      </c>
      <c r="H104" s="1">
        <v>2</v>
      </c>
      <c r="I104" s="1" t="s">
        <v>702</v>
      </c>
      <c r="J104" s="30" t="s">
        <v>702</v>
      </c>
      <c r="K104" s="30" t="s">
        <v>702</v>
      </c>
      <c r="L104" s="30">
        <v>35000</v>
      </c>
      <c r="M104" s="30" t="s">
        <v>702</v>
      </c>
      <c r="N104" s="3">
        <v>46218.654861111099</v>
      </c>
      <c r="O104" s="2" t="s">
        <v>893</v>
      </c>
      <c r="P104" s="3">
        <v>46218.654861111099</v>
      </c>
      <c r="Q104" s="2" t="s">
        <v>893</v>
      </c>
      <c r="R104" s="34"/>
      <c r="S104" s="1" t="s">
        <v>31</v>
      </c>
    </row>
    <row r="105" spans="2:19">
      <c r="B105" s="2" t="s">
        <v>3038</v>
      </c>
      <c r="C105" s="2" t="s">
        <v>2911</v>
      </c>
      <c r="D105" s="2" t="s">
        <v>2712</v>
      </c>
      <c r="E105" s="1">
        <v>2</v>
      </c>
      <c r="F105" s="2" t="s">
        <v>2713</v>
      </c>
      <c r="G105" s="2" t="s">
        <v>1268</v>
      </c>
      <c r="H105" s="1" t="s">
        <v>702</v>
      </c>
      <c r="I105" s="1">
        <v>2</v>
      </c>
      <c r="J105" s="30" t="s">
        <v>702</v>
      </c>
      <c r="K105" s="30" t="s">
        <v>702</v>
      </c>
      <c r="L105" s="30">
        <v>50000</v>
      </c>
      <c r="M105" s="30" t="s">
        <v>702</v>
      </c>
      <c r="N105" s="3">
        <v>46218.654861111099</v>
      </c>
      <c r="O105" s="2" t="s">
        <v>893</v>
      </c>
      <c r="P105" s="3">
        <v>46218.654861111099</v>
      </c>
      <c r="Q105" s="2" t="s">
        <v>893</v>
      </c>
      <c r="R105" s="34"/>
      <c r="S105" s="1" t="s">
        <v>31</v>
      </c>
    </row>
    <row r="106" spans="2:19">
      <c r="B106" s="2" t="s">
        <v>3039</v>
      </c>
      <c r="C106" s="2" t="s">
        <v>2911</v>
      </c>
      <c r="D106" s="2" t="s">
        <v>2714</v>
      </c>
      <c r="E106" s="1">
        <v>3</v>
      </c>
      <c r="F106" s="2" t="s">
        <v>2715</v>
      </c>
      <c r="G106" s="2" t="s">
        <v>1271</v>
      </c>
      <c r="H106" s="1">
        <v>6</v>
      </c>
      <c r="I106" s="1" t="s">
        <v>702</v>
      </c>
      <c r="J106" s="30" t="s">
        <v>702</v>
      </c>
      <c r="K106" s="30" t="s">
        <v>702</v>
      </c>
      <c r="L106" s="30">
        <v>60000</v>
      </c>
      <c r="M106" s="30" t="s">
        <v>702</v>
      </c>
      <c r="N106" s="3">
        <v>46218.654861111099</v>
      </c>
      <c r="O106" s="2" t="s">
        <v>893</v>
      </c>
      <c r="P106" s="3">
        <v>46218.654861111099</v>
      </c>
      <c r="Q106" s="2" t="s">
        <v>893</v>
      </c>
      <c r="R106" s="34"/>
      <c r="S106" s="1" t="s">
        <v>31</v>
      </c>
    </row>
    <row r="107" spans="2:19">
      <c r="B107" s="2" t="s">
        <v>3040</v>
      </c>
      <c r="C107" s="2" t="s">
        <v>2911</v>
      </c>
      <c r="D107" s="2" t="s">
        <v>2716</v>
      </c>
      <c r="E107" s="1">
        <v>4</v>
      </c>
      <c r="F107" s="2" t="s">
        <v>2717</v>
      </c>
      <c r="G107" s="2" t="s">
        <v>1274</v>
      </c>
      <c r="H107" s="1" t="s">
        <v>702</v>
      </c>
      <c r="I107" s="1">
        <v>1</v>
      </c>
      <c r="J107" s="30" t="s">
        <v>702</v>
      </c>
      <c r="K107" s="30" t="s">
        <v>702</v>
      </c>
      <c r="L107" s="30">
        <v>40000</v>
      </c>
      <c r="M107" s="30" t="s">
        <v>702</v>
      </c>
      <c r="N107" s="3">
        <v>46218.654861111099</v>
      </c>
      <c r="O107" s="2" t="s">
        <v>893</v>
      </c>
      <c r="P107" s="3">
        <v>46218.654861111099</v>
      </c>
      <c r="Q107" s="2" t="s">
        <v>893</v>
      </c>
      <c r="R107" s="34"/>
      <c r="S107" s="1" t="s">
        <v>31</v>
      </c>
    </row>
    <row r="108" spans="2:19">
      <c r="B108" s="2" t="s">
        <v>3041</v>
      </c>
      <c r="C108" s="2" t="s">
        <v>2912</v>
      </c>
      <c r="D108" s="2" t="s">
        <v>2718</v>
      </c>
      <c r="E108" s="1">
        <v>1</v>
      </c>
      <c r="F108" s="2" t="s">
        <v>2719</v>
      </c>
      <c r="G108" s="2" t="s">
        <v>1277</v>
      </c>
      <c r="H108" s="1" t="s">
        <v>702</v>
      </c>
      <c r="I108" s="1">
        <v>2</v>
      </c>
      <c r="J108" s="30" t="s">
        <v>702</v>
      </c>
      <c r="K108" s="30" t="s">
        <v>702</v>
      </c>
      <c r="L108" s="30">
        <v>70000</v>
      </c>
      <c r="M108" s="30" t="s">
        <v>702</v>
      </c>
      <c r="N108" s="3">
        <v>46218.375</v>
      </c>
      <c r="O108" s="2" t="s">
        <v>897</v>
      </c>
      <c r="P108" s="3">
        <v>46218.375</v>
      </c>
      <c r="Q108" s="2" t="s">
        <v>897</v>
      </c>
      <c r="R108" s="34"/>
      <c r="S108" s="1" t="s">
        <v>31</v>
      </c>
    </row>
    <row r="109" spans="2:19">
      <c r="B109" s="2" t="s">
        <v>3042</v>
      </c>
      <c r="C109" s="2" t="s">
        <v>2912</v>
      </c>
      <c r="D109" s="2" t="s">
        <v>2720</v>
      </c>
      <c r="E109" s="1">
        <v>2</v>
      </c>
      <c r="F109" s="2" t="s">
        <v>2721</v>
      </c>
      <c r="G109" s="2" t="s">
        <v>1280</v>
      </c>
      <c r="H109" s="1">
        <v>5</v>
      </c>
      <c r="I109" s="1" t="s">
        <v>702</v>
      </c>
      <c r="J109" s="30" t="s">
        <v>702</v>
      </c>
      <c r="K109" s="30" t="s">
        <v>702</v>
      </c>
      <c r="L109" s="30">
        <v>75000</v>
      </c>
      <c r="M109" s="30" t="s">
        <v>702</v>
      </c>
      <c r="N109" s="3">
        <v>46218.375</v>
      </c>
      <c r="O109" s="2" t="s">
        <v>897</v>
      </c>
      <c r="P109" s="3">
        <v>46218.375</v>
      </c>
      <c r="Q109" s="2" t="s">
        <v>897</v>
      </c>
      <c r="R109" s="34"/>
      <c r="S109" s="1" t="s">
        <v>31</v>
      </c>
    </row>
    <row r="110" spans="2:19">
      <c r="B110" s="2" t="s">
        <v>3043</v>
      </c>
      <c r="C110" s="2" t="s">
        <v>2912</v>
      </c>
      <c r="D110" s="2" t="s">
        <v>2722</v>
      </c>
      <c r="E110" s="1">
        <v>3</v>
      </c>
      <c r="F110" s="2" t="s">
        <v>2723</v>
      </c>
      <c r="G110" s="2" t="s">
        <v>1283</v>
      </c>
      <c r="H110" s="1" t="s">
        <v>702</v>
      </c>
      <c r="I110" s="1">
        <v>1</v>
      </c>
      <c r="J110" s="30" t="s">
        <v>702</v>
      </c>
      <c r="K110" s="30" t="s">
        <v>702</v>
      </c>
      <c r="L110" s="30">
        <v>50000</v>
      </c>
      <c r="M110" s="30" t="s">
        <v>702</v>
      </c>
      <c r="N110" s="3">
        <v>46218.375</v>
      </c>
      <c r="O110" s="2" t="s">
        <v>897</v>
      </c>
      <c r="P110" s="3">
        <v>46218.375</v>
      </c>
      <c r="Q110" s="2" t="s">
        <v>897</v>
      </c>
      <c r="R110" s="34"/>
      <c r="S110" s="1" t="s">
        <v>31</v>
      </c>
    </row>
    <row r="111" spans="2:19">
      <c r="B111" s="2" t="s">
        <v>3044</v>
      </c>
      <c r="C111" s="2" t="s">
        <v>2912</v>
      </c>
      <c r="D111" s="2" t="s">
        <v>2724</v>
      </c>
      <c r="E111" s="1">
        <v>4</v>
      </c>
      <c r="F111" s="2" t="s">
        <v>2725</v>
      </c>
      <c r="G111" s="2" t="s">
        <v>1286</v>
      </c>
      <c r="H111" s="1">
        <v>9</v>
      </c>
      <c r="I111" s="1" t="s">
        <v>702</v>
      </c>
      <c r="J111" s="30" t="s">
        <v>702</v>
      </c>
      <c r="K111" s="30" t="s">
        <v>702</v>
      </c>
      <c r="L111" s="30">
        <v>90000</v>
      </c>
      <c r="M111" s="30" t="s">
        <v>702</v>
      </c>
      <c r="N111" s="3">
        <v>46218.375</v>
      </c>
      <c r="O111" s="2" t="s">
        <v>897</v>
      </c>
      <c r="P111" s="3">
        <v>46218.375</v>
      </c>
      <c r="Q111" s="2" t="s">
        <v>897</v>
      </c>
      <c r="R111" s="34"/>
      <c r="S111" s="1" t="s">
        <v>31</v>
      </c>
    </row>
    <row r="112" spans="2:19">
      <c r="B112" s="2" t="s">
        <v>3045</v>
      </c>
      <c r="C112" s="2" t="s">
        <v>2913</v>
      </c>
      <c r="D112" s="2" t="s">
        <v>2726</v>
      </c>
      <c r="E112" s="1">
        <v>1</v>
      </c>
      <c r="F112" s="2" t="s">
        <v>2727</v>
      </c>
      <c r="G112" s="2" t="s">
        <v>1289</v>
      </c>
      <c r="H112" s="1">
        <v>4</v>
      </c>
      <c r="I112" s="1" t="s">
        <v>702</v>
      </c>
      <c r="J112" s="30" t="s">
        <v>702</v>
      </c>
      <c r="K112" s="30" t="s">
        <v>702</v>
      </c>
      <c r="L112" s="30">
        <v>50000</v>
      </c>
      <c r="M112" s="30" t="s">
        <v>702</v>
      </c>
      <c r="N112" s="3">
        <v>46219.511805555601</v>
      </c>
      <c r="O112" s="2" t="s">
        <v>901</v>
      </c>
      <c r="P112" s="3">
        <v>46219.511805555601</v>
      </c>
      <c r="Q112" s="2" t="s">
        <v>901</v>
      </c>
      <c r="R112" s="34"/>
      <c r="S112" s="1" t="s">
        <v>31</v>
      </c>
    </row>
    <row r="113" spans="2:19">
      <c r="B113" s="2" t="s">
        <v>3046</v>
      </c>
      <c r="C113" s="2" t="s">
        <v>2913</v>
      </c>
      <c r="D113" s="2" t="s">
        <v>2728</v>
      </c>
      <c r="E113" s="1">
        <v>2</v>
      </c>
      <c r="F113" s="2" t="s">
        <v>2729</v>
      </c>
      <c r="G113" s="2" t="s">
        <v>1292</v>
      </c>
      <c r="H113" s="1" t="s">
        <v>702</v>
      </c>
      <c r="I113" s="1">
        <v>1</v>
      </c>
      <c r="J113" s="30" t="s">
        <v>702</v>
      </c>
      <c r="K113" s="30" t="s">
        <v>702</v>
      </c>
      <c r="L113" s="30">
        <v>50000</v>
      </c>
      <c r="M113" s="30" t="s">
        <v>702</v>
      </c>
      <c r="N113" s="3">
        <v>46219.511805555601</v>
      </c>
      <c r="O113" s="2" t="s">
        <v>901</v>
      </c>
      <c r="P113" s="3">
        <v>46219.511805555601</v>
      </c>
      <c r="Q113" s="2" t="s">
        <v>901</v>
      </c>
      <c r="R113" s="34"/>
      <c r="S113" s="1" t="s">
        <v>31</v>
      </c>
    </row>
    <row r="114" spans="2:19">
      <c r="B114" s="2" t="s">
        <v>3047</v>
      </c>
      <c r="C114" s="2" t="s">
        <v>2913</v>
      </c>
      <c r="D114" s="2" t="s">
        <v>2730</v>
      </c>
      <c r="E114" s="1">
        <v>3</v>
      </c>
      <c r="F114" s="2" t="s">
        <v>2731</v>
      </c>
      <c r="G114" s="2" t="s">
        <v>1295</v>
      </c>
      <c r="H114" s="1">
        <v>8</v>
      </c>
      <c r="I114" s="1" t="s">
        <v>702</v>
      </c>
      <c r="J114" s="30" t="s">
        <v>702</v>
      </c>
      <c r="K114" s="30" t="s">
        <v>702</v>
      </c>
      <c r="L114" s="30">
        <v>24000</v>
      </c>
      <c r="M114" s="30" t="s">
        <v>702</v>
      </c>
      <c r="N114" s="3">
        <v>46219.511805555601</v>
      </c>
      <c r="O114" s="2" t="s">
        <v>901</v>
      </c>
      <c r="P114" s="3">
        <v>46219.511805555601</v>
      </c>
      <c r="Q114" s="2" t="s">
        <v>901</v>
      </c>
      <c r="R114" s="34"/>
      <c r="S114" s="1" t="s">
        <v>31</v>
      </c>
    </row>
    <row r="115" spans="2:19">
      <c r="B115" s="2" t="s">
        <v>3048</v>
      </c>
      <c r="C115" s="2" t="s">
        <v>2913</v>
      </c>
      <c r="D115" s="2" t="s">
        <v>2732</v>
      </c>
      <c r="E115" s="1">
        <v>4</v>
      </c>
      <c r="F115" s="2" t="s">
        <v>2733</v>
      </c>
      <c r="G115" s="2" t="s">
        <v>1298</v>
      </c>
      <c r="H115" s="1" t="s">
        <v>702</v>
      </c>
      <c r="I115" s="1">
        <v>3</v>
      </c>
      <c r="J115" s="30" t="s">
        <v>702</v>
      </c>
      <c r="K115" s="30" t="s">
        <v>702</v>
      </c>
      <c r="L115" s="30">
        <v>60000</v>
      </c>
      <c r="M115" s="30" t="s">
        <v>702</v>
      </c>
      <c r="N115" s="3">
        <v>46219.511805555601</v>
      </c>
      <c r="O115" s="2" t="s">
        <v>901</v>
      </c>
      <c r="P115" s="3">
        <v>46219.511805555601</v>
      </c>
      <c r="Q115" s="2" t="s">
        <v>901</v>
      </c>
      <c r="R115" s="34"/>
      <c r="S115" s="1" t="s">
        <v>31</v>
      </c>
    </row>
    <row r="116" spans="2:19">
      <c r="B116" s="2" t="s">
        <v>3049</v>
      </c>
      <c r="C116" s="2" t="s">
        <v>2914</v>
      </c>
      <c r="D116" s="2" t="s">
        <v>2734</v>
      </c>
      <c r="E116" s="1">
        <v>1</v>
      </c>
      <c r="F116" s="2" t="s">
        <v>2735</v>
      </c>
      <c r="G116" s="2" t="s">
        <v>1301</v>
      </c>
      <c r="H116" s="1" t="s">
        <v>702</v>
      </c>
      <c r="I116" s="1">
        <v>1</v>
      </c>
      <c r="J116" s="30" t="s">
        <v>702</v>
      </c>
      <c r="K116" s="30" t="s">
        <v>702</v>
      </c>
      <c r="L116" s="30">
        <v>25000</v>
      </c>
      <c r="M116" s="30" t="s">
        <v>702</v>
      </c>
      <c r="N116" s="3">
        <v>46219.648611111101</v>
      </c>
      <c r="O116" s="2" t="s">
        <v>905</v>
      </c>
      <c r="P116" s="3">
        <v>46219.648611111101</v>
      </c>
      <c r="Q116" s="2" t="s">
        <v>905</v>
      </c>
      <c r="R116" s="34"/>
      <c r="S116" s="1" t="s">
        <v>31</v>
      </c>
    </row>
    <row r="117" spans="2:19">
      <c r="B117" s="2" t="s">
        <v>3050</v>
      </c>
      <c r="C117" s="2" t="s">
        <v>2914</v>
      </c>
      <c r="D117" s="2" t="s">
        <v>2736</v>
      </c>
      <c r="E117" s="1">
        <v>2</v>
      </c>
      <c r="F117" s="2" t="s">
        <v>2737</v>
      </c>
      <c r="G117" s="2" t="s">
        <v>1304</v>
      </c>
      <c r="H117" s="1">
        <v>7</v>
      </c>
      <c r="I117" s="1" t="s">
        <v>702</v>
      </c>
      <c r="J117" s="30" t="s">
        <v>702</v>
      </c>
      <c r="K117" s="30" t="s">
        <v>702</v>
      </c>
      <c r="L117" s="30">
        <v>42000</v>
      </c>
      <c r="M117" s="30" t="s">
        <v>702</v>
      </c>
      <c r="N117" s="3">
        <v>46219.648611111101</v>
      </c>
      <c r="O117" s="2" t="s">
        <v>905</v>
      </c>
      <c r="P117" s="3">
        <v>46219.648611111101</v>
      </c>
      <c r="Q117" s="2" t="s">
        <v>905</v>
      </c>
      <c r="R117" s="34"/>
      <c r="S117" s="1" t="s">
        <v>31</v>
      </c>
    </row>
    <row r="118" spans="2:19">
      <c r="B118" s="2" t="s">
        <v>3051</v>
      </c>
      <c r="C118" s="2" t="s">
        <v>2914</v>
      </c>
      <c r="D118" s="2" t="s">
        <v>2738</v>
      </c>
      <c r="E118" s="1">
        <v>3</v>
      </c>
      <c r="F118" s="2" t="s">
        <v>2739</v>
      </c>
      <c r="G118" s="2" t="s">
        <v>1307</v>
      </c>
      <c r="H118" s="1" t="s">
        <v>702</v>
      </c>
      <c r="I118" s="1">
        <v>3</v>
      </c>
      <c r="J118" s="30" t="s">
        <v>702</v>
      </c>
      <c r="K118" s="30" t="s">
        <v>702</v>
      </c>
      <c r="L118" s="30">
        <v>90000</v>
      </c>
      <c r="M118" s="30" t="s">
        <v>702</v>
      </c>
      <c r="N118" s="3">
        <v>46219.648611111101</v>
      </c>
      <c r="O118" s="2" t="s">
        <v>905</v>
      </c>
      <c r="P118" s="3">
        <v>46219.648611111101</v>
      </c>
      <c r="Q118" s="2" t="s">
        <v>905</v>
      </c>
      <c r="R118" s="34"/>
      <c r="S118" s="1" t="s">
        <v>31</v>
      </c>
    </row>
    <row r="119" spans="2:19">
      <c r="B119" s="2" t="s">
        <v>3052</v>
      </c>
      <c r="C119" s="2" t="s">
        <v>2914</v>
      </c>
      <c r="D119" s="2" t="s">
        <v>2740</v>
      </c>
      <c r="E119" s="1">
        <v>4</v>
      </c>
      <c r="F119" s="2" t="s">
        <v>2741</v>
      </c>
      <c r="G119" s="2" t="s">
        <v>1310</v>
      </c>
      <c r="H119" s="1">
        <v>11</v>
      </c>
      <c r="I119" s="1" t="s">
        <v>702</v>
      </c>
      <c r="J119" s="30" t="s">
        <v>702</v>
      </c>
      <c r="K119" s="30" t="s">
        <v>702</v>
      </c>
      <c r="L119" s="30">
        <v>132000</v>
      </c>
      <c r="M119" s="30" t="s">
        <v>702</v>
      </c>
      <c r="N119" s="3">
        <v>46219.648611111101</v>
      </c>
      <c r="O119" s="2" t="s">
        <v>905</v>
      </c>
      <c r="P119" s="3">
        <v>46219.648611111101</v>
      </c>
      <c r="Q119" s="2" t="s">
        <v>905</v>
      </c>
      <c r="R119" s="34"/>
      <c r="S119" s="1" t="s">
        <v>31</v>
      </c>
    </row>
    <row r="120" spans="2:19">
      <c r="B120" s="2" t="s">
        <v>3053</v>
      </c>
      <c r="C120" s="2" t="s">
        <v>2915</v>
      </c>
      <c r="D120" s="2" t="s">
        <v>2742</v>
      </c>
      <c r="E120" s="1">
        <v>1</v>
      </c>
      <c r="F120" s="2" t="s">
        <v>2743</v>
      </c>
      <c r="G120" s="2" t="s">
        <v>1313</v>
      </c>
      <c r="H120" s="1">
        <v>6</v>
      </c>
      <c r="I120" s="1" t="s">
        <v>702</v>
      </c>
      <c r="J120" s="30" t="s">
        <v>702</v>
      </c>
      <c r="K120" s="30" t="s">
        <v>702</v>
      </c>
      <c r="L120" s="30">
        <v>75000</v>
      </c>
      <c r="M120" s="30" t="s">
        <v>702</v>
      </c>
      <c r="N120" s="3">
        <v>46220.410416666702</v>
      </c>
      <c r="O120" s="2" t="s">
        <v>909</v>
      </c>
      <c r="P120" s="3">
        <v>46220.410416666702</v>
      </c>
      <c r="Q120" s="2" t="s">
        <v>909</v>
      </c>
      <c r="R120" s="34"/>
      <c r="S120" s="1" t="s">
        <v>31</v>
      </c>
    </row>
    <row r="121" spans="2:19">
      <c r="B121" s="2" t="s">
        <v>3054</v>
      </c>
      <c r="C121" s="2" t="s">
        <v>2915</v>
      </c>
      <c r="D121" s="2" t="s">
        <v>2744</v>
      </c>
      <c r="E121" s="1">
        <v>2</v>
      </c>
      <c r="F121" s="2" t="s">
        <v>2745</v>
      </c>
      <c r="G121" s="2" t="s">
        <v>1316</v>
      </c>
      <c r="H121" s="1" t="s">
        <v>702</v>
      </c>
      <c r="I121" s="1">
        <v>3</v>
      </c>
      <c r="J121" s="30" t="s">
        <v>702</v>
      </c>
      <c r="K121" s="30" t="s">
        <v>702</v>
      </c>
      <c r="L121" s="30">
        <v>150000</v>
      </c>
      <c r="M121" s="30" t="s">
        <v>702</v>
      </c>
      <c r="N121" s="3">
        <v>46220.410416666702</v>
      </c>
      <c r="O121" s="2" t="s">
        <v>909</v>
      </c>
      <c r="P121" s="3">
        <v>46220.410416666702</v>
      </c>
      <c r="Q121" s="2" t="s">
        <v>909</v>
      </c>
      <c r="R121" s="34"/>
      <c r="S121" s="1" t="s">
        <v>31</v>
      </c>
    </row>
    <row r="122" spans="2:19">
      <c r="B122" s="2" t="s">
        <v>3055</v>
      </c>
      <c r="C122" s="2" t="s">
        <v>2915</v>
      </c>
      <c r="D122" s="2" t="s">
        <v>2746</v>
      </c>
      <c r="E122" s="1">
        <v>3</v>
      </c>
      <c r="F122" s="2" t="s">
        <v>2747</v>
      </c>
      <c r="G122" s="2" t="s">
        <v>1319</v>
      </c>
      <c r="H122" s="1">
        <v>10</v>
      </c>
      <c r="I122" s="1" t="s">
        <v>702</v>
      </c>
      <c r="J122" s="30" t="s">
        <v>702</v>
      </c>
      <c r="K122" s="30" t="s">
        <v>702</v>
      </c>
      <c r="L122" s="30">
        <v>175000</v>
      </c>
      <c r="M122" s="30" t="s">
        <v>702</v>
      </c>
      <c r="N122" s="3">
        <v>46220.410416666702</v>
      </c>
      <c r="O122" s="2" t="s">
        <v>909</v>
      </c>
      <c r="P122" s="3">
        <v>46220.410416666702</v>
      </c>
      <c r="Q122" s="2" t="s">
        <v>909</v>
      </c>
      <c r="R122" s="34"/>
      <c r="S122" s="1" t="s">
        <v>31</v>
      </c>
    </row>
    <row r="123" spans="2:19" ht="29" customHeight="1">
      <c r="B123" s="2" t="s">
        <v>3056</v>
      </c>
      <c r="C123" s="2" t="s">
        <v>2915</v>
      </c>
      <c r="D123" s="2" t="s">
        <v>2748</v>
      </c>
      <c r="E123" s="1">
        <v>4</v>
      </c>
      <c r="F123" s="2" t="s">
        <v>2749</v>
      </c>
      <c r="G123" s="2" t="s">
        <v>1259</v>
      </c>
      <c r="H123" s="1" t="s">
        <v>702</v>
      </c>
      <c r="I123" s="1">
        <v>2</v>
      </c>
      <c r="J123" s="30" t="s">
        <v>702</v>
      </c>
      <c r="K123" s="30" t="s">
        <v>702</v>
      </c>
      <c r="L123" s="30">
        <v>70000</v>
      </c>
      <c r="M123" s="30" t="s">
        <v>702</v>
      </c>
      <c r="N123" s="3">
        <v>46220.410416666702</v>
      </c>
      <c r="O123" s="2" t="s">
        <v>909</v>
      </c>
      <c r="P123" s="3">
        <v>46220.410416666702</v>
      </c>
      <c r="Q123" s="2" t="s">
        <v>909</v>
      </c>
      <c r="R123" s="34"/>
      <c r="S123" s="1" t="s">
        <v>31</v>
      </c>
    </row>
    <row r="124" spans="2:19">
      <c r="B124" s="2" t="s">
        <v>3057</v>
      </c>
      <c r="C124" s="2" t="s">
        <v>2916</v>
      </c>
      <c r="D124" s="2" t="s">
        <v>2750</v>
      </c>
      <c r="E124" s="1">
        <v>1</v>
      </c>
      <c r="F124" s="2" t="s">
        <v>2751</v>
      </c>
      <c r="G124" s="2" t="s">
        <v>1262</v>
      </c>
      <c r="H124" s="1" t="s">
        <v>702</v>
      </c>
      <c r="I124" s="1">
        <v>3</v>
      </c>
      <c r="J124" s="30" t="s">
        <v>702</v>
      </c>
      <c r="K124" s="30" t="s">
        <v>702</v>
      </c>
      <c r="L124" s="30">
        <v>127500</v>
      </c>
      <c r="M124" s="30" t="s">
        <v>702</v>
      </c>
      <c r="N124" s="3">
        <v>46220.505555555603</v>
      </c>
      <c r="O124" s="2" t="s">
        <v>913</v>
      </c>
      <c r="P124" s="3">
        <v>46220.505555555603</v>
      </c>
      <c r="Q124" s="2" t="s">
        <v>913</v>
      </c>
      <c r="R124" s="34"/>
      <c r="S124" s="1" t="s">
        <v>31</v>
      </c>
    </row>
    <row r="125" spans="2:19">
      <c r="B125" s="2" t="s">
        <v>3058</v>
      </c>
      <c r="C125" s="2" t="s">
        <v>2916</v>
      </c>
      <c r="D125" s="2" t="s">
        <v>2752</v>
      </c>
      <c r="E125" s="1">
        <v>2</v>
      </c>
      <c r="F125" s="2" t="s">
        <v>2753</v>
      </c>
      <c r="G125" s="2" t="s">
        <v>1265</v>
      </c>
      <c r="H125" s="1">
        <v>9</v>
      </c>
      <c r="I125" s="1" t="s">
        <v>702</v>
      </c>
      <c r="J125" s="30" t="s">
        <v>702</v>
      </c>
      <c r="K125" s="30" t="s">
        <v>702</v>
      </c>
      <c r="L125" s="30">
        <v>157500</v>
      </c>
      <c r="M125" s="30" t="s">
        <v>702</v>
      </c>
      <c r="N125" s="3">
        <v>46220.505555555603</v>
      </c>
      <c r="O125" s="2" t="s">
        <v>913</v>
      </c>
      <c r="P125" s="3">
        <v>46220.505555555603</v>
      </c>
      <c r="Q125" s="2" t="s">
        <v>913</v>
      </c>
      <c r="R125" s="34"/>
      <c r="S125" s="1" t="s">
        <v>31</v>
      </c>
    </row>
    <row r="126" spans="2:19" ht="29" customHeight="1">
      <c r="B126" s="2" t="s">
        <v>3059</v>
      </c>
      <c r="C126" s="2" t="s">
        <v>2916</v>
      </c>
      <c r="D126" s="2" t="s">
        <v>2754</v>
      </c>
      <c r="E126" s="1">
        <v>3</v>
      </c>
      <c r="F126" s="2" t="s">
        <v>2755</v>
      </c>
      <c r="G126" s="2" t="s">
        <v>1268</v>
      </c>
      <c r="H126" s="1" t="s">
        <v>702</v>
      </c>
      <c r="I126" s="1">
        <v>2</v>
      </c>
      <c r="J126" s="30" t="s">
        <v>702</v>
      </c>
      <c r="K126" s="30" t="s">
        <v>702</v>
      </c>
      <c r="L126" s="30">
        <v>50000</v>
      </c>
      <c r="M126" s="30" t="s">
        <v>702</v>
      </c>
      <c r="N126" s="3">
        <v>46220.505555555603</v>
      </c>
      <c r="O126" s="2" t="s">
        <v>913</v>
      </c>
      <c r="P126" s="3">
        <v>46220.505555555603</v>
      </c>
      <c r="Q126" s="2" t="s">
        <v>913</v>
      </c>
      <c r="R126" s="34"/>
      <c r="S126" s="1" t="s">
        <v>31</v>
      </c>
    </row>
    <row r="127" spans="2:19">
      <c r="B127" s="2" t="s">
        <v>3060</v>
      </c>
      <c r="C127" s="2" t="s">
        <v>2916</v>
      </c>
      <c r="D127" s="2" t="s">
        <v>2756</v>
      </c>
      <c r="E127" s="1">
        <v>4</v>
      </c>
      <c r="F127" s="2" t="s">
        <v>2757</v>
      </c>
      <c r="G127" s="2" t="s">
        <v>1271</v>
      </c>
      <c r="H127" s="1">
        <v>1</v>
      </c>
      <c r="I127" s="1" t="s">
        <v>702</v>
      </c>
      <c r="J127" s="30" t="s">
        <v>702</v>
      </c>
      <c r="K127" s="30" t="s">
        <v>702</v>
      </c>
      <c r="L127" s="30">
        <v>10000</v>
      </c>
      <c r="M127" s="30" t="s">
        <v>702</v>
      </c>
      <c r="N127" s="3">
        <v>46220.505555555603</v>
      </c>
      <c r="O127" s="2" t="s">
        <v>913</v>
      </c>
      <c r="P127" s="3">
        <v>46220.505555555603</v>
      </c>
      <c r="Q127" s="2" t="s">
        <v>913</v>
      </c>
      <c r="R127" s="34"/>
      <c r="S127" s="1" t="s">
        <v>31</v>
      </c>
    </row>
    <row r="128" spans="2:19">
      <c r="B128" s="2" t="s">
        <v>3061</v>
      </c>
      <c r="C128" s="2" t="s">
        <v>2917</v>
      </c>
      <c r="D128" s="2" t="s">
        <v>2758</v>
      </c>
      <c r="E128" s="1">
        <v>1</v>
      </c>
      <c r="F128" s="2" t="s">
        <v>2759</v>
      </c>
      <c r="G128" s="2" t="s">
        <v>1274</v>
      </c>
      <c r="H128" s="1">
        <v>8</v>
      </c>
      <c r="I128" s="1" t="s">
        <v>702</v>
      </c>
      <c r="J128" s="30" t="s">
        <v>702</v>
      </c>
      <c r="K128" s="30" t="s">
        <v>702</v>
      </c>
      <c r="L128" s="30">
        <v>100000</v>
      </c>
      <c r="M128" s="30" t="s">
        <v>702</v>
      </c>
      <c r="N128" s="3">
        <v>46221.642361111102</v>
      </c>
      <c r="O128" s="2" t="s">
        <v>917</v>
      </c>
      <c r="P128" s="3">
        <v>46221.642361111102</v>
      </c>
      <c r="Q128" s="2" t="s">
        <v>917</v>
      </c>
      <c r="R128" s="34"/>
      <c r="S128" s="1" t="s">
        <v>31</v>
      </c>
    </row>
    <row r="129" spans="2:19" ht="29" customHeight="1">
      <c r="B129" s="2" t="s">
        <v>3062</v>
      </c>
      <c r="C129" s="2" t="s">
        <v>2917</v>
      </c>
      <c r="D129" s="2" t="s">
        <v>2760</v>
      </c>
      <c r="E129" s="1">
        <v>2</v>
      </c>
      <c r="F129" s="2" t="s">
        <v>2761</v>
      </c>
      <c r="G129" s="2" t="s">
        <v>1277</v>
      </c>
      <c r="H129" s="1" t="s">
        <v>702</v>
      </c>
      <c r="I129" s="1">
        <v>2</v>
      </c>
      <c r="J129" s="30" t="s">
        <v>702</v>
      </c>
      <c r="K129" s="30" t="s">
        <v>702</v>
      </c>
      <c r="L129" s="30">
        <v>70000</v>
      </c>
      <c r="M129" s="30" t="s">
        <v>702</v>
      </c>
      <c r="N129" s="3">
        <v>46221.642361111102</v>
      </c>
      <c r="O129" s="2" t="s">
        <v>917</v>
      </c>
      <c r="P129" s="3">
        <v>46221.642361111102</v>
      </c>
      <c r="Q129" s="2" t="s">
        <v>917</v>
      </c>
      <c r="R129" s="34"/>
      <c r="S129" s="1" t="s">
        <v>31</v>
      </c>
    </row>
    <row r="130" spans="2:19">
      <c r="B130" s="2" t="s">
        <v>3063</v>
      </c>
      <c r="C130" s="2" t="s">
        <v>2917</v>
      </c>
      <c r="D130" s="2" t="s">
        <v>2762</v>
      </c>
      <c r="E130" s="1">
        <v>3</v>
      </c>
      <c r="F130" s="2" t="s">
        <v>2763</v>
      </c>
      <c r="G130" s="2" t="s">
        <v>1280</v>
      </c>
      <c r="H130" s="1">
        <v>12</v>
      </c>
      <c r="I130" s="1" t="s">
        <v>702</v>
      </c>
      <c r="J130" s="30" t="s">
        <v>702</v>
      </c>
      <c r="K130" s="30" t="s">
        <v>702</v>
      </c>
      <c r="L130" s="30">
        <v>180000</v>
      </c>
      <c r="M130" s="30" t="s">
        <v>702</v>
      </c>
      <c r="N130" s="3">
        <v>46221.642361111102</v>
      </c>
      <c r="O130" s="2" t="s">
        <v>917</v>
      </c>
      <c r="P130" s="3">
        <v>46221.642361111102</v>
      </c>
      <c r="Q130" s="2" t="s">
        <v>917</v>
      </c>
      <c r="R130" s="34"/>
      <c r="S130" s="1" t="s">
        <v>31</v>
      </c>
    </row>
    <row r="131" spans="2:19">
      <c r="B131" s="2" t="s">
        <v>3064</v>
      </c>
      <c r="C131" s="2" t="s">
        <v>2917</v>
      </c>
      <c r="D131" s="2" t="s">
        <v>2764</v>
      </c>
      <c r="E131" s="1">
        <v>4</v>
      </c>
      <c r="F131" s="2" t="s">
        <v>2765</v>
      </c>
      <c r="G131" s="2" t="s">
        <v>1283</v>
      </c>
      <c r="H131" s="1" t="s">
        <v>702</v>
      </c>
      <c r="I131" s="1">
        <v>1</v>
      </c>
      <c r="J131" s="30" t="s">
        <v>702</v>
      </c>
      <c r="K131" s="30" t="s">
        <v>702</v>
      </c>
      <c r="L131" s="30">
        <v>50000</v>
      </c>
      <c r="M131" s="30" t="s">
        <v>702</v>
      </c>
      <c r="N131" s="3">
        <v>46221.642361111102</v>
      </c>
      <c r="O131" s="2" t="s">
        <v>917</v>
      </c>
      <c r="P131" s="3">
        <v>46221.642361111102</v>
      </c>
      <c r="Q131" s="2" t="s">
        <v>917</v>
      </c>
      <c r="R131" s="34"/>
      <c r="S131" s="1" t="s">
        <v>31</v>
      </c>
    </row>
    <row r="132" spans="2:19" ht="29" customHeight="1">
      <c r="B132" s="2" t="s">
        <v>3065</v>
      </c>
      <c r="C132" s="2" t="s">
        <v>2918</v>
      </c>
      <c r="D132" s="2" t="s">
        <v>2766</v>
      </c>
      <c r="E132" s="1">
        <v>1</v>
      </c>
      <c r="F132" s="2" t="s">
        <v>2767</v>
      </c>
      <c r="G132" s="2" t="s">
        <v>1286</v>
      </c>
      <c r="H132" s="1" t="s">
        <v>702</v>
      </c>
      <c r="I132" s="1">
        <v>2</v>
      </c>
      <c r="J132" s="30" t="s">
        <v>702</v>
      </c>
      <c r="K132" s="30" t="s">
        <v>702</v>
      </c>
      <c r="L132" s="30">
        <v>60000</v>
      </c>
      <c r="M132" s="30" t="s">
        <v>702</v>
      </c>
      <c r="N132" s="3">
        <v>46221.404166666704</v>
      </c>
      <c r="O132" s="2" t="s">
        <v>703</v>
      </c>
      <c r="P132" s="3">
        <v>46221.404166666704</v>
      </c>
      <c r="Q132" s="2" t="s">
        <v>703</v>
      </c>
      <c r="R132" s="34"/>
      <c r="S132" s="1" t="s">
        <v>31</v>
      </c>
    </row>
    <row r="133" spans="2:19">
      <c r="B133" s="2" t="s">
        <v>3066</v>
      </c>
      <c r="C133" s="2" t="s">
        <v>2918</v>
      </c>
      <c r="D133" s="2" t="s">
        <v>2768</v>
      </c>
      <c r="E133" s="1">
        <v>2</v>
      </c>
      <c r="F133" s="2" t="s">
        <v>2769</v>
      </c>
      <c r="G133" s="2" t="s">
        <v>1289</v>
      </c>
      <c r="H133" s="1">
        <v>11</v>
      </c>
      <c r="I133" s="1" t="s">
        <v>702</v>
      </c>
      <c r="J133" s="30" t="s">
        <v>702</v>
      </c>
      <c r="K133" s="30" t="s">
        <v>702</v>
      </c>
      <c r="L133" s="30">
        <v>137500</v>
      </c>
      <c r="M133" s="30" t="s">
        <v>702</v>
      </c>
      <c r="N133" s="3">
        <v>46221.404166666704</v>
      </c>
      <c r="O133" s="2" t="s">
        <v>703</v>
      </c>
      <c r="P133" s="3">
        <v>46221.404166666704</v>
      </c>
      <c r="Q133" s="2" t="s">
        <v>703</v>
      </c>
      <c r="R133" s="34"/>
      <c r="S133" s="1" t="s">
        <v>31</v>
      </c>
    </row>
    <row r="134" spans="2:19">
      <c r="B134" s="2" t="s">
        <v>3067</v>
      </c>
      <c r="C134" s="2" t="s">
        <v>2918</v>
      </c>
      <c r="D134" s="2" t="s">
        <v>2770</v>
      </c>
      <c r="E134" s="1">
        <v>3</v>
      </c>
      <c r="F134" s="2" t="s">
        <v>2771</v>
      </c>
      <c r="G134" s="2" t="s">
        <v>1292</v>
      </c>
      <c r="H134" s="1" t="s">
        <v>702</v>
      </c>
      <c r="I134" s="1">
        <v>1</v>
      </c>
      <c r="J134" s="30" t="s">
        <v>702</v>
      </c>
      <c r="K134" s="30" t="s">
        <v>702</v>
      </c>
      <c r="L134" s="30">
        <v>50000</v>
      </c>
      <c r="M134" s="30" t="s">
        <v>702</v>
      </c>
      <c r="N134" s="3">
        <v>46221.404166666704</v>
      </c>
      <c r="O134" s="2" t="s">
        <v>703</v>
      </c>
      <c r="P134" s="3">
        <v>46221.404166666704</v>
      </c>
      <c r="Q134" s="2" t="s">
        <v>703</v>
      </c>
      <c r="R134" s="34"/>
      <c r="S134" s="1" t="s">
        <v>31</v>
      </c>
    </row>
    <row r="135" spans="2:19">
      <c r="B135" s="2" t="s">
        <v>3068</v>
      </c>
      <c r="C135" s="2" t="s">
        <v>2918</v>
      </c>
      <c r="D135" s="2" t="s">
        <v>2772</v>
      </c>
      <c r="E135" s="1">
        <v>4</v>
      </c>
      <c r="F135" s="2" t="s">
        <v>2773</v>
      </c>
      <c r="G135" s="2" t="s">
        <v>1295</v>
      </c>
      <c r="H135" s="1">
        <v>3</v>
      </c>
      <c r="I135" s="1" t="s">
        <v>702</v>
      </c>
      <c r="J135" s="30" t="s">
        <v>702</v>
      </c>
      <c r="K135" s="30" t="s">
        <v>702</v>
      </c>
      <c r="L135" s="30">
        <v>9000</v>
      </c>
      <c r="M135" s="30" t="s">
        <v>702</v>
      </c>
      <c r="N135" s="3">
        <v>46221.404166666704</v>
      </c>
      <c r="O135" s="2" t="s">
        <v>703</v>
      </c>
      <c r="P135" s="3">
        <v>46221.404166666704</v>
      </c>
      <c r="Q135" s="2" t="s">
        <v>703</v>
      </c>
      <c r="R135" s="34"/>
      <c r="S135" s="1" t="s">
        <v>31</v>
      </c>
    </row>
    <row r="136" spans="2:19">
      <c r="B136" s="2" t="s">
        <v>3069</v>
      </c>
      <c r="C136" s="2" t="s">
        <v>2919</v>
      </c>
      <c r="D136" s="2" t="s">
        <v>2774</v>
      </c>
      <c r="E136" s="1">
        <v>1</v>
      </c>
      <c r="F136" s="2" t="s">
        <v>2775</v>
      </c>
      <c r="G136" s="2" t="s">
        <v>1298</v>
      </c>
      <c r="H136" s="1">
        <v>10</v>
      </c>
      <c r="I136" s="1" t="s">
        <v>702</v>
      </c>
      <c r="J136" s="30" t="s">
        <v>702</v>
      </c>
      <c r="K136" s="30" t="s">
        <v>702</v>
      </c>
      <c r="L136" s="30">
        <v>50000</v>
      </c>
      <c r="M136" s="30" t="s">
        <v>702</v>
      </c>
      <c r="N136" s="3">
        <v>46222.540972222203</v>
      </c>
      <c r="O136" s="2" t="s">
        <v>707</v>
      </c>
      <c r="P136" s="3">
        <v>46222.540972222203</v>
      </c>
      <c r="Q136" s="2" t="s">
        <v>707</v>
      </c>
      <c r="R136" s="34"/>
      <c r="S136" s="1" t="s">
        <v>31</v>
      </c>
    </row>
    <row r="137" spans="2:19">
      <c r="B137" s="2" t="s">
        <v>3070</v>
      </c>
      <c r="C137" s="2" t="s">
        <v>2919</v>
      </c>
      <c r="D137" s="2" t="s">
        <v>2776</v>
      </c>
      <c r="E137" s="1">
        <v>2</v>
      </c>
      <c r="F137" s="2" t="s">
        <v>2777</v>
      </c>
      <c r="G137" s="2" t="s">
        <v>1301</v>
      </c>
      <c r="H137" s="1" t="s">
        <v>702</v>
      </c>
      <c r="I137" s="1">
        <v>1</v>
      </c>
      <c r="J137" s="30" t="s">
        <v>702</v>
      </c>
      <c r="K137" s="30" t="s">
        <v>702</v>
      </c>
      <c r="L137" s="30">
        <v>25000</v>
      </c>
      <c r="M137" s="30" t="s">
        <v>702</v>
      </c>
      <c r="N137" s="3">
        <v>46222.540972222203</v>
      </c>
      <c r="O137" s="2" t="s">
        <v>707</v>
      </c>
      <c r="P137" s="3">
        <v>46222.540972222203</v>
      </c>
      <c r="Q137" s="2" t="s">
        <v>707</v>
      </c>
      <c r="R137" s="34"/>
      <c r="S137" s="1" t="s">
        <v>31</v>
      </c>
    </row>
    <row r="138" spans="2:19">
      <c r="B138" s="2" t="s">
        <v>3071</v>
      </c>
      <c r="C138" s="2" t="s">
        <v>2919</v>
      </c>
      <c r="D138" s="2" t="s">
        <v>2778</v>
      </c>
      <c r="E138" s="1">
        <v>3</v>
      </c>
      <c r="F138" s="2" t="s">
        <v>2779</v>
      </c>
      <c r="G138" s="2" t="s">
        <v>1304</v>
      </c>
      <c r="H138" s="1">
        <v>2</v>
      </c>
      <c r="I138" s="1" t="s">
        <v>702</v>
      </c>
      <c r="J138" s="30" t="s">
        <v>702</v>
      </c>
      <c r="K138" s="30" t="s">
        <v>702</v>
      </c>
      <c r="L138" s="30">
        <v>12000</v>
      </c>
      <c r="M138" s="30" t="s">
        <v>702</v>
      </c>
      <c r="N138" s="3">
        <v>46222.540972222203</v>
      </c>
      <c r="O138" s="2" t="s">
        <v>707</v>
      </c>
      <c r="P138" s="3">
        <v>46222.540972222203</v>
      </c>
      <c r="Q138" s="2" t="s">
        <v>707</v>
      </c>
      <c r="R138" s="34"/>
      <c r="S138" s="1" t="s">
        <v>31</v>
      </c>
    </row>
    <row r="139" spans="2:19" ht="29" customHeight="1">
      <c r="B139" s="2" t="s">
        <v>3072</v>
      </c>
      <c r="C139" s="2" t="s">
        <v>2919</v>
      </c>
      <c r="D139" s="2" t="s">
        <v>2780</v>
      </c>
      <c r="E139" s="1">
        <v>4</v>
      </c>
      <c r="F139" s="2" t="s">
        <v>2781</v>
      </c>
      <c r="G139" s="2" t="s">
        <v>1307</v>
      </c>
      <c r="H139" s="1" t="s">
        <v>702</v>
      </c>
      <c r="I139" s="1">
        <v>3</v>
      </c>
      <c r="J139" s="30" t="s">
        <v>702</v>
      </c>
      <c r="K139" s="30" t="s">
        <v>702</v>
      </c>
      <c r="L139" s="30">
        <v>90000</v>
      </c>
      <c r="M139" s="30" t="s">
        <v>702</v>
      </c>
      <c r="N139" s="3">
        <v>46222.540972222203</v>
      </c>
      <c r="O139" s="2" t="s">
        <v>707</v>
      </c>
      <c r="P139" s="3">
        <v>46222.540972222203</v>
      </c>
      <c r="Q139" s="2" t="s">
        <v>707</v>
      </c>
      <c r="R139" s="34"/>
      <c r="S139" s="1" t="s">
        <v>31</v>
      </c>
    </row>
    <row r="140" spans="2:19">
      <c r="B140" s="2" t="s">
        <v>3073</v>
      </c>
      <c r="C140" s="2" t="s">
        <v>2920</v>
      </c>
      <c r="D140" s="2" t="s">
        <v>2782</v>
      </c>
      <c r="E140" s="1">
        <v>1</v>
      </c>
      <c r="F140" s="2" t="s">
        <v>2783</v>
      </c>
      <c r="G140" s="2" t="s">
        <v>1310</v>
      </c>
      <c r="H140" s="1" t="s">
        <v>702</v>
      </c>
      <c r="I140" s="1">
        <v>1</v>
      </c>
      <c r="J140" s="30" t="s">
        <v>702</v>
      </c>
      <c r="K140" s="30" t="s">
        <v>702</v>
      </c>
      <c r="L140" s="30">
        <v>40000</v>
      </c>
      <c r="M140" s="30" t="s">
        <v>702</v>
      </c>
      <c r="N140" s="3">
        <v>46222.636111111096</v>
      </c>
      <c r="O140" s="2" t="s">
        <v>711</v>
      </c>
      <c r="P140" s="3">
        <v>46222.636111111096</v>
      </c>
      <c r="Q140" s="2" t="s">
        <v>711</v>
      </c>
      <c r="R140" s="34"/>
      <c r="S140" s="1" t="s">
        <v>31</v>
      </c>
    </row>
    <row r="141" spans="2:19">
      <c r="B141" s="2" t="s">
        <v>3074</v>
      </c>
      <c r="C141" s="2" t="s">
        <v>2920</v>
      </c>
      <c r="D141" s="2" t="s">
        <v>2784</v>
      </c>
      <c r="E141" s="1">
        <v>2</v>
      </c>
      <c r="F141" s="2" t="s">
        <v>2785</v>
      </c>
      <c r="G141" s="2" t="s">
        <v>1313</v>
      </c>
      <c r="H141" s="1">
        <v>1</v>
      </c>
      <c r="I141" s="1" t="s">
        <v>702</v>
      </c>
      <c r="J141" s="30" t="s">
        <v>702</v>
      </c>
      <c r="K141" s="30" t="s">
        <v>702</v>
      </c>
      <c r="L141" s="30">
        <v>12500</v>
      </c>
      <c r="M141" s="30" t="s">
        <v>702</v>
      </c>
      <c r="N141" s="3">
        <v>46222.636111111096</v>
      </c>
      <c r="O141" s="2" t="s">
        <v>711</v>
      </c>
      <c r="P141" s="3">
        <v>46222.636111111096</v>
      </c>
      <c r="Q141" s="2" t="s">
        <v>711</v>
      </c>
      <c r="R141" s="34"/>
      <c r="S141" s="1" t="s">
        <v>31</v>
      </c>
    </row>
    <row r="142" spans="2:19" ht="29" customHeight="1">
      <c r="B142" s="2" t="s">
        <v>3075</v>
      </c>
      <c r="C142" s="2" t="s">
        <v>2920</v>
      </c>
      <c r="D142" s="2" t="s">
        <v>2786</v>
      </c>
      <c r="E142" s="1">
        <v>3</v>
      </c>
      <c r="F142" s="2" t="s">
        <v>2787</v>
      </c>
      <c r="G142" s="2" t="s">
        <v>1316</v>
      </c>
      <c r="H142" s="1" t="s">
        <v>702</v>
      </c>
      <c r="I142" s="1">
        <v>3</v>
      </c>
      <c r="J142" s="30" t="s">
        <v>702</v>
      </c>
      <c r="K142" s="30" t="s">
        <v>702</v>
      </c>
      <c r="L142" s="30">
        <v>150000</v>
      </c>
      <c r="M142" s="30" t="s">
        <v>702</v>
      </c>
      <c r="N142" s="3">
        <v>46222.636111111096</v>
      </c>
      <c r="O142" s="2" t="s">
        <v>711</v>
      </c>
      <c r="P142" s="3">
        <v>46222.636111111096</v>
      </c>
      <c r="Q142" s="2" t="s">
        <v>711</v>
      </c>
      <c r="R142" s="34"/>
      <c r="S142" s="1" t="s">
        <v>31</v>
      </c>
    </row>
    <row r="143" spans="2:19" ht="29" customHeight="1">
      <c r="B143" s="2" t="s">
        <v>3076</v>
      </c>
      <c r="C143" s="2" t="s">
        <v>2920</v>
      </c>
      <c r="D143" s="2" t="s">
        <v>2788</v>
      </c>
      <c r="E143" s="1">
        <v>4</v>
      </c>
      <c r="F143" s="2" t="s">
        <v>2789</v>
      </c>
      <c r="G143" s="2" t="s">
        <v>1319</v>
      </c>
      <c r="H143" s="1">
        <v>5</v>
      </c>
      <c r="I143" s="1" t="s">
        <v>702</v>
      </c>
      <c r="J143" s="30" t="s">
        <v>702</v>
      </c>
      <c r="K143" s="30" t="s">
        <v>702</v>
      </c>
      <c r="L143" s="30">
        <v>87500</v>
      </c>
      <c r="M143" s="30" t="s">
        <v>702</v>
      </c>
      <c r="N143" s="3">
        <v>46222.636111111096</v>
      </c>
      <c r="O143" s="2" t="s">
        <v>711</v>
      </c>
      <c r="P143" s="3">
        <v>46222.636111111096</v>
      </c>
      <c r="Q143" s="2" t="s">
        <v>711</v>
      </c>
      <c r="R143" s="34"/>
      <c r="S143" s="1" t="s">
        <v>31</v>
      </c>
    </row>
    <row r="144" spans="2:19">
      <c r="B144" s="2" t="s">
        <v>3077</v>
      </c>
      <c r="C144" s="2" t="s">
        <v>2921</v>
      </c>
      <c r="D144" s="2" t="s">
        <v>2790</v>
      </c>
      <c r="E144" s="1">
        <v>1</v>
      </c>
      <c r="F144" s="2" t="s">
        <v>2791</v>
      </c>
      <c r="G144" s="2" t="s">
        <v>1259</v>
      </c>
      <c r="H144" s="1">
        <v>12</v>
      </c>
      <c r="I144" s="1" t="s">
        <v>702</v>
      </c>
      <c r="J144" s="30" t="s">
        <v>702</v>
      </c>
      <c r="K144" s="30" t="s">
        <v>702</v>
      </c>
      <c r="L144" s="30">
        <v>150000</v>
      </c>
      <c r="M144" s="30" t="s">
        <v>702</v>
      </c>
      <c r="N144" s="3">
        <v>46223.397916666698</v>
      </c>
      <c r="O144" s="2" t="s">
        <v>715</v>
      </c>
      <c r="P144" s="3">
        <v>46223.397916666698</v>
      </c>
      <c r="Q144" s="2" t="s">
        <v>715</v>
      </c>
      <c r="R144" s="34"/>
      <c r="S144" s="1" t="s">
        <v>31</v>
      </c>
    </row>
    <row r="145" spans="2:19" ht="29" customHeight="1">
      <c r="B145" s="2" t="s">
        <v>3078</v>
      </c>
      <c r="C145" s="2" t="s">
        <v>2921</v>
      </c>
      <c r="D145" s="2" t="s">
        <v>2792</v>
      </c>
      <c r="E145" s="1">
        <v>2</v>
      </c>
      <c r="F145" s="2" t="s">
        <v>2793</v>
      </c>
      <c r="G145" s="2" t="s">
        <v>1262</v>
      </c>
      <c r="H145" s="1" t="s">
        <v>702</v>
      </c>
      <c r="I145" s="1">
        <v>3</v>
      </c>
      <c r="J145" s="30" t="s">
        <v>702</v>
      </c>
      <c r="K145" s="30" t="s">
        <v>702</v>
      </c>
      <c r="L145" s="30">
        <v>127500</v>
      </c>
      <c r="M145" s="30" t="s">
        <v>702</v>
      </c>
      <c r="N145" s="3">
        <v>46223.397916666698</v>
      </c>
      <c r="O145" s="2" t="s">
        <v>715</v>
      </c>
      <c r="P145" s="3">
        <v>46223.397916666698</v>
      </c>
      <c r="Q145" s="2" t="s">
        <v>715</v>
      </c>
      <c r="R145" s="34"/>
      <c r="S145" s="1" t="s">
        <v>31</v>
      </c>
    </row>
    <row r="146" spans="2:19" ht="29" customHeight="1">
      <c r="B146" s="2" t="s">
        <v>3079</v>
      </c>
      <c r="C146" s="2" t="s">
        <v>2921</v>
      </c>
      <c r="D146" s="2" t="s">
        <v>2794</v>
      </c>
      <c r="E146" s="1">
        <v>3</v>
      </c>
      <c r="F146" s="2" t="s">
        <v>2795</v>
      </c>
      <c r="G146" s="2" t="s">
        <v>1265</v>
      </c>
      <c r="H146" s="1">
        <v>4</v>
      </c>
      <c r="I146" s="1" t="s">
        <v>702</v>
      </c>
      <c r="J146" s="30" t="s">
        <v>702</v>
      </c>
      <c r="K146" s="30" t="s">
        <v>702</v>
      </c>
      <c r="L146" s="30">
        <v>70000</v>
      </c>
      <c r="M146" s="30" t="s">
        <v>702</v>
      </c>
      <c r="N146" s="3">
        <v>46223.397916666698</v>
      </c>
      <c r="O146" s="2" t="s">
        <v>715</v>
      </c>
      <c r="P146" s="3">
        <v>46223.397916666698</v>
      </c>
      <c r="Q146" s="2" t="s">
        <v>715</v>
      </c>
      <c r="R146" s="34"/>
      <c r="S146" s="1" t="s">
        <v>31</v>
      </c>
    </row>
    <row r="147" spans="2:19">
      <c r="B147" s="2" t="s">
        <v>3080</v>
      </c>
      <c r="C147" s="2" t="s">
        <v>2921</v>
      </c>
      <c r="D147" s="2" t="s">
        <v>2796</v>
      </c>
      <c r="E147" s="1">
        <v>4</v>
      </c>
      <c r="F147" s="2" t="s">
        <v>2797</v>
      </c>
      <c r="G147" s="2" t="s">
        <v>1268</v>
      </c>
      <c r="H147" s="1" t="s">
        <v>702</v>
      </c>
      <c r="I147" s="1">
        <v>2</v>
      </c>
      <c r="J147" s="30" t="s">
        <v>702</v>
      </c>
      <c r="K147" s="30" t="s">
        <v>702</v>
      </c>
      <c r="L147" s="30">
        <v>50000</v>
      </c>
      <c r="M147" s="30" t="s">
        <v>702</v>
      </c>
      <c r="N147" s="3">
        <v>46223.397916666698</v>
      </c>
      <c r="O147" s="2" t="s">
        <v>715</v>
      </c>
      <c r="P147" s="3">
        <v>46223.397916666698</v>
      </c>
      <c r="Q147" s="2" t="s">
        <v>715</v>
      </c>
      <c r="R147" s="34"/>
      <c r="S147" s="1" t="s">
        <v>31</v>
      </c>
    </row>
    <row r="148" spans="2:19" ht="29" customHeight="1">
      <c r="B148" s="2" t="s">
        <v>3081</v>
      </c>
      <c r="C148" s="2" t="s">
        <v>2922</v>
      </c>
      <c r="D148" s="2" t="s">
        <v>2798</v>
      </c>
      <c r="E148" s="1">
        <v>1</v>
      </c>
      <c r="F148" s="2" t="s">
        <v>2799</v>
      </c>
      <c r="G148" s="2" t="s">
        <v>1271</v>
      </c>
      <c r="H148" s="1" t="s">
        <v>702</v>
      </c>
      <c r="I148" s="1">
        <v>3</v>
      </c>
      <c r="J148" s="30" t="s">
        <v>702</v>
      </c>
      <c r="K148" s="30" t="s">
        <v>702</v>
      </c>
      <c r="L148" s="30">
        <v>96000</v>
      </c>
      <c r="M148" s="30" t="s">
        <v>702</v>
      </c>
      <c r="N148" s="3">
        <v>46223.534722222197</v>
      </c>
      <c r="O148" s="2" t="s">
        <v>719</v>
      </c>
      <c r="P148" s="3">
        <v>46223.534722222197</v>
      </c>
      <c r="Q148" s="2" t="s">
        <v>719</v>
      </c>
      <c r="R148" s="34"/>
      <c r="S148" s="1" t="s">
        <v>31</v>
      </c>
    </row>
    <row r="149" spans="2:19" ht="29" customHeight="1">
      <c r="B149" s="2" t="s">
        <v>3082</v>
      </c>
      <c r="C149" s="2" t="s">
        <v>2922</v>
      </c>
      <c r="D149" s="2" t="s">
        <v>2800</v>
      </c>
      <c r="E149" s="1">
        <v>2</v>
      </c>
      <c r="F149" s="2" t="s">
        <v>2801</v>
      </c>
      <c r="G149" s="2" t="s">
        <v>1274</v>
      </c>
      <c r="H149" s="1">
        <v>3</v>
      </c>
      <c r="I149" s="1" t="s">
        <v>702</v>
      </c>
      <c r="J149" s="30" t="s">
        <v>702</v>
      </c>
      <c r="K149" s="30" t="s">
        <v>702</v>
      </c>
      <c r="L149" s="30">
        <v>37500</v>
      </c>
      <c r="M149" s="30" t="s">
        <v>702</v>
      </c>
      <c r="N149" s="3">
        <v>46223.534722222197</v>
      </c>
      <c r="O149" s="2" t="s">
        <v>719</v>
      </c>
      <c r="P149" s="3">
        <v>46223.534722222197</v>
      </c>
      <c r="Q149" s="2" t="s">
        <v>719</v>
      </c>
      <c r="R149" s="34"/>
      <c r="S149" s="1" t="s">
        <v>31</v>
      </c>
    </row>
    <row r="150" spans="2:19">
      <c r="B150" s="2" t="s">
        <v>3083</v>
      </c>
      <c r="C150" s="2" t="s">
        <v>2922</v>
      </c>
      <c r="D150" s="2" t="s">
        <v>2802</v>
      </c>
      <c r="E150" s="1">
        <v>3</v>
      </c>
      <c r="F150" s="2" t="s">
        <v>2803</v>
      </c>
      <c r="G150" s="2" t="s">
        <v>1277</v>
      </c>
      <c r="H150" s="1" t="s">
        <v>702</v>
      </c>
      <c r="I150" s="1">
        <v>2</v>
      </c>
      <c r="J150" s="30" t="s">
        <v>702</v>
      </c>
      <c r="K150" s="30" t="s">
        <v>702</v>
      </c>
      <c r="L150" s="30">
        <v>70000</v>
      </c>
      <c r="M150" s="30" t="s">
        <v>702</v>
      </c>
      <c r="N150" s="3">
        <v>46223.534722222197</v>
      </c>
      <c r="O150" s="2" t="s">
        <v>719</v>
      </c>
      <c r="P150" s="3">
        <v>46223.534722222197</v>
      </c>
      <c r="Q150" s="2" t="s">
        <v>719</v>
      </c>
      <c r="R150" s="34"/>
      <c r="S150" s="1" t="s">
        <v>31</v>
      </c>
    </row>
    <row r="151" spans="2:19">
      <c r="B151" s="2" t="s">
        <v>3084</v>
      </c>
      <c r="C151" s="2" t="s">
        <v>2922</v>
      </c>
      <c r="D151" s="2" t="s">
        <v>2804</v>
      </c>
      <c r="E151" s="1">
        <v>4</v>
      </c>
      <c r="F151" s="2" t="s">
        <v>2805</v>
      </c>
      <c r="G151" s="2" t="s">
        <v>1280</v>
      </c>
      <c r="H151" s="1">
        <v>7</v>
      </c>
      <c r="I151" s="1" t="s">
        <v>702</v>
      </c>
      <c r="J151" s="30" t="s">
        <v>702</v>
      </c>
      <c r="K151" s="30" t="s">
        <v>702</v>
      </c>
      <c r="L151" s="30">
        <v>105000</v>
      </c>
      <c r="M151" s="30" t="s">
        <v>702</v>
      </c>
      <c r="N151" s="3">
        <v>46223.534722222197</v>
      </c>
      <c r="O151" s="2" t="s">
        <v>719</v>
      </c>
      <c r="P151" s="3">
        <v>46223.534722222197</v>
      </c>
      <c r="Q151" s="2" t="s">
        <v>719</v>
      </c>
      <c r="R151" s="34"/>
      <c r="S151" s="1" t="s">
        <v>31</v>
      </c>
    </row>
    <row r="152" spans="2:19" ht="29" customHeight="1">
      <c r="B152" s="2" t="s">
        <v>3085</v>
      </c>
      <c r="C152" s="2" t="s">
        <v>2923</v>
      </c>
      <c r="D152" s="2" t="s">
        <v>2806</v>
      </c>
      <c r="E152" s="1">
        <v>1</v>
      </c>
      <c r="F152" s="2" t="s">
        <v>2807</v>
      </c>
      <c r="G152" s="2" t="s">
        <v>1283</v>
      </c>
      <c r="H152" s="1">
        <v>2</v>
      </c>
      <c r="I152" s="1" t="s">
        <v>702</v>
      </c>
      <c r="J152" s="30" t="s">
        <v>702</v>
      </c>
      <c r="K152" s="30" t="s">
        <v>702</v>
      </c>
      <c r="L152" s="30">
        <v>35000</v>
      </c>
      <c r="M152" s="30" t="s">
        <v>702</v>
      </c>
      <c r="N152" s="3">
        <v>46223.629861111098</v>
      </c>
      <c r="O152" s="2" t="s">
        <v>722</v>
      </c>
      <c r="P152" s="3">
        <v>46223.629861111098</v>
      </c>
      <c r="Q152" s="2" t="s">
        <v>722</v>
      </c>
      <c r="R152" s="34"/>
      <c r="S152" s="1" t="s">
        <v>31</v>
      </c>
    </row>
    <row r="153" spans="2:19">
      <c r="B153" s="2" t="s">
        <v>3086</v>
      </c>
      <c r="C153" s="2" t="s">
        <v>2923</v>
      </c>
      <c r="D153" s="2" t="s">
        <v>2808</v>
      </c>
      <c r="E153" s="1">
        <v>2</v>
      </c>
      <c r="F153" s="2" t="s">
        <v>2809</v>
      </c>
      <c r="G153" s="2" t="s">
        <v>1286</v>
      </c>
      <c r="H153" s="1" t="s">
        <v>702</v>
      </c>
      <c r="I153" s="1">
        <v>2</v>
      </c>
      <c r="J153" s="30" t="s">
        <v>702</v>
      </c>
      <c r="K153" s="30" t="s">
        <v>702</v>
      </c>
      <c r="L153" s="30">
        <v>60000</v>
      </c>
      <c r="M153" s="30" t="s">
        <v>702</v>
      </c>
      <c r="N153" s="3">
        <v>46223.629861111098</v>
      </c>
      <c r="O153" s="2" t="s">
        <v>722</v>
      </c>
      <c r="P153" s="3">
        <v>46223.629861111098</v>
      </c>
      <c r="Q153" s="2" t="s">
        <v>722</v>
      </c>
      <c r="R153" s="34"/>
      <c r="S153" s="1" t="s">
        <v>31</v>
      </c>
    </row>
    <row r="154" spans="2:19">
      <c r="B154" s="2" t="s">
        <v>3087</v>
      </c>
      <c r="C154" s="2" t="s">
        <v>2923</v>
      </c>
      <c r="D154" s="2" t="s">
        <v>2810</v>
      </c>
      <c r="E154" s="1">
        <v>3</v>
      </c>
      <c r="F154" s="2" t="s">
        <v>2811</v>
      </c>
      <c r="G154" s="2" t="s">
        <v>1289</v>
      </c>
      <c r="H154" s="1">
        <v>6</v>
      </c>
      <c r="I154" s="1" t="s">
        <v>702</v>
      </c>
      <c r="J154" s="30" t="s">
        <v>702</v>
      </c>
      <c r="K154" s="30" t="s">
        <v>702</v>
      </c>
      <c r="L154" s="30">
        <v>75000</v>
      </c>
      <c r="M154" s="30" t="s">
        <v>702</v>
      </c>
      <c r="N154" s="3">
        <v>46223.629861111098</v>
      </c>
      <c r="O154" s="2" t="s">
        <v>722</v>
      </c>
      <c r="P154" s="3">
        <v>46223.629861111098</v>
      </c>
      <c r="Q154" s="2" t="s">
        <v>722</v>
      </c>
      <c r="R154" s="34"/>
      <c r="S154" s="1" t="s">
        <v>31</v>
      </c>
    </row>
    <row r="155" spans="2:19">
      <c r="B155" s="2" t="s">
        <v>3088</v>
      </c>
      <c r="C155" s="2" t="s">
        <v>2923</v>
      </c>
      <c r="D155" s="2" t="s">
        <v>2812</v>
      </c>
      <c r="E155" s="1">
        <v>4</v>
      </c>
      <c r="F155" s="2" t="s">
        <v>2813</v>
      </c>
      <c r="G155" s="2" t="s">
        <v>1292</v>
      </c>
      <c r="H155" s="1" t="s">
        <v>702</v>
      </c>
      <c r="I155" s="1">
        <v>1</v>
      </c>
      <c r="J155" s="30" t="s">
        <v>702</v>
      </c>
      <c r="K155" s="30" t="s">
        <v>702</v>
      </c>
      <c r="L155" s="30">
        <v>50000</v>
      </c>
      <c r="M155" s="30" t="s">
        <v>702</v>
      </c>
      <c r="N155" s="3">
        <v>46223.629861111098</v>
      </c>
      <c r="O155" s="2" t="s">
        <v>722</v>
      </c>
      <c r="P155" s="3">
        <v>46223.629861111098</v>
      </c>
      <c r="Q155" s="2" t="s">
        <v>722</v>
      </c>
      <c r="R155" s="34"/>
      <c r="S155" s="1" t="s">
        <v>31</v>
      </c>
    </row>
    <row r="156" spans="2:19">
      <c r="B156" s="2" t="s">
        <v>3089</v>
      </c>
      <c r="C156" s="2" t="s">
        <v>2924</v>
      </c>
      <c r="D156" s="2" t="s">
        <v>2814</v>
      </c>
      <c r="E156" s="1">
        <v>1</v>
      </c>
      <c r="F156" s="2" t="s">
        <v>2815</v>
      </c>
      <c r="G156" s="2" t="s">
        <v>1295</v>
      </c>
      <c r="H156" s="1" t="s">
        <v>702</v>
      </c>
      <c r="I156" s="1">
        <v>2</v>
      </c>
      <c r="J156" s="30" t="s">
        <v>702</v>
      </c>
      <c r="K156" s="30" t="s">
        <v>702</v>
      </c>
      <c r="L156" s="30">
        <v>30000</v>
      </c>
      <c r="M156" s="30" t="s">
        <v>702</v>
      </c>
      <c r="N156" s="3">
        <v>46224.391666666699</v>
      </c>
      <c r="O156" s="2" t="s">
        <v>725</v>
      </c>
      <c r="P156" s="3">
        <v>46224.391666666699</v>
      </c>
      <c r="Q156" s="2" t="s">
        <v>725</v>
      </c>
      <c r="R156" s="34"/>
      <c r="S156" s="1" t="s">
        <v>31</v>
      </c>
    </row>
    <row r="157" spans="2:19">
      <c r="B157" s="2" t="s">
        <v>3090</v>
      </c>
      <c r="C157" s="2" t="s">
        <v>2924</v>
      </c>
      <c r="D157" s="2" t="s">
        <v>2816</v>
      </c>
      <c r="E157" s="1">
        <v>2</v>
      </c>
      <c r="F157" s="2" t="s">
        <v>2817</v>
      </c>
      <c r="G157" s="2" t="s">
        <v>1298</v>
      </c>
      <c r="H157" s="1">
        <v>5</v>
      </c>
      <c r="I157" s="1" t="s">
        <v>702</v>
      </c>
      <c r="J157" s="30" t="s">
        <v>702</v>
      </c>
      <c r="K157" s="30" t="s">
        <v>702</v>
      </c>
      <c r="L157" s="30">
        <v>25000</v>
      </c>
      <c r="M157" s="30" t="s">
        <v>702</v>
      </c>
      <c r="N157" s="3">
        <v>46224.391666666699</v>
      </c>
      <c r="O157" s="2" t="s">
        <v>725</v>
      </c>
      <c r="P157" s="3">
        <v>46224.391666666699</v>
      </c>
      <c r="Q157" s="2" t="s">
        <v>725</v>
      </c>
      <c r="R157" s="34"/>
      <c r="S157" s="1" t="s">
        <v>31</v>
      </c>
    </row>
    <row r="158" spans="2:19">
      <c r="B158" s="2" t="s">
        <v>3091</v>
      </c>
      <c r="C158" s="2" t="s">
        <v>2924</v>
      </c>
      <c r="D158" s="2" t="s">
        <v>2818</v>
      </c>
      <c r="E158" s="1">
        <v>3</v>
      </c>
      <c r="F158" s="2" t="s">
        <v>2819</v>
      </c>
      <c r="G158" s="2" t="s">
        <v>1301</v>
      </c>
      <c r="H158" s="1" t="s">
        <v>702</v>
      </c>
      <c r="I158" s="1">
        <v>1</v>
      </c>
      <c r="J158" s="30" t="s">
        <v>702</v>
      </c>
      <c r="K158" s="30" t="s">
        <v>702</v>
      </c>
      <c r="L158" s="30">
        <v>25000</v>
      </c>
      <c r="M158" s="30" t="s">
        <v>702</v>
      </c>
      <c r="N158" s="3">
        <v>46224.391666666699</v>
      </c>
      <c r="O158" s="2" t="s">
        <v>725</v>
      </c>
      <c r="P158" s="3">
        <v>46224.391666666699</v>
      </c>
      <c r="Q158" s="2" t="s">
        <v>725</v>
      </c>
      <c r="R158" s="34"/>
      <c r="S158" s="1" t="s">
        <v>31</v>
      </c>
    </row>
    <row r="159" spans="2:19">
      <c r="B159" s="2" t="s">
        <v>3092</v>
      </c>
      <c r="C159" s="2" t="s">
        <v>2924</v>
      </c>
      <c r="D159" s="2" t="s">
        <v>2820</v>
      </c>
      <c r="E159" s="1">
        <v>4</v>
      </c>
      <c r="F159" s="2" t="s">
        <v>2821</v>
      </c>
      <c r="G159" s="2" t="s">
        <v>1304</v>
      </c>
      <c r="H159" s="1">
        <v>9</v>
      </c>
      <c r="I159" s="1" t="s">
        <v>702</v>
      </c>
      <c r="J159" s="30" t="s">
        <v>702</v>
      </c>
      <c r="K159" s="30" t="s">
        <v>702</v>
      </c>
      <c r="L159" s="30">
        <v>54000</v>
      </c>
      <c r="M159" s="30" t="s">
        <v>702</v>
      </c>
      <c r="N159" s="3">
        <v>46224.391666666699</v>
      </c>
      <c r="O159" s="2" t="s">
        <v>725</v>
      </c>
      <c r="P159" s="3">
        <v>46224.391666666699</v>
      </c>
      <c r="Q159" s="2" t="s">
        <v>725</v>
      </c>
      <c r="R159" s="34"/>
      <c r="S159" s="1" t="s">
        <v>31</v>
      </c>
    </row>
    <row r="160" spans="2:19">
      <c r="B160" s="2" t="s">
        <v>3093</v>
      </c>
      <c r="C160" s="2" t="s">
        <v>2925</v>
      </c>
      <c r="D160" s="2" t="s">
        <v>2822</v>
      </c>
      <c r="E160" s="1">
        <v>1</v>
      </c>
      <c r="F160" s="2" t="s">
        <v>2823</v>
      </c>
      <c r="G160" s="2" t="s">
        <v>1307</v>
      </c>
      <c r="H160" s="1">
        <v>4</v>
      </c>
      <c r="I160" s="1" t="s">
        <v>702</v>
      </c>
      <c r="J160" s="30" t="s">
        <v>702</v>
      </c>
      <c r="K160" s="30" t="s">
        <v>702</v>
      </c>
      <c r="L160" s="30">
        <v>32000</v>
      </c>
      <c r="M160" s="30" t="s">
        <v>702</v>
      </c>
      <c r="N160" s="3">
        <v>46224.528472222199</v>
      </c>
      <c r="O160" s="2" t="s">
        <v>728</v>
      </c>
      <c r="P160" s="3">
        <v>46224.528472222199</v>
      </c>
      <c r="Q160" s="2" t="s">
        <v>728</v>
      </c>
      <c r="R160" s="34"/>
      <c r="S160" s="1" t="s">
        <v>31</v>
      </c>
    </row>
    <row r="161" spans="2:19">
      <c r="B161" s="2" t="s">
        <v>3094</v>
      </c>
      <c r="C161" s="2" t="s">
        <v>2925</v>
      </c>
      <c r="D161" s="2" t="s">
        <v>2824</v>
      </c>
      <c r="E161" s="1">
        <v>2</v>
      </c>
      <c r="F161" s="2" t="s">
        <v>2825</v>
      </c>
      <c r="G161" s="2" t="s">
        <v>1310</v>
      </c>
      <c r="H161" s="1" t="s">
        <v>702</v>
      </c>
      <c r="I161" s="1">
        <v>1</v>
      </c>
      <c r="J161" s="30" t="s">
        <v>702</v>
      </c>
      <c r="K161" s="30" t="s">
        <v>702</v>
      </c>
      <c r="L161" s="30">
        <v>40000</v>
      </c>
      <c r="M161" s="30" t="s">
        <v>702</v>
      </c>
      <c r="N161" s="3">
        <v>46224.528472222199</v>
      </c>
      <c r="O161" s="2" t="s">
        <v>728</v>
      </c>
      <c r="P161" s="3">
        <v>46224.528472222199</v>
      </c>
      <c r="Q161" s="2" t="s">
        <v>728</v>
      </c>
      <c r="R161" s="34"/>
      <c r="S161" s="1" t="s">
        <v>31</v>
      </c>
    </row>
    <row r="162" spans="2:19">
      <c r="B162" s="2" t="s">
        <v>3095</v>
      </c>
      <c r="C162" s="2" t="s">
        <v>2925</v>
      </c>
      <c r="D162" s="2" t="s">
        <v>2826</v>
      </c>
      <c r="E162" s="1">
        <v>3</v>
      </c>
      <c r="F162" s="2" t="s">
        <v>2827</v>
      </c>
      <c r="G162" s="2" t="s">
        <v>1313</v>
      </c>
      <c r="H162" s="1">
        <v>8</v>
      </c>
      <c r="I162" s="1" t="s">
        <v>702</v>
      </c>
      <c r="J162" s="30" t="s">
        <v>702</v>
      </c>
      <c r="K162" s="30" t="s">
        <v>702</v>
      </c>
      <c r="L162" s="30">
        <v>100000</v>
      </c>
      <c r="M162" s="30" t="s">
        <v>702</v>
      </c>
      <c r="N162" s="3">
        <v>46224.528472222199</v>
      </c>
      <c r="O162" s="2" t="s">
        <v>728</v>
      </c>
      <c r="P162" s="3">
        <v>46224.528472222199</v>
      </c>
      <c r="Q162" s="2" t="s">
        <v>728</v>
      </c>
      <c r="R162" s="34"/>
      <c r="S162" s="1" t="s">
        <v>31</v>
      </c>
    </row>
    <row r="163" spans="2:19">
      <c r="B163" s="2" t="s">
        <v>3096</v>
      </c>
      <c r="C163" s="2" t="s">
        <v>2925</v>
      </c>
      <c r="D163" s="2" t="s">
        <v>2828</v>
      </c>
      <c r="E163" s="1">
        <v>4</v>
      </c>
      <c r="F163" s="2" t="s">
        <v>2829</v>
      </c>
      <c r="G163" s="2" t="s">
        <v>1316</v>
      </c>
      <c r="H163" s="1" t="s">
        <v>702</v>
      </c>
      <c r="I163" s="1">
        <v>3</v>
      </c>
      <c r="J163" s="30" t="s">
        <v>702</v>
      </c>
      <c r="K163" s="30" t="s">
        <v>702</v>
      </c>
      <c r="L163" s="30">
        <v>150000</v>
      </c>
      <c r="M163" s="30" t="s">
        <v>702</v>
      </c>
      <c r="N163" s="3">
        <v>46224.528472222199</v>
      </c>
      <c r="O163" s="2" t="s">
        <v>728</v>
      </c>
      <c r="P163" s="3">
        <v>46224.528472222199</v>
      </c>
      <c r="Q163" s="2" t="s">
        <v>728</v>
      </c>
      <c r="R163" s="34"/>
      <c r="S163" s="1" t="s">
        <v>31</v>
      </c>
    </row>
    <row r="164" spans="2:19">
      <c r="B164" s="2" t="s">
        <v>3097</v>
      </c>
      <c r="C164" s="2" t="s">
        <v>2926</v>
      </c>
      <c r="D164" s="2" t="s">
        <v>2830</v>
      </c>
      <c r="E164" s="1">
        <v>1</v>
      </c>
      <c r="F164" s="2" t="s">
        <v>2831</v>
      </c>
      <c r="G164" s="2" t="s">
        <v>1319</v>
      </c>
      <c r="H164" s="1" t="s">
        <v>702</v>
      </c>
      <c r="I164" s="1">
        <v>1</v>
      </c>
      <c r="J164" s="30" t="s">
        <v>702</v>
      </c>
      <c r="K164" s="30" t="s">
        <v>702</v>
      </c>
      <c r="L164" s="30">
        <v>60000</v>
      </c>
      <c r="M164" s="30" t="s">
        <v>702</v>
      </c>
      <c r="N164" s="3">
        <v>46225.6652777778</v>
      </c>
      <c r="O164" s="2" t="s">
        <v>731</v>
      </c>
      <c r="P164" s="3">
        <v>46225.6652777778</v>
      </c>
      <c r="Q164" s="2" t="s">
        <v>731</v>
      </c>
      <c r="R164" s="34"/>
      <c r="S164" s="1" t="s">
        <v>31</v>
      </c>
    </row>
    <row r="165" spans="2:19">
      <c r="B165" s="2" t="s">
        <v>3098</v>
      </c>
      <c r="C165" s="2" t="s">
        <v>2926</v>
      </c>
      <c r="D165" s="2" t="s">
        <v>2832</v>
      </c>
      <c r="E165" s="1">
        <v>2</v>
      </c>
      <c r="F165" s="2" t="s">
        <v>2833</v>
      </c>
      <c r="G165" s="2" t="s">
        <v>1259</v>
      </c>
      <c r="H165" s="1">
        <v>7</v>
      </c>
      <c r="I165" s="1" t="s">
        <v>702</v>
      </c>
      <c r="J165" s="30" t="s">
        <v>702</v>
      </c>
      <c r="K165" s="30" t="s">
        <v>702</v>
      </c>
      <c r="L165" s="30">
        <v>87500</v>
      </c>
      <c r="M165" s="30" t="s">
        <v>702</v>
      </c>
      <c r="N165" s="3">
        <v>46225.6652777778</v>
      </c>
      <c r="O165" s="2" t="s">
        <v>731</v>
      </c>
      <c r="P165" s="3">
        <v>46225.6652777778</v>
      </c>
      <c r="Q165" s="2" t="s">
        <v>731</v>
      </c>
      <c r="R165" s="34"/>
      <c r="S165" s="1" t="s">
        <v>31</v>
      </c>
    </row>
    <row r="166" spans="2:19">
      <c r="B166" s="2" t="s">
        <v>3099</v>
      </c>
      <c r="C166" s="2" t="s">
        <v>2926</v>
      </c>
      <c r="D166" s="2" t="s">
        <v>2834</v>
      </c>
      <c r="E166" s="1">
        <v>3</v>
      </c>
      <c r="F166" s="2" t="s">
        <v>2835</v>
      </c>
      <c r="G166" s="2" t="s">
        <v>1262</v>
      </c>
      <c r="H166" s="1" t="s">
        <v>702</v>
      </c>
      <c r="I166" s="1">
        <v>3</v>
      </c>
      <c r="J166" s="30" t="s">
        <v>702</v>
      </c>
      <c r="K166" s="30" t="s">
        <v>702</v>
      </c>
      <c r="L166" s="30">
        <v>127500</v>
      </c>
      <c r="M166" s="30" t="s">
        <v>702</v>
      </c>
      <c r="N166" s="3">
        <v>46225.6652777778</v>
      </c>
      <c r="O166" s="2" t="s">
        <v>731</v>
      </c>
      <c r="P166" s="3">
        <v>46225.6652777778</v>
      </c>
      <c r="Q166" s="2" t="s">
        <v>731</v>
      </c>
      <c r="R166" s="34"/>
      <c r="S166" s="1" t="s">
        <v>31</v>
      </c>
    </row>
    <row r="167" spans="2:19">
      <c r="B167" s="2" t="s">
        <v>3100</v>
      </c>
      <c r="C167" s="2" t="s">
        <v>2926</v>
      </c>
      <c r="D167" s="2" t="s">
        <v>2836</v>
      </c>
      <c r="E167" s="1">
        <v>4</v>
      </c>
      <c r="F167" s="2" t="s">
        <v>2837</v>
      </c>
      <c r="G167" s="2" t="s">
        <v>1265</v>
      </c>
      <c r="H167" s="1">
        <v>11</v>
      </c>
      <c r="I167" s="1" t="s">
        <v>702</v>
      </c>
      <c r="J167" s="30" t="s">
        <v>702</v>
      </c>
      <c r="K167" s="30" t="s">
        <v>702</v>
      </c>
      <c r="L167" s="30">
        <v>192500</v>
      </c>
      <c r="M167" s="30" t="s">
        <v>702</v>
      </c>
      <c r="N167" s="3">
        <v>46225.6652777778</v>
      </c>
      <c r="O167" s="2" t="s">
        <v>731</v>
      </c>
      <c r="P167" s="3">
        <v>46225.6652777778</v>
      </c>
      <c r="Q167" s="2" t="s">
        <v>731</v>
      </c>
      <c r="R167" s="34"/>
      <c r="S167" s="1" t="s">
        <v>31</v>
      </c>
    </row>
    <row r="168" spans="2:19">
      <c r="B168" s="2" t="s">
        <v>3101</v>
      </c>
      <c r="C168" s="2" t="s">
        <v>2927</v>
      </c>
      <c r="D168" s="2" t="s">
        <v>2838</v>
      </c>
      <c r="E168" s="1">
        <v>1</v>
      </c>
      <c r="F168" s="2" t="s">
        <v>2839</v>
      </c>
      <c r="G168" s="2" t="s">
        <v>1268</v>
      </c>
      <c r="H168" s="1">
        <v>6</v>
      </c>
      <c r="I168" s="1" t="s">
        <v>702</v>
      </c>
      <c r="J168" s="30" t="s">
        <v>702</v>
      </c>
      <c r="K168" s="30" t="s">
        <v>702</v>
      </c>
      <c r="L168" s="30">
        <v>45000</v>
      </c>
      <c r="M168" s="30" t="s">
        <v>702</v>
      </c>
      <c r="N168" s="3">
        <v>46225.385416666701</v>
      </c>
      <c r="O168" s="2" t="s">
        <v>734</v>
      </c>
      <c r="P168" s="3">
        <v>46225.385416666701</v>
      </c>
      <c r="Q168" s="2" t="s">
        <v>734</v>
      </c>
      <c r="R168" s="34"/>
      <c r="S168" s="1" t="s">
        <v>31</v>
      </c>
    </row>
    <row r="169" spans="2:19">
      <c r="B169" s="2" t="s">
        <v>3102</v>
      </c>
      <c r="C169" s="2" t="s">
        <v>2927</v>
      </c>
      <c r="D169" s="2" t="s">
        <v>2840</v>
      </c>
      <c r="E169" s="1">
        <v>2</v>
      </c>
      <c r="F169" s="2" t="s">
        <v>2841</v>
      </c>
      <c r="G169" s="2" t="s">
        <v>1271</v>
      </c>
      <c r="H169" s="1" t="s">
        <v>702</v>
      </c>
      <c r="I169" s="1">
        <v>3</v>
      </c>
      <c r="J169" s="30" t="s">
        <v>702</v>
      </c>
      <c r="K169" s="30" t="s">
        <v>702</v>
      </c>
      <c r="L169" s="30">
        <v>96000</v>
      </c>
      <c r="M169" s="30" t="s">
        <v>702</v>
      </c>
      <c r="N169" s="3">
        <v>46225.385416666701</v>
      </c>
      <c r="O169" s="2" t="s">
        <v>734</v>
      </c>
      <c r="P169" s="3">
        <v>46225.385416666701</v>
      </c>
      <c r="Q169" s="2" t="s">
        <v>734</v>
      </c>
      <c r="R169" s="34"/>
      <c r="S169" s="1" t="s">
        <v>31</v>
      </c>
    </row>
    <row r="170" spans="2:19">
      <c r="B170" s="2" t="s">
        <v>3103</v>
      </c>
      <c r="C170" s="2" t="s">
        <v>2927</v>
      </c>
      <c r="D170" s="2" t="s">
        <v>2842</v>
      </c>
      <c r="E170" s="1">
        <v>3</v>
      </c>
      <c r="F170" s="2" t="s">
        <v>2843</v>
      </c>
      <c r="G170" s="2" t="s">
        <v>1274</v>
      </c>
      <c r="H170" s="1">
        <v>10</v>
      </c>
      <c r="I170" s="1" t="s">
        <v>702</v>
      </c>
      <c r="J170" s="30" t="s">
        <v>702</v>
      </c>
      <c r="K170" s="30" t="s">
        <v>702</v>
      </c>
      <c r="L170" s="30">
        <v>125000</v>
      </c>
      <c r="M170" s="30" t="s">
        <v>702</v>
      </c>
      <c r="N170" s="3">
        <v>46225.385416666701</v>
      </c>
      <c r="O170" s="2" t="s">
        <v>734</v>
      </c>
      <c r="P170" s="3">
        <v>46225.385416666701</v>
      </c>
      <c r="Q170" s="2" t="s">
        <v>734</v>
      </c>
      <c r="R170" s="34"/>
      <c r="S170" s="1" t="s">
        <v>31</v>
      </c>
    </row>
    <row r="171" spans="2:19" ht="29" customHeight="1">
      <c r="B171" s="2" t="s">
        <v>3104</v>
      </c>
      <c r="C171" s="2" t="s">
        <v>2927</v>
      </c>
      <c r="D171" s="2" t="s">
        <v>2844</v>
      </c>
      <c r="E171" s="1">
        <v>4</v>
      </c>
      <c r="F171" s="2" t="s">
        <v>2845</v>
      </c>
      <c r="G171" s="2" t="s">
        <v>1277</v>
      </c>
      <c r="H171" s="1" t="s">
        <v>702</v>
      </c>
      <c r="I171" s="1">
        <v>2</v>
      </c>
      <c r="J171" s="30" t="s">
        <v>702</v>
      </c>
      <c r="K171" s="30" t="s">
        <v>702</v>
      </c>
      <c r="L171" s="30">
        <v>70000</v>
      </c>
      <c r="M171" s="30" t="s">
        <v>702</v>
      </c>
      <c r="N171" s="3">
        <v>46225.385416666701</v>
      </c>
      <c r="O171" s="2" t="s">
        <v>734</v>
      </c>
      <c r="P171" s="3">
        <v>46225.385416666701</v>
      </c>
      <c r="Q171" s="2" t="s">
        <v>734</v>
      </c>
      <c r="R171" s="34"/>
      <c r="S171" s="1" t="s">
        <v>31</v>
      </c>
    </row>
    <row r="172" spans="2:19">
      <c r="B172" s="2" t="s">
        <v>3105</v>
      </c>
      <c r="C172" s="2" t="s">
        <v>2928</v>
      </c>
      <c r="D172" s="2" t="s">
        <v>2846</v>
      </c>
      <c r="E172" s="1">
        <v>1</v>
      </c>
      <c r="F172" s="2" t="s">
        <v>2847</v>
      </c>
      <c r="G172" s="2" t="s">
        <v>1280</v>
      </c>
      <c r="H172" s="1" t="s">
        <v>702</v>
      </c>
      <c r="I172" s="1">
        <v>3</v>
      </c>
      <c r="J172" s="30" t="s">
        <v>702</v>
      </c>
      <c r="K172" s="30" t="s">
        <v>702</v>
      </c>
      <c r="L172" s="30">
        <v>127500</v>
      </c>
      <c r="M172" s="30" t="s">
        <v>702</v>
      </c>
      <c r="N172" s="3">
        <v>46226.5222222222</v>
      </c>
      <c r="O172" s="2" t="s">
        <v>737</v>
      </c>
      <c r="P172" s="3">
        <v>46226.5222222222</v>
      </c>
      <c r="Q172" s="2" t="s">
        <v>737</v>
      </c>
      <c r="R172" s="34"/>
      <c r="S172" s="1" t="s">
        <v>31</v>
      </c>
    </row>
    <row r="173" spans="2:19">
      <c r="B173" s="2" t="s">
        <v>3106</v>
      </c>
      <c r="C173" s="2" t="s">
        <v>2928</v>
      </c>
      <c r="D173" s="2" t="s">
        <v>2848</v>
      </c>
      <c r="E173" s="1">
        <v>2</v>
      </c>
      <c r="F173" s="2" t="s">
        <v>2849</v>
      </c>
      <c r="G173" s="2" t="s">
        <v>1283</v>
      </c>
      <c r="H173" s="1">
        <v>9</v>
      </c>
      <c r="I173" s="1" t="s">
        <v>702</v>
      </c>
      <c r="J173" s="30" t="s">
        <v>702</v>
      </c>
      <c r="K173" s="30" t="s">
        <v>702</v>
      </c>
      <c r="L173" s="30">
        <v>157500</v>
      </c>
      <c r="M173" s="30" t="s">
        <v>702</v>
      </c>
      <c r="N173" s="3">
        <v>46226.5222222222</v>
      </c>
      <c r="O173" s="2" t="s">
        <v>737</v>
      </c>
      <c r="P173" s="3">
        <v>46226.5222222222</v>
      </c>
      <c r="Q173" s="2" t="s">
        <v>737</v>
      </c>
      <c r="R173" s="34"/>
      <c r="S173" s="1" t="s">
        <v>31</v>
      </c>
    </row>
    <row r="174" spans="2:19" ht="29" customHeight="1">
      <c r="B174" s="2" t="s">
        <v>3107</v>
      </c>
      <c r="C174" s="2" t="s">
        <v>2928</v>
      </c>
      <c r="D174" s="2" t="s">
        <v>2850</v>
      </c>
      <c r="E174" s="1">
        <v>3</v>
      </c>
      <c r="F174" s="2" t="s">
        <v>2851</v>
      </c>
      <c r="G174" s="2" t="s">
        <v>1286</v>
      </c>
      <c r="H174" s="1" t="s">
        <v>702</v>
      </c>
      <c r="I174" s="1">
        <v>2</v>
      </c>
      <c r="J174" s="30" t="s">
        <v>702</v>
      </c>
      <c r="K174" s="30" t="s">
        <v>702</v>
      </c>
      <c r="L174" s="30">
        <v>60000</v>
      </c>
      <c r="M174" s="30" t="s">
        <v>702</v>
      </c>
      <c r="N174" s="3">
        <v>46226.5222222222</v>
      </c>
      <c r="O174" s="2" t="s">
        <v>737</v>
      </c>
      <c r="P174" s="3">
        <v>46226.5222222222</v>
      </c>
      <c r="Q174" s="2" t="s">
        <v>737</v>
      </c>
      <c r="R174" s="34"/>
      <c r="S174" s="1" t="s">
        <v>31</v>
      </c>
    </row>
    <row r="175" spans="2:19">
      <c r="B175" s="2" t="s">
        <v>3108</v>
      </c>
      <c r="C175" s="2" t="s">
        <v>2928</v>
      </c>
      <c r="D175" s="2" t="s">
        <v>2852</v>
      </c>
      <c r="E175" s="1">
        <v>4</v>
      </c>
      <c r="F175" s="2" t="s">
        <v>2853</v>
      </c>
      <c r="G175" s="2" t="s">
        <v>1289</v>
      </c>
      <c r="H175" s="1">
        <v>1</v>
      </c>
      <c r="I175" s="1" t="s">
        <v>702</v>
      </c>
      <c r="J175" s="30" t="s">
        <v>702</v>
      </c>
      <c r="K175" s="30" t="s">
        <v>702</v>
      </c>
      <c r="L175" s="30">
        <v>12500</v>
      </c>
      <c r="M175" s="30" t="s">
        <v>702</v>
      </c>
      <c r="N175" s="3">
        <v>46226.5222222222</v>
      </c>
      <c r="O175" s="2" t="s">
        <v>737</v>
      </c>
      <c r="P175" s="3">
        <v>46226.5222222222</v>
      </c>
      <c r="Q175" s="2" t="s">
        <v>737</v>
      </c>
      <c r="R175" s="34"/>
      <c r="S175" s="1" t="s">
        <v>31</v>
      </c>
    </row>
    <row r="176" spans="2:19">
      <c r="B176" s="2" t="s">
        <v>3109</v>
      </c>
      <c r="C176" s="2" t="s">
        <v>2929</v>
      </c>
      <c r="D176" s="2" t="s">
        <v>2854</v>
      </c>
      <c r="E176" s="1">
        <v>1</v>
      </c>
      <c r="F176" s="2" t="s">
        <v>2855</v>
      </c>
      <c r="G176" s="2" t="s">
        <v>1292</v>
      </c>
      <c r="H176" s="1">
        <v>8</v>
      </c>
      <c r="I176" s="1" t="s">
        <v>702</v>
      </c>
      <c r="J176" s="30" t="s">
        <v>702</v>
      </c>
      <c r="K176" s="30" t="s">
        <v>702</v>
      </c>
      <c r="L176" s="30">
        <v>120000</v>
      </c>
      <c r="M176" s="30" t="s">
        <v>702</v>
      </c>
      <c r="N176" s="3">
        <v>46226.659027777801</v>
      </c>
      <c r="O176" s="2" t="s">
        <v>92</v>
      </c>
      <c r="P176" s="3">
        <v>46226.659027777801</v>
      </c>
      <c r="Q176" s="2" t="s">
        <v>92</v>
      </c>
      <c r="R176" s="34"/>
      <c r="S176" s="1" t="s">
        <v>31</v>
      </c>
    </row>
    <row r="177" spans="2:19" ht="29" customHeight="1">
      <c r="B177" s="2" t="s">
        <v>3110</v>
      </c>
      <c r="C177" s="2" t="s">
        <v>2929</v>
      </c>
      <c r="D177" s="2" t="s">
        <v>2856</v>
      </c>
      <c r="E177" s="1">
        <v>2</v>
      </c>
      <c r="F177" s="2" t="s">
        <v>2857</v>
      </c>
      <c r="G177" s="2" t="s">
        <v>1295</v>
      </c>
      <c r="H177" s="1" t="s">
        <v>702</v>
      </c>
      <c r="I177" s="1">
        <v>2</v>
      </c>
      <c r="J177" s="30" t="s">
        <v>702</v>
      </c>
      <c r="K177" s="30" t="s">
        <v>702</v>
      </c>
      <c r="L177" s="30">
        <v>30000</v>
      </c>
      <c r="M177" s="30" t="s">
        <v>702</v>
      </c>
      <c r="N177" s="3">
        <v>46226.659027777801</v>
      </c>
      <c r="O177" s="2" t="s">
        <v>92</v>
      </c>
      <c r="P177" s="3">
        <v>46226.659027777801</v>
      </c>
      <c r="Q177" s="2" t="s">
        <v>92</v>
      </c>
      <c r="R177" s="34"/>
      <c r="S177" s="1" t="s">
        <v>31</v>
      </c>
    </row>
    <row r="178" spans="2:19">
      <c r="B178" s="2" t="s">
        <v>3111</v>
      </c>
      <c r="C178" s="2" t="s">
        <v>2929</v>
      </c>
      <c r="D178" s="2" t="s">
        <v>2858</v>
      </c>
      <c r="E178" s="1">
        <v>3</v>
      </c>
      <c r="F178" s="2" t="s">
        <v>2859</v>
      </c>
      <c r="G178" s="2" t="s">
        <v>1298</v>
      </c>
      <c r="H178" s="1">
        <v>12</v>
      </c>
      <c r="I178" s="1" t="s">
        <v>702</v>
      </c>
      <c r="J178" s="30" t="s">
        <v>702</v>
      </c>
      <c r="K178" s="30" t="s">
        <v>702</v>
      </c>
      <c r="L178" s="30">
        <v>60000</v>
      </c>
      <c r="M178" s="30" t="s">
        <v>702</v>
      </c>
      <c r="N178" s="3">
        <v>46226.659027777801</v>
      </c>
      <c r="O178" s="2" t="s">
        <v>92</v>
      </c>
      <c r="P178" s="3">
        <v>46226.659027777801</v>
      </c>
      <c r="Q178" s="2" t="s">
        <v>92</v>
      </c>
      <c r="R178" s="34"/>
      <c r="S178" s="1" t="s">
        <v>31</v>
      </c>
    </row>
    <row r="179" spans="2:19">
      <c r="B179" s="2" t="s">
        <v>3112</v>
      </c>
      <c r="C179" s="2" t="s">
        <v>2929</v>
      </c>
      <c r="D179" s="2" t="s">
        <v>2860</v>
      </c>
      <c r="E179" s="1">
        <v>4</v>
      </c>
      <c r="F179" s="2" t="s">
        <v>2861</v>
      </c>
      <c r="G179" s="2" t="s">
        <v>1301</v>
      </c>
      <c r="H179" s="1" t="s">
        <v>702</v>
      </c>
      <c r="I179" s="1">
        <v>1</v>
      </c>
      <c r="J179" s="30" t="s">
        <v>702</v>
      </c>
      <c r="K179" s="30" t="s">
        <v>702</v>
      </c>
      <c r="L179" s="30">
        <v>25000</v>
      </c>
      <c r="M179" s="30" t="s">
        <v>702</v>
      </c>
      <c r="N179" s="3">
        <v>46226.659027777801</v>
      </c>
      <c r="O179" s="2" t="s">
        <v>92</v>
      </c>
      <c r="P179" s="3">
        <v>46226.659027777801</v>
      </c>
      <c r="Q179" s="2" t="s">
        <v>92</v>
      </c>
      <c r="R179" s="34"/>
      <c r="S179" s="1" t="s">
        <v>31</v>
      </c>
    </row>
    <row r="180" spans="2:19" ht="29" customHeight="1">
      <c r="B180" s="2" t="s">
        <v>3113</v>
      </c>
      <c r="C180" s="2" t="s">
        <v>2930</v>
      </c>
      <c r="D180" s="2" t="s">
        <v>2862</v>
      </c>
      <c r="E180" s="1">
        <v>1</v>
      </c>
      <c r="F180" s="2" t="s">
        <v>2863</v>
      </c>
      <c r="G180" s="2" t="s">
        <v>1304</v>
      </c>
      <c r="H180" s="1" t="s">
        <v>702</v>
      </c>
      <c r="I180" s="1">
        <v>2</v>
      </c>
      <c r="J180" s="30" t="s">
        <v>702</v>
      </c>
      <c r="K180" s="30" t="s">
        <v>702</v>
      </c>
      <c r="L180" s="30">
        <v>40000</v>
      </c>
      <c r="M180" s="30" t="s">
        <v>702</v>
      </c>
      <c r="N180" s="3">
        <v>46227.379166666702</v>
      </c>
      <c r="O180" s="2" t="s">
        <v>742</v>
      </c>
      <c r="P180" s="3">
        <v>46227.379166666702</v>
      </c>
      <c r="Q180" s="2" t="s">
        <v>742</v>
      </c>
      <c r="R180" s="34"/>
      <c r="S180" s="1" t="s">
        <v>31</v>
      </c>
    </row>
    <row r="181" spans="2:19">
      <c r="B181" s="2" t="s">
        <v>3114</v>
      </c>
      <c r="C181" s="2" t="s">
        <v>2930</v>
      </c>
      <c r="D181" s="2" t="s">
        <v>2864</v>
      </c>
      <c r="E181" s="1">
        <v>2</v>
      </c>
      <c r="F181" s="2" t="s">
        <v>2865</v>
      </c>
      <c r="G181" s="2" t="s">
        <v>1307</v>
      </c>
      <c r="H181" s="1">
        <v>11</v>
      </c>
      <c r="I181" s="1" t="s">
        <v>702</v>
      </c>
      <c r="J181" s="30" t="s">
        <v>702</v>
      </c>
      <c r="K181" s="30" t="s">
        <v>702</v>
      </c>
      <c r="L181" s="30">
        <v>88000</v>
      </c>
      <c r="M181" s="30" t="s">
        <v>702</v>
      </c>
      <c r="N181" s="3">
        <v>46227.379166666702</v>
      </c>
      <c r="O181" s="2" t="s">
        <v>742</v>
      </c>
      <c r="P181" s="3">
        <v>46227.379166666702</v>
      </c>
      <c r="Q181" s="2" t="s">
        <v>742</v>
      </c>
      <c r="R181" s="34"/>
      <c r="S181" s="1" t="s">
        <v>31</v>
      </c>
    </row>
    <row r="182" spans="2:19">
      <c r="B182" s="2" t="s">
        <v>3115</v>
      </c>
      <c r="C182" s="2" t="s">
        <v>2930</v>
      </c>
      <c r="D182" s="2" t="s">
        <v>2866</v>
      </c>
      <c r="E182" s="1">
        <v>3</v>
      </c>
      <c r="F182" s="2" t="s">
        <v>2867</v>
      </c>
      <c r="G182" s="2" t="s">
        <v>1310</v>
      </c>
      <c r="H182" s="1" t="s">
        <v>702</v>
      </c>
      <c r="I182" s="1">
        <v>1</v>
      </c>
      <c r="J182" s="30" t="s">
        <v>702</v>
      </c>
      <c r="K182" s="30" t="s">
        <v>702</v>
      </c>
      <c r="L182" s="30">
        <v>40000</v>
      </c>
      <c r="M182" s="30" t="s">
        <v>702</v>
      </c>
      <c r="N182" s="3">
        <v>46227.379166666702</v>
      </c>
      <c r="O182" s="2" t="s">
        <v>742</v>
      </c>
      <c r="P182" s="3">
        <v>46227.379166666702</v>
      </c>
      <c r="Q182" s="2" t="s">
        <v>742</v>
      </c>
      <c r="R182" s="34"/>
      <c r="S182" s="1" t="s">
        <v>31</v>
      </c>
    </row>
    <row r="183" spans="2:19">
      <c r="B183" s="2" t="s">
        <v>3116</v>
      </c>
      <c r="C183" s="2" t="s">
        <v>2930</v>
      </c>
      <c r="D183" s="2" t="s">
        <v>2868</v>
      </c>
      <c r="E183" s="1">
        <v>4</v>
      </c>
      <c r="F183" s="2" t="s">
        <v>2869</v>
      </c>
      <c r="G183" s="2" t="s">
        <v>1313</v>
      </c>
      <c r="H183" s="1">
        <v>3</v>
      </c>
      <c r="I183" s="1" t="s">
        <v>702</v>
      </c>
      <c r="J183" s="30" t="s">
        <v>702</v>
      </c>
      <c r="K183" s="30" t="s">
        <v>702</v>
      </c>
      <c r="L183" s="30">
        <v>37500</v>
      </c>
      <c r="M183" s="30" t="s">
        <v>702</v>
      </c>
      <c r="N183" s="3">
        <v>46227.379166666702</v>
      </c>
      <c r="O183" s="2" t="s">
        <v>742</v>
      </c>
      <c r="P183" s="3">
        <v>46227.379166666702</v>
      </c>
      <c r="Q183" s="2" t="s">
        <v>742</v>
      </c>
      <c r="R183" s="34"/>
      <c r="S183" s="1" t="s">
        <v>31</v>
      </c>
    </row>
    <row r="184" spans="2:19">
      <c r="B184" s="2" t="s">
        <v>3117</v>
      </c>
      <c r="C184" s="2" t="s">
        <v>2931</v>
      </c>
      <c r="D184" s="2" t="s">
        <v>2870</v>
      </c>
      <c r="E184" s="1">
        <v>1</v>
      </c>
      <c r="F184" s="2" t="s">
        <v>2871</v>
      </c>
      <c r="G184" s="2" t="s">
        <v>1316</v>
      </c>
      <c r="H184" s="1">
        <v>10</v>
      </c>
      <c r="I184" s="1" t="s">
        <v>702</v>
      </c>
      <c r="J184" s="30" t="s">
        <v>702</v>
      </c>
      <c r="K184" s="30" t="s">
        <v>702</v>
      </c>
      <c r="L184" s="30">
        <v>150000</v>
      </c>
      <c r="M184" s="30" t="s">
        <v>702</v>
      </c>
      <c r="N184" s="3">
        <v>46227.515972222202</v>
      </c>
      <c r="O184" s="2" t="s">
        <v>745</v>
      </c>
      <c r="P184" s="3">
        <v>46227.515972222202</v>
      </c>
      <c r="Q184" s="2" t="s">
        <v>745</v>
      </c>
      <c r="R184" s="34"/>
      <c r="S184" s="1" t="s">
        <v>31</v>
      </c>
    </row>
    <row r="185" spans="2:19">
      <c r="B185" s="2" t="s">
        <v>3118</v>
      </c>
      <c r="C185" s="2" t="s">
        <v>2931</v>
      </c>
      <c r="D185" s="2" t="s">
        <v>2872</v>
      </c>
      <c r="E185" s="1">
        <v>2</v>
      </c>
      <c r="F185" s="2" t="s">
        <v>2873</v>
      </c>
      <c r="G185" s="2" t="s">
        <v>1319</v>
      </c>
      <c r="H185" s="1" t="s">
        <v>702</v>
      </c>
      <c r="I185" s="1">
        <v>1</v>
      </c>
      <c r="J185" s="30" t="s">
        <v>702</v>
      </c>
      <c r="K185" s="30" t="s">
        <v>702</v>
      </c>
      <c r="L185" s="30">
        <v>60000</v>
      </c>
      <c r="M185" s="30" t="s">
        <v>702</v>
      </c>
      <c r="N185" s="3">
        <v>46227.515972222202</v>
      </c>
      <c r="O185" s="2" t="s">
        <v>745</v>
      </c>
      <c r="P185" s="3">
        <v>46227.515972222202</v>
      </c>
      <c r="Q185" s="2" t="s">
        <v>745</v>
      </c>
      <c r="R185" s="34"/>
      <c r="S185" s="1" t="s">
        <v>31</v>
      </c>
    </row>
    <row r="186" spans="2:19">
      <c r="B186" s="2" t="s">
        <v>3119</v>
      </c>
      <c r="C186" s="2" t="s">
        <v>2931</v>
      </c>
      <c r="D186" s="2" t="s">
        <v>2874</v>
      </c>
      <c r="E186" s="1">
        <v>3</v>
      </c>
      <c r="F186" s="2" t="s">
        <v>2875</v>
      </c>
      <c r="G186" s="2" t="s">
        <v>1259</v>
      </c>
      <c r="H186" s="1">
        <v>2</v>
      </c>
      <c r="I186" s="1" t="s">
        <v>702</v>
      </c>
      <c r="J186" s="30" t="s">
        <v>702</v>
      </c>
      <c r="K186" s="30" t="s">
        <v>702</v>
      </c>
      <c r="L186" s="30">
        <v>25000</v>
      </c>
      <c r="M186" s="30" t="s">
        <v>702</v>
      </c>
      <c r="N186" s="3">
        <v>46227.515972222202</v>
      </c>
      <c r="O186" s="2" t="s">
        <v>745</v>
      </c>
      <c r="P186" s="3">
        <v>46227.515972222202</v>
      </c>
      <c r="Q186" s="2" t="s">
        <v>745</v>
      </c>
      <c r="R186" s="34"/>
      <c r="S186" s="1" t="s">
        <v>31</v>
      </c>
    </row>
    <row r="187" spans="2:19" ht="29" customHeight="1">
      <c r="B187" s="2" t="s">
        <v>3120</v>
      </c>
      <c r="C187" s="2" t="s">
        <v>2931</v>
      </c>
      <c r="D187" s="2" t="s">
        <v>2876</v>
      </c>
      <c r="E187" s="1">
        <v>4</v>
      </c>
      <c r="F187" s="2" t="s">
        <v>2877</v>
      </c>
      <c r="G187" s="2" t="s">
        <v>1262</v>
      </c>
      <c r="H187" s="1" t="s">
        <v>702</v>
      </c>
      <c r="I187" s="1">
        <v>3</v>
      </c>
      <c r="J187" s="30" t="s">
        <v>702</v>
      </c>
      <c r="K187" s="30" t="s">
        <v>702</v>
      </c>
      <c r="L187" s="30">
        <v>127500</v>
      </c>
      <c r="M187" s="30" t="s">
        <v>702</v>
      </c>
      <c r="N187" s="3">
        <v>46227.515972222202</v>
      </c>
      <c r="O187" s="2" t="s">
        <v>745</v>
      </c>
      <c r="P187" s="3">
        <v>46227.515972222202</v>
      </c>
      <c r="Q187" s="2" t="s">
        <v>745</v>
      </c>
      <c r="R187" s="34"/>
      <c r="S187" s="1" t="s">
        <v>31</v>
      </c>
    </row>
  </sheetData>
  <phoneticPr fontId="2"/>
  <conditionalFormatting sqref="B7:Q7">
    <cfRule type="expression" dxfId="3" priority="1">
      <formula>AND(ISNUMBER(FIND("K",B6)),B7="*")</formula>
    </cfRule>
    <cfRule type="expression" dxfId="2" priority="2">
      <formula>AND(ISNUMBER(FIND("N",B6)),B7="*")</formula>
    </cfRule>
    <cfRule type="expression" dxfId="1" priority="3">
      <formula>B7="*"</formula>
    </cfRule>
    <cfRule type="expression" dxfId="0" priority="4">
      <formula>B7=""</formula>
    </cfRule>
  </conditionalFormatting>
  <dataValidations count="1">
    <dataValidation type="list" allowBlank="1" showInputMessage="1" showErrorMessage="1" sqref="B7:Q7" xr:uid="{00000000-0002-0000-0800-000000000000}">
      <formula1>"*,"</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departments</vt:lpstr>
      <vt:lpstr>employees</vt:lpstr>
      <vt:lpstr>clients</vt:lpstr>
      <vt:lpstr>services</vt:lpstr>
      <vt:lpstr>common_codes</vt:lpstr>
      <vt:lpstr>quotations</vt:lpstr>
      <vt:lpstr>quotation_details</vt:lpstr>
      <vt:lpstr>contracts</vt:lpstr>
      <vt:lpstr>contract_details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雅俊 古谷</cp:lastModifiedBy>
  <dcterms:created xsi:type="dcterms:W3CDTF">2026-07-12T01:04:22Z</dcterms:created>
  <dcterms:modified xsi:type="dcterms:W3CDTF">2026-07-31T04:14:58Z</dcterms:modified>
</cp:coreProperties>
</file>